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иллинг мелкие\Сводные\"/>
    </mc:Choice>
  </mc:AlternateContent>
  <xr:revisionPtr revIDLastSave="0" documentId="13_ncr:1_{C39CA1D0-819E-4358-92CC-81A15FD7948D}" xr6:coauthVersionLast="47" xr6:coauthVersionMax="47" xr10:uidLastSave="{00000000-0000-0000-0000-000000000000}"/>
  <bookViews>
    <workbookView xWindow="-120" yWindow="-120" windowWidth="29040" windowHeight="15840" firstSheet="2" activeTab="2" xr2:uid="{A1DFD1E0-A514-4EA5-841E-2C836D8218D9}"/>
  </bookViews>
  <sheets>
    <sheet name="Лист1" sheetId="1" r:id="rId1"/>
    <sheet name="Биаксплен Новосибирск" sheetId="2" r:id="rId2"/>
    <sheet name="ИТОГО" sheetId="3" r:id="rId3"/>
    <sheet name="Другое" sheetId="4" r:id="rId4"/>
    <sheet name="Нижнекамск завод" sheetId="5" r:id="rId5"/>
    <sheet name="Резерв" sheetId="7" r:id="rId6"/>
    <sheet name="РВ Баумана" sheetId="8" r:id="rId7"/>
    <sheet name="РВ Березовая Пойма" sheetId="10" r:id="rId8"/>
    <sheet name="РВ Новикова-Прибоя" sheetId="11" r:id="rId9"/>
    <sheet name="Нижнекамск экспорт" sheetId="16" r:id="rId10"/>
    <sheet name="Баумана экспорт" sheetId="17" r:id="rId11"/>
    <sheet name="Литейные решения" sheetId="18" r:id="rId12"/>
    <sheet name="ЛС-Техномет" sheetId="19" r:id="rId13"/>
    <sheet name="Сандекс" sheetId="20" r:id="rId14"/>
    <sheet name="СтройТех" sheetId="21" r:id="rId15"/>
    <sheet name="Доктор Франк" sheetId="22" r:id="rId16"/>
    <sheet name="Ергарда" sheetId="23" r:id="rId17"/>
    <sheet name="Зеленодольск Доп услуги" sheetId="24" r:id="rId18"/>
    <sheet name="Казань_Приволжская экспорт" sheetId="25" r:id="rId19"/>
    <sheet name="Казань_Автосервисная экспорт" sheetId="26" r:id="rId20"/>
    <sheet name="Екатеринбург экспорт" sheetId="27" r:id="rId21"/>
    <sheet name="ИП Ксендз Нижнекамск" sheetId="28" r:id="rId22"/>
    <sheet name="Баумана KPI" sheetId="29" r:id="rId23"/>
    <sheet name="Баумана Полимеры" sheetId="30" r:id="rId24"/>
    <sheet name="Баумана Полиом" sheetId="31" r:id="rId25"/>
    <sheet name="Лист1 (2)" sheetId="32" r:id="rId26"/>
    <sheet name="Лист1 (3)" sheetId="33" r:id="rId27"/>
    <sheet name="Лист1 (4)" sheetId="34" r:id="rId28"/>
    <sheet name="Екатеринбург KPI" sheetId="35" r:id="rId29"/>
    <sheet name="Екатеринбург Полимеры" sheetId="36" r:id="rId30"/>
    <sheet name="Екатеринбург Полиом" sheetId="37" r:id="rId31"/>
    <sheet name="Екатеринбург НПЭГ" sheetId="38" r:id="rId32"/>
    <sheet name="Зеленодольск Полимеры" sheetId="39" r:id="rId33"/>
    <sheet name="Данафлекс Зеленодольск" sheetId="40" r:id="rId34"/>
    <sheet name="Казань_Автосервисная Полимеры" sheetId="41" r:id="rId35"/>
    <sheet name="Казань_Автосервисная Полиом" sheetId="42" r:id="rId36"/>
    <sheet name="Казань_Приволжская Полимеры" sheetId="43" r:id="rId37"/>
    <sheet name="Нижнекамск Каучук" sheetId="44" r:id="rId38"/>
    <sheet name="Нижнекамск НПЭГ" sheetId="45" r:id="rId39"/>
    <sheet name="Нижнекамск ПСОН" sheetId="46" r:id="rId40"/>
    <sheet name="Нижнекамск СБС" sheetId="47" r:id="rId41"/>
    <sheet name="Новикова-Прибоя KPI" sheetId="48" r:id="rId42"/>
    <sheet name="Новикова-Прибоя Полимеры" sheetId="49" r:id="rId43"/>
    <sheet name="Новикова-Прибоя Полиом" sheetId="50" r:id="rId44"/>
    <sheet name="Новосибирск KPI" sheetId="51" r:id="rId45"/>
    <sheet name="Новосибирск Полимеры" sheetId="52" r:id="rId46"/>
    <sheet name="Новосибирск Полиом" sheetId="53" r:id="rId47"/>
    <sheet name="Новосибирск Порошок" sheetId="54" r:id="rId48"/>
    <sheet name="Новосибирск_Пасечная Порошок" sheetId="55" r:id="rId49"/>
    <sheet name="Праздники" sheetId="15" state="hidden" r:id="rId50"/>
    <sheet name="АВР Березовая Пойма" sheetId="14" state="hidden" r:id="rId51"/>
    <sheet name="АВР Новикова" sheetId="13" state="hidden" r:id="rId52"/>
    <sheet name="АВР Баумана" sheetId="12" state="hidden" r:id="rId53"/>
    <sheet name="Окская Мешки" sheetId="9" state="hidden" r:id="rId54"/>
    <sheet name="Общее и резерв" sheetId="6" state="hidden" r:id="rId55"/>
  </sheets>
  <externalReferences>
    <externalReference r:id="rId56"/>
    <externalReference r:id="rId57"/>
    <externalReference r:id="rId58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6" i="30" l="1"/>
  <c r="Q36" i="30"/>
  <c r="N36" i="30"/>
  <c r="M36" i="30"/>
  <c r="L36" i="30"/>
  <c r="K36" i="30"/>
  <c r="J36" i="30"/>
  <c r="I36" i="30"/>
  <c r="H36" i="30"/>
  <c r="F36" i="30"/>
  <c r="O35" i="30"/>
  <c r="G35" i="30"/>
  <c r="P35" i="30" s="1"/>
  <c r="T35" i="30" s="1"/>
  <c r="O34" i="30"/>
  <c r="G34" i="30"/>
  <c r="P34" i="30" s="1"/>
  <c r="O33" i="30"/>
  <c r="G33" i="30"/>
  <c r="P33" i="30" s="1"/>
  <c r="O32" i="30"/>
  <c r="G32" i="30"/>
  <c r="P32" i="30" s="1"/>
  <c r="O31" i="30"/>
  <c r="G31" i="30"/>
  <c r="P31" i="30" s="1"/>
  <c r="T31" i="30" s="1"/>
  <c r="O30" i="30"/>
  <c r="G30" i="30"/>
  <c r="P30" i="30" s="1"/>
  <c r="O29" i="30"/>
  <c r="G29" i="30"/>
  <c r="P29" i="30" s="1"/>
  <c r="O28" i="30"/>
  <c r="G28" i="30"/>
  <c r="P28" i="30" s="1"/>
  <c r="O27" i="30"/>
  <c r="G27" i="30"/>
  <c r="P27" i="30" s="1"/>
  <c r="T27" i="30" s="1"/>
  <c r="O26" i="30"/>
  <c r="G26" i="30"/>
  <c r="P26" i="30" s="1"/>
  <c r="O25" i="30"/>
  <c r="G25" i="30"/>
  <c r="P25" i="30" s="1"/>
  <c r="O24" i="30"/>
  <c r="G24" i="30"/>
  <c r="P24" i="30" s="1"/>
  <c r="O23" i="30"/>
  <c r="G23" i="30"/>
  <c r="P23" i="30" s="1"/>
  <c r="T23" i="30" s="1"/>
  <c r="O22" i="30"/>
  <c r="G22" i="30"/>
  <c r="P22" i="30" s="1"/>
  <c r="O21" i="30"/>
  <c r="G21" i="30"/>
  <c r="P21" i="30" s="1"/>
  <c r="O20" i="30"/>
  <c r="G20" i="30"/>
  <c r="P20" i="30" s="1"/>
  <c r="O19" i="30"/>
  <c r="G19" i="30"/>
  <c r="P19" i="30" s="1"/>
  <c r="T19" i="30" s="1"/>
  <c r="O18" i="30"/>
  <c r="G18" i="30"/>
  <c r="P18" i="30" s="1"/>
  <c r="O17" i="30"/>
  <c r="G17" i="30"/>
  <c r="P17" i="30" s="1"/>
  <c r="O16" i="30"/>
  <c r="G16" i="30"/>
  <c r="P16" i="30" s="1"/>
  <c r="O15" i="30"/>
  <c r="G15" i="30"/>
  <c r="P15" i="30" s="1"/>
  <c r="T15" i="30" s="1"/>
  <c r="O14" i="30"/>
  <c r="G14" i="30"/>
  <c r="P14" i="30" s="1"/>
  <c r="O13" i="30"/>
  <c r="G13" i="30"/>
  <c r="P13" i="30" s="1"/>
  <c r="O12" i="30"/>
  <c r="G12" i="30"/>
  <c r="P12" i="30" s="1"/>
  <c r="O11" i="30"/>
  <c r="G11" i="30"/>
  <c r="P11" i="30" s="1"/>
  <c r="T11" i="30" s="1"/>
  <c r="O10" i="30"/>
  <c r="G10" i="30"/>
  <c r="P10" i="30" s="1"/>
  <c r="O9" i="30"/>
  <c r="G9" i="30"/>
  <c r="P9" i="30" s="1"/>
  <c r="O8" i="30"/>
  <c r="G8" i="30"/>
  <c r="P8" i="30" s="1"/>
  <c r="O7" i="30"/>
  <c r="G7" i="30"/>
  <c r="P7" i="30" s="1"/>
  <c r="T7" i="30" s="1"/>
  <c r="O6" i="30"/>
  <c r="G6" i="30"/>
  <c r="P6" i="30" s="1"/>
  <c r="O5" i="30"/>
  <c r="T5" i="30" s="1"/>
  <c r="G5" i="30"/>
  <c r="P5" i="30" s="1"/>
  <c r="T10" i="30" l="1"/>
  <c r="T33" i="30"/>
  <c r="T25" i="30"/>
  <c r="T34" i="30"/>
  <c r="T18" i="30"/>
  <c r="T20" i="30"/>
  <c r="T9" i="30"/>
  <c r="P36" i="30"/>
  <c r="T29" i="30"/>
  <c r="T6" i="30"/>
  <c r="T36" i="30" s="1"/>
  <c r="T37" i="30" s="1"/>
  <c r="T30" i="30"/>
  <c r="T17" i="30"/>
  <c r="T26" i="30"/>
  <c r="T12" i="30"/>
  <c r="T28" i="30"/>
  <c r="T21" i="30"/>
  <c r="T14" i="30"/>
  <c r="T13" i="30"/>
  <c r="T22" i="30"/>
  <c r="T8" i="30"/>
  <c r="T16" i="30"/>
  <c r="T24" i="30"/>
  <c r="T32" i="30"/>
  <c r="G36" i="30"/>
  <c r="O36" i="30"/>
  <c r="H36" i="28"/>
  <c r="G36" i="28"/>
  <c r="E36" i="28"/>
  <c r="D36" i="28"/>
  <c r="M35" i="28"/>
  <c r="L35" i="28"/>
  <c r="J35" i="28"/>
  <c r="I35" i="28"/>
  <c r="M34" i="28"/>
  <c r="L34" i="28"/>
  <c r="J34" i="28"/>
  <c r="I34" i="28"/>
  <c r="M33" i="28"/>
  <c r="L33" i="28"/>
  <c r="J33" i="28"/>
  <c r="I33" i="28"/>
  <c r="M32" i="28"/>
  <c r="L32" i="28"/>
  <c r="J32" i="28"/>
  <c r="I32" i="28"/>
  <c r="M31" i="28"/>
  <c r="L31" i="28"/>
  <c r="J31" i="28"/>
  <c r="I31" i="28"/>
  <c r="M30" i="28"/>
  <c r="L30" i="28"/>
  <c r="J30" i="28"/>
  <c r="I30" i="28"/>
  <c r="M29" i="28"/>
  <c r="L29" i="28"/>
  <c r="J29" i="28"/>
  <c r="I29" i="28"/>
  <c r="M28" i="28"/>
  <c r="L28" i="28"/>
  <c r="J28" i="28"/>
  <c r="I28" i="28"/>
  <c r="M27" i="28"/>
  <c r="L27" i="28"/>
  <c r="J27" i="28"/>
  <c r="I27" i="28"/>
  <c r="M26" i="28"/>
  <c r="L26" i="28"/>
  <c r="J26" i="28"/>
  <c r="I26" i="28"/>
  <c r="M25" i="28"/>
  <c r="L25" i="28"/>
  <c r="J25" i="28"/>
  <c r="I25" i="28"/>
  <c r="M24" i="28"/>
  <c r="L24" i="28"/>
  <c r="J24" i="28"/>
  <c r="I24" i="28"/>
  <c r="M23" i="28"/>
  <c r="L23" i="28"/>
  <c r="J23" i="28"/>
  <c r="I23" i="28"/>
  <c r="M22" i="28"/>
  <c r="L22" i="28"/>
  <c r="J22" i="28"/>
  <c r="I22" i="28"/>
  <c r="M21" i="28"/>
  <c r="L21" i="28"/>
  <c r="J21" i="28"/>
  <c r="I21" i="28"/>
  <c r="M20" i="28"/>
  <c r="L20" i="28"/>
  <c r="J20" i="28"/>
  <c r="I20" i="28"/>
  <c r="M19" i="28"/>
  <c r="L19" i="28"/>
  <c r="J19" i="28"/>
  <c r="I19" i="28"/>
  <c r="M18" i="28"/>
  <c r="L18" i="28"/>
  <c r="J18" i="28"/>
  <c r="I18" i="28"/>
  <c r="M17" i="28"/>
  <c r="L17" i="28"/>
  <c r="J17" i="28"/>
  <c r="I17" i="28"/>
  <c r="M16" i="28"/>
  <c r="L16" i="28"/>
  <c r="J16" i="28"/>
  <c r="I16" i="28"/>
  <c r="M15" i="28"/>
  <c r="L15" i="28"/>
  <c r="J15" i="28"/>
  <c r="I15" i="28"/>
  <c r="M14" i="28"/>
  <c r="L14" i="28"/>
  <c r="J14" i="28"/>
  <c r="I14" i="28"/>
  <c r="M13" i="28"/>
  <c r="L13" i="28"/>
  <c r="J13" i="28"/>
  <c r="I13" i="28"/>
  <c r="M12" i="28"/>
  <c r="L12" i="28"/>
  <c r="J12" i="28"/>
  <c r="I12" i="28"/>
  <c r="M11" i="28"/>
  <c r="L11" i="28"/>
  <c r="J11" i="28"/>
  <c r="I11" i="28"/>
  <c r="M10" i="28"/>
  <c r="L10" i="28"/>
  <c r="J10" i="28"/>
  <c r="I10" i="28"/>
  <c r="M9" i="28"/>
  <c r="L9" i="28"/>
  <c r="J9" i="28"/>
  <c r="I9" i="28"/>
  <c r="M8" i="28"/>
  <c r="L8" i="28"/>
  <c r="J8" i="28"/>
  <c r="I8" i="28"/>
  <c r="M7" i="28"/>
  <c r="L7" i="28"/>
  <c r="J7" i="28"/>
  <c r="I7" i="28"/>
  <c r="M6" i="28"/>
  <c r="L6" i="28"/>
  <c r="J6" i="28"/>
  <c r="I6" i="28"/>
  <c r="F6" i="28"/>
  <c r="F7" i="28" s="1"/>
  <c r="M5" i="28"/>
  <c r="M36" i="28" s="1"/>
  <c r="L5" i="28"/>
  <c r="L36" i="28" s="1"/>
  <c r="K5" i="28"/>
  <c r="J5" i="28"/>
  <c r="J36" i="28" s="1"/>
  <c r="I5" i="28"/>
  <c r="I36" i="28" s="1"/>
  <c r="A2" i="28"/>
  <c r="K7" i="28" l="1"/>
  <c r="F8" i="28"/>
  <c r="N7" i="28"/>
  <c r="K6" i="28"/>
  <c r="N5" i="28"/>
  <c r="K8" i="28" l="1"/>
  <c r="N8" i="28" s="1"/>
  <c r="F9" i="28"/>
  <c r="N6" i="28"/>
  <c r="F10" i="28" l="1"/>
  <c r="K9" i="28"/>
  <c r="N9" i="28" s="1"/>
  <c r="F11" i="28" l="1"/>
  <c r="K10" i="28"/>
  <c r="N10" i="28" s="1"/>
  <c r="F12" i="28" l="1"/>
  <c r="K11" i="28"/>
  <c r="N11" i="28" s="1"/>
  <c r="K12" i="28" l="1"/>
  <c r="N12" i="28" s="1"/>
  <c r="F13" i="28"/>
  <c r="K13" i="28" l="1"/>
  <c r="N13" i="28" s="1"/>
  <c r="F14" i="28"/>
  <c r="F15" i="28" l="1"/>
  <c r="K14" i="28"/>
  <c r="N14" i="28" s="1"/>
  <c r="F16" i="28" l="1"/>
  <c r="K15" i="28"/>
  <c r="N15" i="28" s="1"/>
  <c r="F17" i="28" l="1"/>
  <c r="K16" i="28"/>
  <c r="N16" i="28" s="1"/>
  <c r="F18" i="28" l="1"/>
  <c r="K17" i="28"/>
  <c r="N17" i="28" s="1"/>
  <c r="F19" i="28" l="1"/>
  <c r="K18" i="28"/>
  <c r="N18" i="28" s="1"/>
  <c r="K19" i="28" l="1"/>
  <c r="N19" i="28" s="1"/>
  <c r="F20" i="28"/>
  <c r="F21" i="28" l="1"/>
  <c r="K20" i="28"/>
  <c r="N20" i="28" s="1"/>
  <c r="K21" i="28" l="1"/>
  <c r="N21" i="28" s="1"/>
  <c r="F22" i="28"/>
  <c r="K22" i="28" l="1"/>
  <c r="N22" i="28" s="1"/>
  <c r="F23" i="28"/>
  <c r="K23" i="28" l="1"/>
  <c r="N23" i="28" s="1"/>
  <c r="F24" i="28"/>
  <c r="K24" i="28" l="1"/>
  <c r="N24" i="28" s="1"/>
  <c r="F25" i="28"/>
  <c r="F26" i="28" l="1"/>
  <c r="K25" i="28"/>
  <c r="N25" i="28" s="1"/>
  <c r="F27" i="28" l="1"/>
  <c r="K26" i="28"/>
  <c r="N26" i="28" s="1"/>
  <c r="F28" i="28" l="1"/>
  <c r="K27" i="28"/>
  <c r="N27" i="28" s="1"/>
  <c r="K28" i="28" l="1"/>
  <c r="N28" i="28" s="1"/>
  <c r="F29" i="28"/>
  <c r="F30" i="28" l="1"/>
  <c r="K29" i="28"/>
  <c r="N29" i="28" s="1"/>
  <c r="K30" i="28" l="1"/>
  <c r="N30" i="28" s="1"/>
  <c r="F31" i="28"/>
  <c r="F32" i="28" l="1"/>
  <c r="K31" i="28"/>
  <c r="N31" i="28" s="1"/>
  <c r="F33" i="28" l="1"/>
  <c r="K32" i="28"/>
  <c r="N32" i="28" s="1"/>
  <c r="F34" i="28" l="1"/>
  <c r="K33" i="28"/>
  <c r="N33" i="28" s="1"/>
  <c r="F35" i="28" l="1"/>
  <c r="K34" i="28"/>
  <c r="N34" i="28" s="1"/>
  <c r="K35" i="28" l="1"/>
  <c r="F36" i="28"/>
  <c r="N35" i="28" l="1"/>
  <c r="N36" i="28" s="1"/>
  <c r="N37" i="28" s="1"/>
  <c r="A1" i="28" s="1"/>
  <c r="K36" i="28"/>
  <c r="B14" i="27"/>
  <c r="F11" i="27"/>
  <c r="G11" i="27" s="1"/>
  <c r="F10" i="27"/>
  <c r="G10" i="27" s="1"/>
  <c r="G12" i="27" s="1"/>
  <c r="A4" i="27"/>
  <c r="A3" i="27"/>
  <c r="F12" i="27" l="1"/>
  <c r="B14" i="26"/>
  <c r="F11" i="26"/>
  <c r="G11" i="26" s="1"/>
  <c r="F10" i="26"/>
  <c r="F12" i="26" s="1"/>
  <c r="A4" i="26"/>
  <c r="A3" i="26"/>
  <c r="G10" i="26" l="1"/>
  <c r="G12" i="26" s="1"/>
  <c r="B14" i="25"/>
  <c r="F11" i="25"/>
  <c r="G11" i="25" s="1"/>
  <c r="F10" i="25"/>
  <c r="G10" i="25" s="1"/>
  <c r="G12" i="25" s="1"/>
  <c r="A4" i="25"/>
  <c r="A3" i="25"/>
  <c r="F12" i="25" l="1"/>
  <c r="F11" i="24" l="1"/>
  <c r="D10" i="24"/>
  <c r="F10" i="24" s="1"/>
  <c r="F9" i="24"/>
  <c r="F12" i="24" s="1"/>
  <c r="F13" i="24" s="1"/>
  <c r="F14" i="24" s="1"/>
  <c r="A6" i="24"/>
  <c r="A3" i="24"/>
  <c r="A2" i="24"/>
  <c r="I34" i="23" l="1"/>
  <c r="H34" i="23"/>
  <c r="G34" i="23"/>
  <c r="J34" i="23" s="1"/>
  <c r="I33" i="23"/>
  <c r="H33" i="23"/>
  <c r="G33" i="23"/>
  <c r="J33" i="23" s="1"/>
  <c r="I32" i="23"/>
  <c r="H32" i="23"/>
  <c r="G32" i="23"/>
  <c r="J32" i="23" s="1"/>
  <c r="I31" i="23"/>
  <c r="H31" i="23"/>
  <c r="G31" i="23"/>
  <c r="J31" i="23" s="1"/>
  <c r="I30" i="23"/>
  <c r="H30" i="23"/>
  <c r="G30" i="23"/>
  <c r="J30" i="23" s="1"/>
  <c r="I29" i="23"/>
  <c r="H29" i="23"/>
  <c r="G29" i="23"/>
  <c r="J29" i="23" s="1"/>
  <c r="I28" i="23"/>
  <c r="H28" i="23"/>
  <c r="G28" i="23"/>
  <c r="J28" i="23" s="1"/>
  <c r="I27" i="23"/>
  <c r="H27" i="23"/>
  <c r="G27" i="23"/>
  <c r="J27" i="23" s="1"/>
  <c r="I26" i="23"/>
  <c r="H26" i="23"/>
  <c r="G26" i="23"/>
  <c r="J26" i="23" s="1"/>
  <c r="I25" i="23"/>
  <c r="H25" i="23"/>
  <c r="G25" i="23"/>
  <c r="J25" i="23" s="1"/>
  <c r="I24" i="23"/>
  <c r="H24" i="23"/>
  <c r="G24" i="23"/>
  <c r="J24" i="23" s="1"/>
  <c r="I23" i="23"/>
  <c r="H23" i="23"/>
  <c r="G23" i="23"/>
  <c r="J23" i="23" s="1"/>
  <c r="I22" i="23"/>
  <c r="H22" i="23"/>
  <c r="G22" i="23"/>
  <c r="J22" i="23" s="1"/>
  <c r="I21" i="23"/>
  <c r="H21" i="23"/>
  <c r="G21" i="23"/>
  <c r="J21" i="23" s="1"/>
  <c r="I20" i="23"/>
  <c r="H20" i="23"/>
  <c r="G20" i="23"/>
  <c r="J20" i="23" s="1"/>
  <c r="I19" i="23"/>
  <c r="H19" i="23"/>
  <c r="G19" i="23"/>
  <c r="J19" i="23" s="1"/>
  <c r="I18" i="23"/>
  <c r="H18" i="23"/>
  <c r="G18" i="23"/>
  <c r="J18" i="23" s="1"/>
  <c r="I17" i="23"/>
  <c r="H17" i="23"/>
  <c r="G17" i="23"/>
  <c r="J17" i="23" s="1"/>
  <c r="I16" i="23"/>
  <c r="H16" i="23"/>
  <c r="G16" i="23"/>
  <c r="J16" i="23" s="1"/>
  <c r="I15" i="23"/>
  <c r="H15" i="23"/>
  <c r="G15" i="23"/>
  <c r="J15" i="23" s="1"/>
  <c r="I14" i="23"/>
  <c r="H14" i="23"/>
  <c r="G14" i="23"/>
  <c r="J14" i="23" s="1"/>
  <c r="I13" i="23"/>
  <c r="H13" i="23"/>
  <c r="G13" i="23"/>
  <c r="J13" i="23" s="1"/>
  <c r="I12" i="23"/>
  <c r="H12" i="23"/>
  <c r="G12" i="23"/>
  <c r="J12" i="23" s="1"/>
  <c r="I11" i="23"/>
  <c r="H11" i="23"/>
  <c r="G11" i="23"/>
  <c r="J11" i="23" s="1"/>
  <c r="I10" i="23"/>
  <c r="H10" i="23"/>
  <c r="G10" i="23"/>
  <c r="J10" i="23" s="1"/>
  <c r="I9" i="23"/>
  <c r="H9" i="23"/>
  <c r="G9" i="23"/>
  <c r="J9" i="23" s="1"/>
  <c r="I8" i="23"/>
  <c r="H8" i="23"/>
  <c r="G8" i="23"/>
  <c r="J8" i="23" s="1"/>
  <c r="I7" i="23"/>
  <c r="H7" i="23"/>
  <c r="G7" i="23"/>
  <c r="J7" i="23" s="1"/>
  <c r="I6" i="23"/>
  <c r="H6" i="23"/>
  <c r="G6" i="23"/>
  <c r="J6" i="23" s="1"/>
  <c r="I5" i="23"/>
  <c r="H5" i="23"/>
  <c r="G5" i="23"/>
  <c r="J5" i="23" s="1"/>
  <c r="I4" i="23"/>
  <c r="I35" i="23" s="1"/>
  <c r="H4" i="23"/>
  <c r="H35" i="23" s="1"/>
  <c r="G4" i="23"/>
  <c r="G35" i="23" s="1"/>
  <c r="AE40" i="22"/>
  <c r="N38" i="22"/>
  <c r="M38" i="22"/>
  <c r="L38" i="22"/>
  <c r="J38" i="22"/>
  <c r="I38" i="22"/>
  <c r="H38" i="22"/>
  <c r="G38" i="22"/>
  <c r="F38" i="22"/>
  <c r="E38" i="22"/>
  <c r="D38" i="22"/>
  <c r="C38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O37" i="22"/>
  <c r="AC37" i="22" s="1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O36" i="22"/>
  <c r="K36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O35" i="22"/>
  <c r="K35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O34" i="22"/>
  <c r="AC34" i="22" s="1"/>
  <c r="K34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O33" i="22"/>
  <c r="K33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O32" i="22"/>
  <c r="K32" i="22"/>
  <c r="AC31" i="22"/>
  <c r="AB31" i="22"/>
  <c r="AA31" i="22"/>
  <c r="Z31" i="22"/>
  <c r="X31" i="22"/>
  <c r="W31" i="22"/>
  <c r="V31" i="22"/>
  <c r="U31" i="22"/>
  <c r="T31" i="22"/>
  <c r="S31" i="22"/>
  <c r="R31" i="22"/>
  <c r="Q31" i="22"/>
  <c r="O31" i="22"/>
  <c r="K31" i="22"/>
  <c r="Y31" i="22" s="1"/>
  <c r="AC30" i="22"/>
  <c r="AB30" i="22"/>
  <c r="AA30" i="22"/>
  <c r="Z30" i="22"/>
  <c r="X30" i="22"/>
  <c r="W30" i="22"/>
  <c r="V30" i="22"/>
  <c r="U30" i="22"/>
  <c r="T30" i="22"/>
  <c r="S30" i="22"/>
  <c r="R30" i="22"/>
  <c r="Q30" i="22"/>
  <c r="O30" i="22"/>
  <c r="K30" i="22"/>
  <c r="Y30" i="22" s="1"/>
  <c r="AB29" i="22"/>
  <c r="AA29" i="22"/>
  <c r="Z29" i="22"/>
  <c r="X29" i="22"/>
  <c r="W29" i="22"/>
  <c r="V29" i="22"/>
  <c r="U29" i="22"/>
  <c r="T29" i="22"/>
  <c r="S29" i="22"/>
  <c r="R29" i="22"/>
  <c r="Q29" i="22"/>
  <c r="O29" i="22"/>
  <c r="AC29" i="22" s="1"/>
  <c r="K29" i="22"/>
  <c r="Y29" i="22" s="1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O28" i="22"/>
  <c r="K28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O27" i="22"/>
  <c r="K27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O26" i="22"/>
  <c r="AC26" i="22" s="1"/>
  <c r="K26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O25" i="22"/>
  <c r="K25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O24" i="22"/>
  <c r="K24" i="22"/>
  <c r="AC23" i="22"/>
  <c r="AB23" i="22"/>
  <c r="AA23" i="22"/>
  <c r="Z23" i="22"/>
  <c r="X23" i="22"/>
  <c r="W23" i="22"/>
  <c r="V23" i="22"/>
  <c r="U23" i="22"/>
  <c r="T23" i="22"/>
  <c r="S23" i="22"/>
  <c r="R23" i="22"/>
  <c r="Q23" i="22"/>
  <c r="O23" i="22"/>
  <c r="K23" i="22"/>
  <c r="Y23" i="22" s="1"/>
  <c r="AC22" i="22"/>
  <c r="AB22" i="22"/>
  <c r="AA22" i="22"/>
  <c r="Z22" i="22"/>
  <c r="X22" i="22"/>
  <c r="W22" i="22"/>
  <c r="V22" i="22"/>
  <c r="U22" i="22"/>
  <c r="T22" i="22"/>
  <c r="S22" i="22"/>
  <c r="R22" i="22"/>
  <c r="Q22" i="22"/>
  <c r="O22" i="22"/>
  <c r="K22" i="22"/>
  <c r="Y22" i="22" s="1"/>
  <c r="AB21" i="22"/>
  <c r="AA21" i="22"/>
  <c r="Z21" i="22"/>
  <c r="X21" i="22"/>
  <c r="W21" i="22"/>
  <c r="V21" i="22"/>
  <c r="U21" i="22"/>
  <c r="T21" i="22"/>
  <c r="S21" i="22"/>
  <c r="R21" i="22"/>
  <c r="Q21" i="22"/>
  <c r="O21" i="22"/>
  <c r="AC21" i="22" s="1"/>
  <c r="K21" i="22"/>
  <c r="Y21" i="22" s="1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O20" i="22"/>
  <c r="K20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O19" i="22"/>
  <c r="K19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O18" i="22"/>
  <c r="AC18" i="22" s="1"/>
  <c r="K18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O17" i="22"/>
  <c r="K17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O16" i="22"/>
  <c r="K16" i="22"/>
  <c r="AC15" i="22"/>
  <c r="AB15" i="22"/>
  <c r="AA15" i="22"/>
  <c r="Z15" i="22"/>
  <c r="X15" i="22"/>
  <c r="W15" i="22"/>
  <c r="V15" i="22"/>
  <c r="U15" i="22"/>
  <c r="T15" i="22"/>
  <c r="S15" i="22"/>
  <c r="R15" i="22"/>
  <c r="Q15" i="22"/>
  <c r="O15" i="22"/>
  <c r="K15" i="22"/>
  <c r="Y15" i="22" s="1"/>
  <c r="AC14" i="22"/>
  <c r="AB14" i="22"/>
  <c r="AA14" i="22"/>
  <c r="Z14" i="22"/>
  <c r="X14" i="22"/>
  <c r="W14" i="22"/>
  <c r="V14" i="22"/>
  <c r="U14" i="22"/>
  <c r="T14" i="22"/>
  <c r="S14" i="22"/>
  <c r="R14" i="22"/>
  <c r="Q14" i="22"/>
  <c r="O14" i="22"/>
  <c r="K14" i="22"/>
  <c r="Y14" i="22" s="1"/>
  <c r="AB13" i="22"/>
  <c r="AA13" i="22"/>
  <c r="Z13" i="22"/>
  <c r="X13" i="22"/>
  <c r="W13" i="22"/>
  <c r="V13" i="22"/>
  <c r="U13" i="22"/>
  <c r="T13" i="22"/>
  <c r="S13" i="22"/>
  <c r="R13" i="22"/>
  <c r="Q13" i="22"/>
  <c r="O13" i="22"/>
  <c r="AC13" i="22" s="1"/>
  <c r="K13" i="22"/>
  <c r="Y13" i="22" s="1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O12" i="22"/>
  <c r="K12" i="22"/>
  <c r="AC11" i="22"/>
  <c r="AB11" i="22"/>
  <c r="AA11" i="22"/>
  <c r="Z11" i="22"/>
  <c r="Y11" i="22"/>
  <c r="X11" i="22"/>
  <c r="W11" i="22"/>
  <c r="V11" i="22"/>
  <c r="U11" i="22"/>
  <c r="T11" i="22"/>
  <c r="S11" i="22"/>
  <c r="S38" i="22" s="1"/>
  <c r="R11" i="22"/>
  <c r="Q11" i="22"/>
  <c r="O11" i="22"/>
  <c r="K11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O10" i="22"/>
  <c r="AC10" i="22" s="1"/>
  <c r="K10" i="22"/>
  <c r="AC9" i="22"/>
  <c r="AB9" i="22"/>
  <c r="AA9" i="22"/>
  <c r="Z9" i="22"/>
  <c r="Y9" i="22"/>
  <c r="X9" i="22"/>
  <c r="W9" i="22"/>
  <c r="V9" i="22"/>
  <c r="V38" i="22" s="1"/>
  <c r="U9" i="22"/>
  <c r="T9" i="22"/>
  <c r="S9" i="22"/>
  <c r="R9" i="22"/>
  <c r="Q9" i="22"/>
  <c r="O9" i="22"/>
  <c r="K9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O8" i="22"/>
  <c r="K8" i="22"/>
  <c r="AC7" i="22"/>
  <c r="AC38" i="22" s="1"/>
  <c r="AB7" i="22"/>
  <c r="AB38" i="22" s="1"/>
  <c r="AA7" i="22"/>
  <c r="AA38" i="22" s="1"/>
  <c r="Z7" i="22"/>
  <c r="Z38" i="22" s="1"/>
  <c r="X7" i="22"/>
  <c r="X38" i="22" s="1"/>
  <c r="W7" i="22"/>
  <c r="W38" i="22" s="1"/>
  <c r="V7" i="22"/>
  <c r="U7" i="22"/>
  <c r="U38" i="22" s="1"/>
  <c r="T7" i="22"/>
  <c r="S7" i="22"/>
  <c r="R7" i="22"/>
  <c r="Q7" i="22"/>
  <c r="Q38" i="22" s="1"/>
  <c r="P7" i="22"/>
  <c r="O7" i="22"/>
  <c r="O38" i="22" s="1"/>
  <c r="K7" i="22"/>
  <c r="Y7" i="22" s="1"/>
  <c r="G36" i="21"/>
  <c r="J35" i="21"/>
  <c r="I35" i="21"/>
  <c r="H35" i="21"/>
  <c r="K35" i="21" s="1"/>
  <c r="J34" i="21"/>
  <c r="I34" i="21"/>
  <c r="H34" i="21"/>
  <c r="K34" i="21" s="1"/>
  <c r="J33" i="21"/>
  <c r="I33" i="21"/>
  <c r="K33" i="21" s="1"/>
  <c r="H33" i="21"/>
  <c r="J32" i="21"/>
  <c r="I32" i="21"/>
  <c r="H32" i="21"/>
  <c r="K32" i="21" s="1"/>
  <c r="J31" i="21"/>
  <c r="I31" i="21"/>
  <c r="H31" i="21"/>
  <c r="K31" i="21" s="1"/>
  <c r="J30" i="21"/>
  <c r="I30" i="21"/>
  <c r="H30" i="21"/>
  <c r="K30" i="21" s="1"/>
  <c r="J29" i="21"/>
  <c r="I29" i="21"/>
  <c r="K29" i="21" s="1"/>
  <c r="H29" i="21"/>
  <c r="J28" i="21"/>
  <c r="I28" i="21"/>
  <c r="H28" i="21"/>
  <c r="K28" i="21" s="1"/>
  <c r="J27" i="21"/>
  <c r="I27" i="21"/>
  <c r="H27" i="21"/>
  <c r="K27" i="21" s="1"/>
  <c r="J26" i="21"/>
  <c r="I26" i="21"/>
  <c r="H26" i="21"/>
  <c r="K26" i="21" s="1"/>
  <c r="J25" i="21"/>
  <c r="I25" i="21"/>
  <c r="K25" i="21" s="1"/>
  <c r="H25" i="21"/>
  <c r="J24" i="21"/>
  <c r="I24" i="21"/>
  <c r="H24" i="21"/>
  <c r="K24" i="21" s="1"/>
  <c r="J23" i="21"/>
  <c r="I23" i="21"/>
  <c r="H23" i="21"/>
  <c r="K23" i="21" s="1"/>
  <c r="J22" i="21"/>
  <c r="I22" i="21"/>
  <c r="H22" i="21"/>
  <c r="K22" i="21" s="1"/>
  <c r="J21" i="21"/>
  <c r="I21" i="21"/>
  <c r="K21" i="21" s="1"/>
  <c r="H21" i="21"/>
  <c r="J20" i="21"/>
  <c r="I20" i="21"/>
  <c r="H20" i="21"/>
  <c r="K20" i="21" s="1"/>
  <c r="J19" i="21"/>
  <c r="I19" i="21"/>
  <c r="H19" i="21"/>
  <c r="K19" i="21" s="1"/>
  <c r="J18" i="21"/>
  <c r="I18" i="21"/>
  <c r="H18" i="21"/>
  <c r="K18" i="21" s="1"/>
  <c r="J17" i="21"/>
  <c r="I17" i="21"/>
  <c r="K17" i="21" s="1"/>
  <c r="H17" i="21"/>
  <c r="J16" i="21"/>
  <c r="I16" i="21"/>
  <c r="H16" i="21"/>
  <c r="K16" i="21" s="1"/>
  <c r="J15" i="21"/>
  <c r="I15" i="21"/>
  <c r="H15" i="21"/>
  <c r="K15" i="21" s="1"/>
  <c r="J14" i="21"/>
  <c r="I14" i="21"/>
  <c r="H14" i="21"/>
  <c r="K14" i="21" s="1"/>
  <c r="J13" i="21"/>
  <c r="I13" i="21"/>
  <c r="K13" i="21" s="1"/>
  <c r="H13" i="21"/>
  <c r="J12" i="21"/>
  <c r="I12" i="21"/>
  <c r="H12" i="21"/>
  <c r="K12" i="21" s="1"/>
  <c r="J11" i="21"/>
  <c r="I11" i="21"/>
  <c r="H11" i="21"/>
  <c r="K11" i="21" s="1"/>
  <c r="J10" i="21"/>
  <c r="I10" i="21"/>
  <c r="H10" i="21"/>
  <c r="K10" i="21" s="1"/>
  <c r="J9" i="21"/>
  <c r="I9" i="21"/>
  <c r="K9" i="21" s="1"/>
  <c r="H9" i="21"/>
  <c r="J8" i="21"/>
  <c r="I8" i="21"/>
  <c r="H8" i="21"/>
  <c r="K8" i="21" s="1"/>
  <c r="J7" i="21"/>
  <c r="I7" i="21"/>
  <c r="H7" i="21"/>
  <c r="K7" i="21" s="1"/>
  <c r="J6" i="21"/>
  <c r="I6" i="21"/>
  <c r="H6" i="21"/>
  <c r="H36" i="21" s="1"/>
  <c r="J5" i="21"/>
  <c r="J36" i="21" s="1"/>
  <c r="I5" i="21"/>
  <c r="I36" i="21" s="1"/>
  <c r="H5" i="21"/>
  <c r="K38" i="20"/>
  <c r="J38" i="20"/>
  <c r="I38" i="20"/>
  <c r="H38" i="20"/>
  <c r="G38" i="20"/>
  <c r="F38" i="20"/>
  <c r="E38" i="20"/>
  <c r="D38" i="20"/>
  <c r="C38" i="20"/>
  <c r="R37" i="20"/>
  <c r="Q37" i="20"/>
  <c r="P37" i="20"/>
  <c r="O37" i="20"/>
  <c r="N37" i="20"/>
  <c r="M37" i="20"/>
  <c r="L37" i="20"/>
  <c r="S37" i="20" s="1"/>
  <c r="R36" i="20"/>
  <c r="Q36" i="20"/>
  <c r="P36" i="20"/>
  <c r="O36" i="20"/>
  <c r="N36" i="20"/>
  <c r="S36" i="20" s="1"/>
  <c r="M36" i="20"/>
  <c r="L36" i="20"/>
  <c r="R35" i="20"/>
  <c r="Q35" i="20"/>
  <c r="P35" i="20"/>
  <c r="O35" i="20"/>
  <c r="N35" i="20"/>
  <c r="M35" i="20"/>
  <c r="L35" i="20"/>
  <c r="S35" i="20" s="1"/>
  <c r="R34" i="20"/>
  <c r="Q34" i="20"/>
  <c r="P34" i="20"/>
  <c r="O34" i="20"/>
  <c r="N34" i="20"/>
  <c r="S34" i="20" s="1"/>
  <c r="M34" i="20"/>
  <c r="L34" i="20"/>
  <c r="R33" i="20"/>
  <c r="Q33" i="20"/>
  <c r="P33" i="20"/>
  <c r="O33" i="20"/>
  <c r="N33" i="20"/>
  <c r="M33" i="20"/>
  <c r="L33" i="20"/>
  <c r="S33" i="20" s="1"/>
  <c r="R32" i="20"/>
  <c r="Q32" i="20"/>
  <c r="P32" i="20"/>
  <c r="O32" i="20"/>
  <c r="N32" i="20"/>
  <c r="S32" i="20" s="1"/>
  <c r="M32" i="20"/>
  <c r="L32" i="20"/>
  <c r="R31" i="20"/>
  <c r="Q31" i="20"/>
  <c r="P31" i="20"/>
  <c r="O31" i="20"/>
  <c r="N31" i="20"/>
  <c r="M31" i="20"/>
  <c r="L31" i="20"/>
  <c r="S31" i="20" s="1"/>
  <c r="R30" i="20"/>
  <c r="Q30" i="20"/>
  <c r="P30" i="20"/>
  <c r="O30" i="20"/>
  <c r="N30" i="20"/>
  <c r="S30" i="20" s="1"/>
  <c r="M30" i="20"/>
  <c r="L30" i="20"/>
  <c r="R29" i="20"/>
  <c r="Q29" i="20"/>
  <c r="P29" i="20"/>
  <c r="O29" i="20"/>
  <c r="N29" i="20"/>
  <c r="M29" i="20"/>
  <c r="L29" i="20"/>
  <c r="S29" i="20" s="1"/>
  <c r="R28" i="20"/>
  <c r="Q28" i="20"/>
  <c r="P28" i="20"/>
  <c r="O28" i="20"/>
  <c r="N28" i="20"/>
  <c r="S28" i="20" s="1"/>
  <c r="M28" i="20"/>
  <c r="L28" i="20"/>
  <c r="R27" i="20"/>
  <c r="Q27" i="20"/>
  <c r="P27" i="20"/>
  <c r="O27" i="20"/>
  <c r="N27" i="20"/>
  <c r="M27" i="20"/>
  <c r="L27" i="20"/>
  <c r="S27" i="20" s="1"/>
  <c r="R26" i="20"/>
  <c r="Q26" i="20"/>
  <c r="P26" i="20"/>
  <c r="O26" i="20"/>
  <c r="N26" i="20"/>
  <c r="S26" i="20" s="1"/>
  <c r="M26" i="20"/>
  <c r="L26" i="20"/>
  <c r="R25" i="20"/>
  <c r="Q25" i="20"/>
  <c r="P25" i="20"/>
  <c r="O25" i="20"/>
  <c r="N25" i="20"/>
  <c r="M25" i="20"/>
  <c r="L25" i="20"/>
  <c r="S25" i="20" s="1"/>
  <c r="R24" i="20"/>
  <c r="Q24" i="20"/>
  <c r="P24" i="20"/>
  <c r="O24" i="20"/>
  <c r="N24" i="20"/>
  <c r="S24" i="20" s="1"/>
  <c r="M24" i="20"/>
  <c r="L24" i="20"/>
  <c r="R23" i="20"/>
  <c r="Q23" i="20"/>
  <c r="P23" i="20"/>
  <c r="O23" i="20"/>
  <c r="N23" i="20"/>
  <c r="M23" i="20"/>
  <c r="L23" i="20"/>
  <c r="S23" i="20" s="1"/>
  <c r="R22" i="20"/>
  <c r="Q22" i="20"/>
  <c r="P22" i="20"/>
  <c r="O22" i="20"/>
  <c r="N22" i="20"/>
  <c r="S22" i="20" s="1"/>
  <c r="M22" i="20"/>
  <c r="L22" i="20"/>
  <c r="R21" i="20"/>
  <c r="Q21" i="20"/>
  <c r="P21" i="20"/>
  <c r="O21" i="20"/>
  <c r="N21" i="20"/>
  <c r="M21" i="20"/>
  <c r="L21" i="20"/>
  <c r="S21" i="20" s="1"/>
  <c r="R20" i="20"/>
  <c r="Q20" i="20"/>
  <c r="P20" i="20"/>
  <c r="O20" i="20"/>
  <c r="N20" i="20"/>
  <c r="S20" i="20" s="1"/>
  <c r="M20" i="20"/>
  <c r="L20" i="20"/>
  <c r="R19" i="20"/>
  <c r="Q19" i="20"/>
  <c r="P19" i="20"/>
  <c r="O19" i="20"/>
  <c r="N19" i="20"/>
  <c r="M19" i="20"/>
  <c r="L19" i="20"/>
  <c r="S19" i="20" s="1"/>
  <c r="R18" i="20"/>
  <c r="Q18" i="20"/>
  <c r="P18" i="20"/>
  <c r="O18" i="20"/>
  <c r="N18" i="20"/>
  <c r="S18" i="20" s="1"/>
  <c r="M18" i="20"/>
  <c r="L18" i="20"/>
  <c r="R17" i="20"/>
  <c r="Q17" i="20"/>
  <c r="P17" i="20"/>
  <c r="O17" i="20"/>
  <c r="N17" i="20"/>
  <c r="M17" i="20"/>
  <c r="L17" i="20"/>
  <c r="S17" i="20" s="1"/>
  <c r="R16" i="20"/>
  <c r="Q16" i="20"/>
  <c r="P16" i="20"/>
  <c r="O16" i="20"/>
  <c r="N16" i="20"/>
  <c r="S16" i="20" s="1"/>
  <c r="M16" i="20"/>
  <c r="L16" i="20"/>
  <c r="R15" i="20"/>
  <c r="Q15" i="20"/>
  <c r="P15" i="20"/>
  <c r="O15" i="20"/>
  <c r="N15" i="20"/>
  <c r="M15" i="20"/>
  <c r="L15" i="20"/>
  <c r="S15" i="20" s="1"/>
  <c r="R14" i="20"/>
  <c r="Q14" i="20"/>
  <c r="P14" i="20"/>
  <c r="O14" i="20"/>
  <c r="N14" i="20"/>
  <c r="S14" i="20" s="1"/>
  <c r="M14" i="20"/>
  <c r="L14" i="20"/>
  <c r="R13" i="20"/>
  <c r="Q13" i="20"/>
  <c r="P13" i="20"/>
  <c r="O13" i="20"/>
  <c r="N13" i="20"/>
  <c r="M13" i="20"/>
  <c r="L13" i="20"/>
  <c r="S13" i="20" s="1"/>
  <c r="R12" i="20"/>
  <c r="Q12" i="20"/>
  <c r="P12" i="20"/>
  <c r="O12" i="20"/>
  <c r="N12" i="20"/>
  <c r="S12" i="20" s="1"/>
  <c r="M12" i="20"/>
  <c r="L12" i="20"/>
  <c r="R11" i="20"/>
  <c r="Q11" i="20"/>
  <c r="P11" i="20"/>
  <c r="O11" i="20"/>
  <c r="N11" i="20"/>
  <c r="M11" i="20"/>
  <c r="L11" i="20"/>
  <c r="S11" i="20" s="1"/>
  <c r="R10" i="20"/>
  <c r="Q10" i="20"/>
  <c r="P10" i="20"/>
  <c r="O10" i="20"/>
  <c r="N10" i="20"/>
  <c r="S10" i="20" s="1"/>
  <c r="M10" i="20"/>
  <c r="L10" i="20"/>
  <c r="R9" i="20"/>
  <c r="Q9" i="20"/>
  <c r="P9" i="20"/>
  <c r="O9" i="20"/>
  <c r="N9" i="20"/>
  <c r="M9" i="20"/>
  <c r="L9" i="20"/>
  <c r="S9" i="20" s="1"/>
  <c r="R8" i="20"/>
  <c r="Q8" i="20"/>
  <c r="P8" i="20"/>
  <c r="O8" i="20"/>
  <c r="N8" i="20"/>
  <c r="S8" i="20" s="1"/>
  <c r="M8" i="20"/>
  <c r="L8" i="20"/>
  <c r="R7" i="20"/>
  <c r="R38" i="20" s="1"/>
  <c r="Q7" i="20"/>
  <c r="Q38" i="20" s="1"/>
  <c r="P7" i="20"/>
  <c r="P38" i="20" s="1"/>
  <c r="O7" i="20"/>
  <c r="O38" i="20" s="1"/>
  <c r="N7" i="20"/>
  <c r="N38" i="20" s="1"/>
  <c r="M7" i="20"/>
  <c r="M38" i="20" s="1"/>
  <c r="L7" i="20"/>
  <c r="S7" i="20" s="1"/>
  <c r="H36" i="19"/>
  <c r="F36" i="19"/>
  <c r="E36" i="19"/>
  <c r="D36" i="19"/>
  <c r="Q35" i="19"/>
  <c r="P35" i="19"/>
  <c r="O35" i="19"/>
  <c r="R35" i="19" s="1"/>
  <c r="N35" i="19"/>
  <c r="M35" i="19"/>
  <c r="L35" i="19"/>
  <c r="K35" i="19"/>
  <c r="Q34" i="19"/>
  <c r="P34" i="19"/>
  <c r="O34" i="19"/>
  <c r="N34" i="19"/>
  <c r="M34" i="19"/>
  <c r="L34" i="19"/>
  <c r="K34" i="19"/>
  <c r="R34" i="19" s="1"/>
  <c r="Q33" i="19"/>
  <c r="P33" i="19"/>
  <c r="O33" i="19"/>
  <c r="R33" i="19" s="1"/>
  <c r="N33" i="19"/>
  <c r="M33" i="19"/>
  <c r="L33" i="19"/>
  <c r="K33" i="19"/>
  <c r="Q32" i="19"/>
  <c r="P32" i="19"/>
  <c r="O32" i="19"/>
  <c r="N32" i="19"/>
  <c r="M32" i="19"/>
  <c r="L32" i="19"/>
  <c r="K32" i="19"/>
  <c r="R32" i="19" s="1"/>
  <c r="Q31" i="19"/>
  <c r="P31" i="19"/>
  <c r="O31" i="19"/>
  <c r="R31" i="19" s="1"/>
  <c r="N31" i="19"/>
  <c r="M31" i="19"/>
  <c r="L31" i="19"/>
  <c r="K31" i="19"/>
  <c r="Q30" i="19"/>
  <c r="P30" i="19"/>
  <c r="O30" i="19"/>
  <c r="N30" i="19"/>
  <c r="M30" i="19"/>
  <c r="L30" i="19"/>
  <c r="K30" i="19"/>
  <c r="R30" i="19" s="1"/>
  <c r="Q29" i="19"/>
  <c r="P29" i="19"/>
  <c r="O29" i="19"/>
  <c r="R29" i="19" s="1"/>
  <c r="N29" i="19"/>
  <c r="M29" i="19"/>
  <c r="L29" i="19"/>
  <c r="K29" i="19"/>
  <c r="Q28" i="19"/>
  <c r="P28" i="19"/>
  <c r="O28" i="19"/>
  <c r="N28" i="19"/>
  <c r="M28" i="19"/>
  <c r="L28" i="19"/>
  <c r="K28" i="19"/>
  <c r="R28" i="19" s="1"/>
  <c r="Q27" i="19"/>
  <c r="P27" i="19"/>
  <c r="O27" i="19"/>
  <c r="R27" i="19" s="1"/>
  <c r="N27" i="19"/>
  <c r="M27" i="19"/>
  <c r="L27" i="19"/>
  <c r="K27" i="19"/>
  <c r="Q26" i="19"/>
  <c r="P26" i="19"/>
  <c r="O26" i="19"/>
  <c r="N26" i="19"/>
  <c r="M26" i="19"/>
  <c r="L26" i="19"/>
  <c r="K26" i="19"/>
  <c r="R26" i="19" s="1"/>
  <c r="Q25" i="19"/>
  <c r="P25" i="19"/>
  <c r="O25" i="19"/>
  <c r="R25" i="19" s="1"/>
  <c r="N25" i="19"/>
  <c r="M25" i="19"/>
  <c r="L25" i="19"/>
  <c r="K25" i="19"/>
  <c r="Q24" i="19"/>
  <c r="P24" i="19"/>
  <c r="O24" i="19"/>
  <c r="N24" i="19"/>
  <c r="M24" i="19"/>
  <c r="L24" i="19"/>
  <c r="K24" i="19"/>
  <c r="R24" i="19" s="1"/>
  <c r="Q23" i="19"/>
  <c r="P23" i="19"/>
  <c r="O23" i="19"/>
  <c r="R23" i="19" s="1"/>
  <c r="N23" i="19"/>
  <c r="M23" i="19"/>
  <c r="L23" i="19"/>
  <c r="K23" i="19"/>
  <c r="Q22" i="19"/>
  <c r="P22" i="19"/>
  <c r="O22" i="19"/>
  <c r="N22" i="19"/>
  <c r="M22" i="19"/>
  <c r="L22" i="19"/>
  <c r="K22" i="19"/>
  <c r="R22" i="19" s="1"/>
  <c r="Q21" i="19"/>
  <c r="P21" i="19"/>
  <c r="O21" i="19"/>
  <c r="R21" i="19" s="1"/>
  <c r="N21" i="19"/>
  <c r="M21" i="19"/>
  <c r="L21" i="19"/>
  <c r="K21" i="19"/>
  <c r="Q20" i="19"/>
  <c r="P20" i="19"/>
  <c r="O20" i="19"/>
  <c r="N20" i="19"/>
  <c r="M20" i="19"/>
  <c r="L20" i="19"/>
  <c r="K20" i="19"/>
  <c r="R20" i="19" s="1"/>
  <c r="Q19" i="19"/>
  <c r="P19" i="19"/>
  <c r="O19" i="19"/>
  <c r="R19" i="19" s="1"/>
  <c r="N19" i="19"/>
  <c r="M19" i="19"/>
  <c r="L19" i="19"/>
  <c r="K19" i="19"/>
  <c r="Q18" i="19"/>
  <c r="P18" i="19"/>
  <c r="O18" i="19"/>
  <c r="N18" i="19"/>
  <c r="M18" i="19"/>
  <c r="L18" i="19"/>
  <c r="K18" i="19"/>
  <c r="R18" i="19" s="1"/>
  <c r="Q17" i="19"/>
  <c r="P17" i="19"/>
  <c r="O17" i="19"/>
  <c r="R17" i="19" s="1"/>
  <c r="N17" i="19"/>
  <c r="M17" i="19"/>
  <c r="L17" i="19"/>
  <c r="K17" i="19"/>
  <c r="Q16" i="19"/>
  <c r="P16" i="19"/>
  <c r="O16" i="19"/>
  <c r="N16" i="19"/>
  <c r="M16" i="19"/>
  <c r="L16" i="19"/>
  <c r="K16" i="19"/>
  <c r="R16" i="19" s="1"/>
  <c r="Q15" i="19"/>
  <c r="P15" i="19"/>
  <c r="O15" i="19"/>
  <c r="R15" i="19" s="1"/>
  <c r="N15" i="19"/>
  <c r="M15" i="19"/>
  <c r="L15" i="19"/>
  <c r="K15" i="19"/>
  <c r="Q14" i="19"/>
  <c r="P14" i="19"/>
  <c r="O14" i="19"/>
  <c r="N14" i="19"/>
  <c r="M14" i="19"/>
  <c r="L14" i="19"/>
  <c r="K14" i="19"/>
  <c r="R14" i="19" s="1"/>
  <c r="Q13" i="19"/>
  <c r="P13" i="19"/>
  <c r="O13" i="19"/>
  <c r="R13" i="19" s="1"/>
  <c r="N13" i="19"/>
  <c r="M13" i="19"/>
  <c r="L13" i="19"/>
  <c r="K13" i="19"/>
  <c r="Q12" i="19"/>
  <c r="P12" i="19"/>
  <c r="O12" i="19"/>
  <c r="N12" i="19"/>
  <c r="M12" i="19"/>
  <c r="L12" i="19"/>
  <c r="K12" i="19"/>
  <c r="R12" i="19" s="1"/>
  <c r="Q11" i="19"/>
  <c r="P11" i="19"/>
  <c r="O11" i="19"/>
  <c r="R11" i="19" s="1"/>
  <c r="N11" i="19"/>
  <c r="M11" i="19"/>
  <c r="L11" i="19"/>
  <c r="K11" i="19"/>
  <c r="Q10" i="19"/>
  <c r="P10" i="19"/>
  <c r="O10" i="19"/>
  <c r="N10" i="19"/>
  <c r="M10" i="19"/>
  <c r="L10" i="19"/>
  <c r="K10" i="19"/>
  <c r="R10" i="19" s="1"/>
  <c r="Q9" i="19"/>
  <c r="P9" i="19"/>
  <c r="O9" i="19"/>
  <c r="R9" i="19" s="1"/>
  <c r="N9" i="19"/>
  <c r="M9" i="19"/>
  <c r="L9" i="19"/>
  <c r="K9" i="19"/>
  <c r="Q8" i="19"/>
  <c r="P8" i="19"/>
  <c r="O8" i="19"/>
  <c r="N8" i="19"/>
  <c r="M8" i="19"/>
  <c r="L8" i="19"/>
  <c r="K8" i="19"/>
  <c r="R8" i="19" s="1"/>
  <c r="Q7" i="19"/>
  <c r="P7" i="19"/>
  <c r="O7" i="19"/>
  <c r="R7" i="19" s="1"/>
  <c r="N7" i="19"/>
  <c r="M7" i="19"/>
  <c r="L7" i="19"/>
  <c r="K7" i="19"/>
  <c r="Q6" i="19"/>
  <c r="P6" i="19"/>
  <c r="O6" i="19"/>
  <c r="N6" i="19"/>
  <c r="M6" i="19"/>
  <c r="L6" i="19"/>
  <c r="K6" i="19"/>
  <c r="R6" i="19" s="1"/>
  <c r="Q5" i="19"/>
  <c r="Q36" i="19" s="1"/>
  <c r="P5" i="19"/>
  <c r="P36" i="19" s="1"/>
  <c r="O5" i="19"/>
  <c r="O36" i="19" s="1"/>
  <c r="N5" i="19"/>
  <c r="N36" i="19" s="1"/>
  <c r="M5" i="19"/>
  <c r="M36" i="19" s="1"/>
  <c r="L5" i="19"/>
  <c r="L36" i="19" s="1"/>
  <c r="K5" i="19"/>
  <c r="F36" i="18"/>
  <c r="E36" i="18"/>
  <c r="D36" i="18"/>
  <c r="Q35" i="18"/>
  <c r="P35" i="18"/>
  <c r="N35" i="18"/>
  <c r="M35" i="18"/>
  <c r="L35" i="18"/>
  <c r="K35" i="18"/>
  <c r="Q34" i="18"/>
  <c r="P34" i="18"/>
  <c r="N34" i="18"/>
  <c r="M34" i="18"/>
  <c r="L34" i="18"/>
  <c r="K34" i="18"/>
  <c r="Q33" i="18"/>
  <c r="P33" i="18"/>
  <c r="N33" i="18"/>
  <c r="M33" i="18"/>
  <c r="L33" i="18"/>
  <c r="K33" i="18"/>
  <c r="Q32" i="18"/>
  <c r="P32" i="18"/>
  <c r="N32" i="18"/>
  <c r="M32" i="18"/>
  <c r="L32" i="18"/>
  <c r="K32" i="18"/>
  <c r="Q31" i="18"/>
  <c r="P31" i="18"/>
  <c r="N31" i="18"/>
  <c r="M31" i="18"/>
  <c r="L31" i="18"/>
  <c r="K31" i="18"/>
  <c r="Q30" i="18"/>
  <c r="P30" i="18"/>
  <c r="N30" i="18"/>
  <c r="M30" i="18"/>
  <c r="L30" i="18"/>
  <c r="K30" i="18"/>
  <c r="Q29" i="18"/>
  <c r="P29" i="18"/>
  <c r="N29" i="18"/>
  <c r="M29" i="18"/>
  <c r="L29" i="18"/>
  <c r="K29" i="18"/>
  <c r="Q28" i="18"/>
  <c r="P28" i="18"/>
  <c r="N28" i="18"/>
  <c r="M28" i="18"/>
  <c r="L28" i="18"/>
  <c r="K28" i="18"/>
  <c r="Q27" i="18"/>
  <c r="P27" i="18"/>
  <c r="N27" i="18"/>
  <c r="M27" i="18"/>
  <c r="L27" i="18"/>
  <c r="K27" i="18"/>
  <c r="Q26" i="18"/>
  <c r="P26" i="18"/>
  <c r="N26" i="18"/>
  <c r="M26" i="18"/>
  <c r="L26" i="18"/>
  <c r="K26" i="18"/>
  <c r="Q25" i="18"/>
  <c r="P25" i="18"/>
  <c r="N25" i="18"/>
  <c r="M25" i="18"/>
  <c r="L25" i="18"/>
  <c r="K25" i="18"/>
  <c r="Q24" i="18"/>
  <c r="P24" i="18"/>
  <c r="N24" i="18"/>
  <c r="M24" i="18"/>
  <c r="L24" i="18"/>
  <c r="K24" i="18"/>
  <c r="Q23" i="18"/>
  <c r="P23" i="18"/>
  <c r="N23" i="18"/>
  <c r="M23" i="18"/>
  <c r="L23" i="18"/>
  <c r="K23" i="18"/>
  <c r="Q22" i="18"/>
  <c r="P22" i="18"/>
  <c r="N22" i="18"/>
  <c r="M22" i="18"/>
  <c r="L22" i="18"/>
  <c r="K22" i="18"/>
  <c r="Q21" i="18"/>
  <c r="P21" i="18"/>
  <c r="N21" i="18"/>
  <c r="M21" i="18"/>
  <c r="L21" i="18"/>
  <c r="K21" i="18"/>
  <c r="Q20" i="18"/>
  <c r="P20" i="18"/>
  <c r="N20" i="18"/>
  <c r="M20" i="18"/>
  <c r="L20" i="18"/>
  <c r="K20" i="18"/>
  <c r="Q19" i="18"/>
  <c r="P19" i="18"/>
  <c r="N19" i="18"/>
  <c r="M19" i="18"/>
  <c r="L19" i="18"/>
  <c r="K19" i="18"/>
  <c r="Q18" i="18"/>
  <c r="P18" i="18"/>
  <c r="N18" i="18"/>
  <c r="M18" i="18"/>
  <c r="L18" i="18"/>
  <c r="K18" i="18"/>
  <c r="Q17" i="18"/>
  <c r="P17" i="18"/>
  <c r="N17" i="18"/>
  <c r="M17" i="18"/>
  <c r="L17" i="18"/>
  <c r="K17" i="18"/>
  <c r="Q16" i="18"/>
  <c r="P16" i="18"/>
  <c r="N16" i="18"/>
  <c r="M16" i="18"/>
  <c r="L16" i="18"/>
  <c r="K16" i="18"/>
  <c r="Q15" i="18"/>
  <c r="P15" i="18"/>
  <c r="N15" i="18"/>
  <c r="M15" i="18"/>
  <c r="L15" i="18"/>
  <c r="K15" i="18"/>
  <c r="Q14" i="18"/>
  <c r="P14" i="18"/>
  <c r="N14" i="18"/>
  <c r="M14" i="18"/>
  <c r="L14" i="18"/>
  <c r="K14" i="18"/>
  <c r="Q13" i="18"/>
  <c r="P13" i="18"/>
  <c r="N13" i="18"/>
  <c r="M13" i="18"/>
  <c r="L13" i="18"/>
  <c r="K13" i="18"/>
  <c r="Q12" i="18"/>
  <c r="P12" i="18"/>
  <c r="N12" i="18"/>
  <c r="M12" i="18"/>
  <c r="L12" i="18"/>
  <c r="K12" i="18"/>
  <c r="Q11" i="18"/>
  <c r="P11" i="18"/>
  <c r="N11" i="18"/>
  <c r="M11" i="18"/>
  <c r="L11" i="18"/>
  <c r="K11" i="18"/>
  <c r="Q10" i="18"/>
  <c r="P10" i="18"/>
  <c r="N10" i="18"/>
  <c r="M10" i="18"/>
  <c r="L10" i="18"/>
  <c r="K10" i="18"/>
  <c r="Q9" i="18"/>
  <c r="P9" i="18"/>
  <c r="N9" i="18"/>
  <c r="M9" i="18"/>
  <c r="L9" i="18"/>
  <c r="K9" i="18"/>
  <c r="Q8" i="18"/>
  <c r="P8" i="18"/>
  <c r="N8" i="18"/>
  <c r="M8" i="18"/>
  <c r="L8" i="18"/>
  <c r="K8" i="18"/>
  <c r="Q7" i="18"/>
  <c r="P7" i="18"/>
  <c r="N7" i="18"/>
  <c r="M7" i="18"/>
  <c r="L7" i="18"/>
  <c r="K7" i="18"/>
  <c r="Q6" i="18"/>
  <c r="P6" i="18"/>
  <c r="N6" i="18"/>
  <c r="M6" i="18"/>
  <c r="L6" i="18"/>
  <c r="K6" i="18"/>
  <c r="H6" i="18"/>
  <c r="H7" i="18" s="1"/>
  <c r="Q5" i="18"/>
  <c r="Q36" i="18" s="1"/>
  <c r="P5" i="18"/>
  <c r="P36" i="18" s="1"/>
  <c r="O5" i="18"/>
  <c r="N5" i="18"/>
  <c r="N36" i="18" s="1"/>
  <c r="M5" i="18"/>
  <c r="R5" i="18" s="1"/>
  <c r="L5" i="18"/>
  <c r="L36" i="18" s="1"/>
  <c r="K5" i="18"/>
  <c r="K36" i="18" s="1"/>
  <c r="J4" i="23" l="1"/>
  <c r="J35" i="23" s="1"/>
  <c r="A1" i="23" s="1"/>
  <c r="Y38" i="22"/>
  <c r="AE7" i="22"/>
  <c r="R38" i="22"/>
  <c r="T38" i="22"/>
  <c r="AD7" i="22"/>
  <c r="P8" i="22"/>
  <c r="K38" i="22"/>
  <c r="K5" i="21"/>
  <c r="K6" i="21"/>
  <c r="S38" i="20"/>
  <c r="S39" i="20" s="1"/>
  <c r="A1" i="20" s="1"/>
  <c r="L38" i="20"/>
  <c r="R5" i="19"/>
  <c r="R36" i="19" s="1"/>
  <c r="A1" i="19" s="1"/>
  <c r="K36" i="19"/>
  <c r="O7" i="18"/>
  <c r="H8" i="18"/>
  <c r="R7" i="18"/>
  <c r="M36" i="18"/>
  <c r="O6" i="18"/>
  <c r="R6" i="18" s="1"/>
  <c r="P9" i="22" l="1"/>
  <c r="AD8" i="22"/>
  <c r="AE8" i="22" s="1"/>
  <c r="K36" i="21"/>
  <c r="A1" i="21" s="1"/>
  <c r="O8" i="18"/>
  <c r="R8" i="18" s="1"/>
  <c r="H9" i="18"/>
  <c r="P10" i="22" l="1"/>
  <c r="AD9" i="22"/>
  <c r="H10" i="18"/>
  <c r="O9" i="18"/>
  <c r="R9" i="18" s="1"/>
  <c r="AE9" i="22" l="1"/>
  <c r="P11" i="22"/>
  <c r="AD10" i="22"/>
  <c r="AE10" i="22" s="1"/>
  <c r="O10" i="18"/>
  <c r="H11" i="18"/>
  <c r="AD11" i="22" l="1"/>
  <c r="AE11" i="22" s="1"/>
  <c r="P12" i="22"/>
  <c r="H12" i="18"/>
  <c r="O11" i="18"/>
  <c r="R11" i="18" s="1"/>
  <c r="R10" i="18"/>
  <c r="AD12" i="22" l="1"/>
  <c r="P13" i="22"/>
  <c r="O12" i="18"/>
  <c r="R12" i="18" s="1"/>
  <c r="H13" i="18"/>
  <c r="AE12" i="22" l="1"/>
  <c r="P14" i="22"/>
  <c r="AD13" i="22"/>
  <c r="AE13" i="22" s="1"/>
  <c r="H14" i="18"/>
  <c r="O13" i="18"/>
  <c r="R13" i="18" s="1"/>
  <c r="P15" i="22" l="1"/>
  <c r="AD14" i="22"/>
  <c r="AE14" i="22" s="1"/>
  <c r="O14" i="18"/>
  <c r="R14" i="18" s="1"/>
  <c r="H15" i="18"/>
  <c r="P16" i="22" l="1"/>
  <c r="AD15" i="22"/>
  <c r="AE15" i="22" s="1"/>
  <c r="O15" i="18"/>
  <c r="R15" i="18" s="1"/>
  <c r="H16" i="18"/>
  <c r="P17" i="22" l="1"/>
  <c r="AD16" i="22"/>
  <c r="AE16" i="22" s="1"/>
  <c r="H17" i="18"/>
  <c r="O16" i="18"/>
  <c r="R16" i="18" s="1"/>
  <c r="P18" i="22" l="1"/>
  <c r="AD17" i="22"/>
  <c r="AE17" i="22" s="1"/>
  <c r="O17" i="18"/>
  <c r="R17" i="18" s="1"/>
  <c r="H18" i="18"/>
  <c r="P19" i="22" l="1"/>
  <c r="AD18" i="22"/>
  <c r="AE18" i="22" s="1"/>
  <c r="H19" i="18"/>
  <c r="O18" i="18"/>
  <c r="R18" i="18" s="1"/>
  <c r="AD19" i="22" l="1"/>
  <c r="AE19" i="22" s="1"/>
  <c r="P20" i="22"/>
  <c r="H20" i="18"/>
  <c r="O19" i="18"/>
  <c r="R19" i="18" s="1"/>
  <c r="AD20" i="22" l="1"/>
  <c r="AE20" i="22" s="1"/>
  <c r="P21" i="22"/>
  <c r="H21" i="18"/>
  <c r="O20" i="18"/>
  <c r="R20" i="18" s="1"/>
  <c r="P22" i="22" l="1"/>
  <c r="AD21" i="22"/>
  <c r="AE21" i="22" s="1"/>
  <c r="H22" i="18"/>
  <c r="O21" i="18"/>
  <c r="R21" i="18" s="1"/>
  <c r="P23" i="22" l="1"/>
  <c r="AD22" i="22"/>
  <c r="AE22" i="22" s="1"/>
  <c r="H23" i="18"/>
  <c r="O22" i="18"/>
  <c r="R22" i="18" s="1"/>
  <c r="P24" i="22" l="1"/>
  <c r="AD23" i="22"/>
  <c r="AE23" i="22" s="1"/>
  <c r="H24" i="18"/>
  <c r="O23" i="18"/>
  <c r="R23" i="18" s="1"/>
  <c r="P25" i="22" l="1"/>
  <c r="AD24" i="22"/>
  <c r="AE24" i="22" s="1"/>
  <c r="O24" i="18"/>
  <c r="R24" i="18" s="1"/>
  <c r="H25" i="18"/>
  <c r="P26" i="22" l="1"/>
  <c r="AD25" i="22"/>
  <c r="AE25" i="22" s="1"/>
  <c r="H26" i="18"/>
  <c r="O25" i="18"/>
  <c r="R25" i="18" s="1"/>
  <c r="P27" i="22" l="1"/>
  <c r="AD26" i="22"/>
  <c r="AE26" i="22" s="1"/>
  <c r="O26" i="18"/>
  <c r="R26" i="18" s="1"/>
  <c r="H27" i="18"/>
  <c r="AD27" i="22" l="1"/>
  <c r="AE27" i="22" s="1"/>
  <c r="P28" i="22"/>
  <c r="H28" i="18"/>
  <c r="O27" i="18"/>
  <c r="R27" i="18" s="1"/>
  <c r="AD28" i="22" l="1"/>
  <c r="AE28" i="22" s="1"/>
  <c r="P29" i="22"/>
  <c r="H29" i="18"/>
  <c r="O28" i="18"/>
  <c r="R28" i="18" s="1"/>
  <c r="P30" i="22" l="1"/>
  <c r="AD29" i="22"/>
  <c r="AE29" i="22" s="1"/>
  <c r="H30" i="18"/>
  <c r="O29" i="18"/>
  <c r="R29" i="18" s="1"/>
  <c r="P31" i="22" l="1"/>
  <c r="AD30" i="22"/>
  <c r="AE30" i="22" s="1"/>
  <c r="H31" i="18"/>
  <c r="O30" i="18"/>
  <c r="R30" i="18" s="1"/>
  <c r="P32" i="22" l="1"/>
  <c r="AD31" i="22"/>
  <c r="AE31" i="22" s="1"/>
  <c r="O31" i="18"/>
  <c r="R31" i="18" s="1"/>
  <c r="H32" i="18"/>
  <c r="P33" i="22" l="1"/>
  <c r="AD32" i="22"/>
  <c r="AE32" i="22" s="1"/>
  <c r="H33" i="18"/>
  <c r="O32" i="18"/>
  <c r="R32" i="18" s="1"/>
  <c r="P34" i="22" l="1"/>
  <c r="AD33" i="22"/>
  <c r="AE33" i="22" s="1"/>
  <c r="O33" i="18"/>
  <c r="R33" i="18" s="1"/>
  <c r="H34" i="18"/>
  <c r="P35" i="22" l="1"/>
  <c r="AD34" i="22"/>
  <c r="AE34" i="22" s="1"/>
  <c r="H35" i="18"/>
  <c r="O34" i="18"/>
  <c r="R34" i="18" s="1"/>
  <c r="AD35" i="22" l="1"/>
  <c r="AE35" i="22" s="1"/>
  <c r="P36" i="22"/>
  <c r="O35" i="18"/>
  <c r="H36" i="18"/>
  <c r="AD36" i="22" l="1"/>
  <c r="AE36" i="22" s="1"/>
  <c r="P37" i="22"/>
  <c r="R35" i="18"/>
  <c r="R36" i="18" s="1"/>
  <c r="A1" i="18" s="1"/>
  <c r="O36" i="18"/>
  <c r="AD37" i="22" l="1"/>
  <c r="P38" i="22"/>
  <c r="AE37" i="22" l="1"/>
  <c r="AE38" i="22" s="1"/>
  <c r="AE41" i="22" s="1"/>
  <c r="A1" i="22" s="1"/>
  <c r="AD38" i="22"/>
  <c r="B14" i="17" l="1"/>
  <c r="F11" i="17"/>
  <c r="G11" i="17" s="1"/>
  <c r="F10" i="17"/>
  <c r="F12" i="17" s="1"/>
  <c r="A4" i="17"/>
  <c r="A3" i="17"/>
  <c r="G10" i="17" l="1"/>
  <c r="G12" i="17" s="1"/>
  <c r="B14" i="16"/>
  <c r="F11" i="16"/>
  <c r="G11" i="16" s="1"/>
  <c r="F10" i="16"/>
  <c r="F12" i="16" s="1"/>
  <c r="A4" i="16"/>
  <c r="A3" i="16"/>
  <c r="G10" i="16" l="1"/>
  <c r="G12" i="16" s="1"/>
  <c r="D15" i="14" l="1"/>
  <c r="F15" i="14" s="1"/>
  <c r="D14" i="14"/>
  <c r="F14" i="14" s="1"/>
  <c r="D13" i="14"/>
  <c r="F13" i="14" s="1"/>
  <c r="F12" i="14"/>
  <c r="D11" i="14"/>
  <c r="F11" i="14" s="1"/>
  <c r="D10" i="14"/>
  <c r="F10" i="14" s="1"/>
  <c r="F17" i="14" s="1"/>
  <c r="F18" i="14" s="1"/>
  <c r="F19" i="14" s="1"/>
  <c r="A7" i="14"/>
  <c r="A4" i="14"/>
  <c r="A3" i="14"/>
  <c r="D15" i="13"/>
  <c r="F15" i="13" s="1"/>
  <c r="D14" i="13"/>
  <c r="F14" i="13" s="1"/>
  <c r="D13" i="13"/>
  <c r="F13" i="13" s="1"/>
  <c r="F12" i="13"/>
  <c r="D11" i="13"/>
  <c r="F11" i="13" s="1"/>
  <c r="D10" i="13"/>
  <c r="F10" i="13" s="1"/>
  <c r="A7" i="13"/>
  <c r="A4" i="13"/>
  <c r="A3" i="13"/>
  <c r="F17" i="12"/>
  <c r="D16" i="12"/>
  <c r="F16" i="12" s="1"/>
  <c r="D15" i="12"/>
  <c r="F15" i="12" s="1"/>
  <c r="D14" i="12"/>
  <c r="F14" i="12" s="1"/>
  <c r="D13" i="12"/>
  <c r="F13" i="12" s="1"/>
  <c r="F12" i="12"/>
  <c r="D11" i="12"/>
  <c r="F11" i="12" s="1"/>
  <c r="D10" i="12"/>
  <c r="F10" i="12" s="1"/>
  <c r="F18" i="12" s="1"/>
  <c r="F19" i="12" s="1"/>
  <c r="F20" i="12" s="1"/>
  <c r="A7" i="12"/>
  <c r="A4" i="12"/>
  <c r="A3" i="12"/>
  <c r="H37" i="11"/>
  <c r="F37" i="11"/>
  <c r="E37" i="11"/>
  <c r="D37" i="11"/>
  <c r="C37" i="11"/>
  <c r="P36" i="11"/>
  <c r="J36" i="11" s="1"/>
  <c r="N36" i="11"/>
  <c r="L36" i="11"/>
  <c r="K36" i="11"/>
  <c r="P35" i="11"/>
  <c r="J35" i="11" s="1"/>
  <c r="N35" i="11"/>
  <c r="L35" i="11"/>
  <c r="K35" i="11"/>
  <c r="P34" i="11"/>
  <c r="J34" i="11" s="1"/>
  <c r="N34" i="11"/>
  <c r="L34" i="11"/>
  <c r="K34" i="11"/>
  <c r="P33" i="11"/>
  <c r="I33" i="11" s="1"/>
  <c r="N33" i="11"/>
  <c r="L33" i="11"/>
  <c r="K33" i="11"/>
  <c r="P32" i="11"/>
  <c r="J32" i="11" s="1"/>
  <c r="N32" i="11"/>
  <c r="L32" i="11"/>
  <c r="K32" i="11"/>
  <c r="P31" i="11"/>
  <c r="J31" i="11" s="1"/>
  <c r="N31" i="11"/>
  <c r="L31" i="11"/>
  <c r="K31" i="11"/>
  <c r="P30" i="11"/>
  <c r="J30" i="11" s="1"/>
  <c r="N30" i="11"/>
  <c r="L30" i="11"/>
  <c r="K30" i="11"/>
  <c r="P29" i="11"/>
  <c r="J29" i="11" s="1"/>
  <c r="N29" i="11"/>
  <c r="L29" i="11"/>
  <c r="K29" i="11"/>
  <c r="P28" i="11"/>
  <c r="J28" i="11" s="1"/>
  <c r="N28" i="11"/>
  <c r="L28" i="11"/>
  <c r="K28" i="11"/>
  <c r="P27" i="11"/>
  <c r="J27" i="11" s="1"/>
  <c r="N27" i="11"/>
  <c r="L27" i="11"/>
  <c r="K27" i="11"/>
  <c r="P26" i="11"/>
  <c r="J26" i="11" s="1"/>
  <c r="N26" i="11"/>
  <c r="L26" i="11"/>
  <c r="K26" i="11"/>
  <c r="I26" i="11"/>
  <c r="P25" i="11"/>
  <c r="J25" i="11" s="1"/>
  <c r="N25" i="11"/>
  <c r="L25" i="11"/>
  <c r="K25" i="11"/>
  <c r="P24" i="11"/>
  <c r="J24" i="11" s="1"/>
  <c r="N24" i="11"/>
  <c r="L24" i="11"/>
  <c r="K24" i="11"/>
  <c r="P23" i="11"/>
  <c r="J23" i="11" s="1"/>
  <c r="N23" i="11"/>
  <c r="L23" i="11"/>
  <c r="K23" i="11"/>
  <c r="I23" i="11"/>
  <c r="P22" i="11"/>
  <c r="J22" i="11" s="1"/>
  <c r="N22" i="11"/>
  <c r="L22" i="11"/>
  <c r="K22" i="11"/>
  <c r="P21" i="11"/>
  <c r="I21" i="11" s="1"/>
  <c r="N21" i="11"/>
  <c r="L21" i="11"/>
  <c r="K21" i="11"/>
  <c r="J21" i="11"/>
  <c r="P20" i="11"/>
  <c r="J20" i="11" s="1"/>
  <c r="N20" i="11"/>
  <c r="L20" i="11"/>
  <c r="K20" i="11"/>
  <c r="P19" i="11"/>
  <c r="N19" i="11"/>
  <c r="L19" i="11"/>
  <c r="K19" i="11"/>
  <c r="J19" i="11"/>
  <c r="I19" i="11"/>
  <c r="P18" i="11"/>
  <c r="J18" i="11" s="1"/>
  <c r="N18" i="11"/>
  <c r="L18" i="11"/>
  <c r="K18" i="11"/>
  <c r="P17" i="11"/>
  <c r="I17" i="11" s="1"/>
  <c r="N17" i="11"/>
  <c r="L17" i="11"/>
  <c r="K17" i="11"/>
  <c r="P16" i="11"/>
  <c r="N16" i="11"/>
  <c r="L16" i="11"/>
  <c r="K16" i="11"/>
  <c r="J16" i="11"/>
  <c r="I16" i="11"/>
  <c r="P15" i="11"/>
  <c r="J15" i="11" s="1"/>
  <c r="N15" i="11"/>
  <c r="L15" i="11"/>
  <c r="K15" i="11"/>
  <c r="P14" i="11"/>
  <c r="I14" i="11" s="1"/>
  <c r="N14" i="11"/>
  <c r="L14" i="11"/>
  <c r="K14" i="11"/>
  <c r="J14" i="11"/>
  <c r="P13" i="11"/>
  <c r="J13" i="11" s="1"/>
  <c r="N13" i="11"/>
  <c r="L13" i="11"/>
  <c r="K13" i="11"/>
  <c r="P12" i="11"/>
  <c r="J12" i="11" s="1"/>
  <c r="N12" i="11"/>
  <c r="L12" i="11"/>
  <c r="K12" i="11"/>
  <c r="P11" i="11"/>
  <c r="J11" i="11" s="1"/>
  <c r="N11" i="11"/>
  <c r="L11" i="11"/>
  <c r="K11" i="11"/>
  <c r="P10" i="11"/>
  <c r="I10" i="11" s="1"/>
  <c r="N10" i="11"/>
  <c r="L10" i="11"/>
  <c r="K10" i="11"/>
  <c r="J10" i="11"/>
  <c r="P9" i="11"/>
  <c r="N9" i="11"/>
  <c r="L9" i="11"/>
  <c r="K9" i="11"/>
  <c r="J9" i="11"/>
  <c r="I9" i="11"/>
  <c r="P8" i="11"/>
  <c r="J8" i="11" s="1"/>
  <c r="N8" i="11"/>
  <c r="L8" i="11"/>
  <c r="K8" i="11"/>
  <c r="P7" i="11"/>
  <c r="I7" i="11" s="1"/>
  <c r="N7" i="11"/>
  <c r="L7" i="11"/>
  <c r="K7" i="11"/>
  <c r="J7" i="11"/>
  <c r="G7" i="11"/>
  <c r="G8" i="11" s="1"/>
  <c r="P6" i="11"/>
  <c r="J6" i="11" s="1"/>
  <c r="N6" i="11"/>
  <c r="N37" i="11" s="1"/>
  <c r="M6" i="11"/>
  <c r="L6" i="11"/>
  <c r="L37" i="11" s="1"/>
  <c r="K6" i="11"/>
  <c r="A3" i="11"/>
  <c r="H37" i="10"/>
  <c r="F37" i="10"/>
  <c r="E37" i="10"/>
  <c r="D37" i="10"/>
  <c r="C37" i="10"/>
  <c r="P36" i="10"/>
  <c r="J36" i="10" s="1"/>
  <c r="N36" i="10"/>
  <c r="L36" i="10"/>
  <c r="K36" i="10"/>
  <c r="P35" i="10"/>
  <c r="J35" i="10" s="1"/>
  <c r="N35" i="10"/>
  <c r="L35" i="10"/>
  <c r="K35" i="10"/>
  <c r="P34" i="10"/>
  <c r="J34" i="10" s="1"/>
  <c r="N34" i="10"/>
  <c r="L34" i="10"/>
  <c r="K34" i="10"/>
  <c r="I34" i="10"/>
  <c r="P33" i="10"/>
  <c r="I33" i="10" s="1"/>
  <c r="N33" i="10"/>
  <c r="L33" i="10"/>
  <c r="K33" i="10"/>
  <c r="J33" i="10"/>
  <c r="P32" i="10"/>
  <c r="J32" i="10" s="1"/>
  <c r="N32" i="10"/>
  <c r="L32" i="10"/>
  <c r="K32" i="10"/>
  <c r="P31" i="10"/>
  <c r="J31" i="10" s="1"/>
  <c r="N31" i="10"/>
  <c r="L31" i="10"/>
  <c r="K31" i="10"/>
  <c r="P30" i="10"/>
  <c r="J30" i="10" s="1"/>
  <c r="N30" i="10"/>
  <c r="L30" i="10"/>
  <c r="K30" i="10"/>
  <c r="I30" i="10"/>
  <c r="P29" i="10"/>
  <c r="J29" i="10" s="1"/>
  <c r="N29" i="10"/>
  <c r="L29" i="10"/>
  <c r="K29" i="10"/>
  <c r="P28" i="10"/>
  <c r="N28" i="10"/>
  <c r="L28" i="10"/>
  <c r="K28" i="10"/>
  <c r="J28" i="10"/>
  <c r="I28" i="10"/>
  <c r="P27" i="10"/>
  <c r="J27" i="10" s="1"/>
  <c r="N27" i="10"/>
  <c r="L27" i="10"/>
  <c r="K27" i="10"/>
  <c r="P26" i="10"/>
  <c r="N26" i="10"/>
  <c r="L26" i="10"/>
  <c r="K26" i="10"/>
  <c r="J26" i="10"/>
  <c r="I26" i="10"/>
  <c r="P25" i="10"/>
  <c r="N25" i="10"/>
  <c r="L25" i="10"/>
  <c r="K25" i="10"/>
  <c r="J25" i="10"/>
  <c r="I25" i="10"/>
  <c r="P24" i="10"/>
  <c r="J24" i="10" s="1"/>
  <c r="N24" i="10"/>
  <c r="L24" i="10"/>
  <c r="K24" i="10"/>
  <c r="P23" i="10"/>
  <c r="N23" i="10"/>
  <c r="L23" i="10"/>
  <c r="K23" i="10"/>
  <c r="J23" i="10"/>
  <c r="I23" i="10"/>
  <c r="P22" i="10"/>
  <c r="J22" i="10" s="1"/>
  <c r="N22" i="10"/>
  <c r="L22" i="10"/>
  <c r="K22" i="10"/>
  <c r="P21" i="10"/>
  <c r="N21" i="10"/>
  <c r="L21" i="10"/>
  <c r="K21" i="10"/>
  <c r="J21" i="10"/>
  <c r="I21" i="10"/>
  <c r="P20" i="10"/>
  <c r="J20" i="10" s="1"/>
  <c r="N20" i="10"/>
  <c r="L20" i="10"/>
  <c r="K20" i="10"/>
  <c r="P19" i="10"/>
  <c r="J19" i="10" s="1"/>
  <c r="N19" i="10"/>
  <c r="L19" i="10"/>
  <c r="K19" i="10"/>
  <c r="I19" i="10"/>
  <c r="P18" i="10"/>
  <c r="J18" i="10" s="1"/>
  <c r="N18" i="10"/>
  <c r="L18" i="10"/>
  <c r="K18" i="10"/>
  <c r="I18" i="10"/>
  <c r="P17" i="10"/>
  <c r="I17" i="10" s="1"/>
  <c r="N17" i="10"/>
  <c r="L17" i="10"/>
  <c r="K17" i="10"/>
  <c r="P16" i="10"/>
  <c r="J16" i="10" s="1"/>
  <c r="N16" i="10"/>
  <c r="L16" i="10"/>
  <c r="K16" i="10"/>
  <c r="P15" i="10"/>
  <c r="J15" i="10" s="1"/>
  <c r="N15" i="10"/>
  <c r="L15" i="10"/>
  <c r="K15" i="10"/>
  <c r="P14" i="10"/>
  <c r="N14" i="10"/>
  <c r="L14" i="10"/>
  <c r="K14" i="10"/>
  <c r="J14" i="10"/>
  <c r="I14" i="10"/>
  <c r="P13" i="10"/>
  <c r="J13" i="10" s="1"/>
  <c r="N13" i="10"/>
  <c r="L13" i="10"/>
  <c r="K13" i="10"/>
  <c r="P12" i="10"/>
  <c r="J12" i="10" s="1"/>
  <c r="N12" i="10"/>
  <c r="L12" i="10"/>
  <c r="K12" i="10"/>
  <c r="P11" i="10"/>
  <c r="J11" i="10" s="1"/>
  <c r="N11" i="10"/>
  <c r="L11" i="10"/>
  <c r="K11" i="10"/>
  <c r="P10" i="10"/>
  <c r="J10" i="10" s="1"/>
  <c r="N10" i="10"/>
  <c r="L10" i="10"/>
  <c r="K10" i="10"/>
  <c r="P9" i="10"/>
  <c r="J9" i="10" s="1"/>
  <c r="N9" i="10"/>
  <c r="L9" i="10"/>
  <c r="K9" i="10"/>
  <c r="P8" i="10"/>
  <c r="J8" i="10" s="1"/>
  <c r="N8" i="10"/>
  <c r="L8" i="10"/>
  <c r="K8" i="10"/>
  <c r="P7" i="10"/>
  <c r="J7" i="10" s="1"/>
  <c r="N7" i="10"/>
  <c r="L7" i="10"/>
  <c r="K7" i="10"/>
  <c r="G7" i="10"/>
  <c r="G8" i="10" s="1"/>
  <c r="P6" i="10"/>
  <c r="J6" i="10" s="1"/>
  <c r="N6" i="10"/>
  <c r="N37" i="10" s="1"/>
  <c r="M6" i="10"/>
  <c r="L6" i="10"/>
  <c r="K6" i="10"/>
  <c r="A3" i="10"/>
  <c r="H37" i="9"/>
  <c r="F37" i="9"/>
  <c r="E37" i="9"/>
  <c r="P36" i="9"/>
  <c r="J36" i="9" s="1"/>
  <c r="N36" i="9"/>
  <c r="M36" i="9"/>
  <c r="L36" i="9"/>
  <c r="K36" i="9"/>
  <c r="P35" i="9"/>
  <c r="J35" i="9" s="1"/>
  <c r="N35" i="9"/>
  <c r="L35" i="9"/>
  <c r="K35" i="9"/>
  <c r="D35" i="9"/>
  <c r="C35" i="9"/>
  <c r="P34" i="9"/>
  <c r="J34" i="9" s="1"/>
  <c r="N34" i="9"/>
  <c r="L34" i="9"/>
  <c r="K34" i="9"/>
  <c r="D34" i="9"/>
  <c r="C34" i="9"/>
  <c r="P33" i="9"/>
  <c r="J33" i="9" s="1"/>
  <c r="N33" i="9"/>
  <c r="L33" i="9"/>
  <c r="K33" i="9"/>
  <c r="D33" i="9"/>
  <c r="C33" i="9"/>
  <c r="P32" i="9"/>
  <c r="J32" i="9" s="1"/>
  <c r="N32" i="9"/>
  <c r="L32" i="9"/>
  <c r="K32" i="9"/>
  <c r="D32" i="9"/>
  <c r="C32" i="9"/>
  <c r="P31" i="9"/>
  <c r="J31" i="9" s="1"/>
  <c r="N31" i="9"/>
  <c r="L31" i="9"/>
  <c r="K31" i="9"/>
  <c r="D31" i="9"/>
  <c r="C31" i="9"/>
  <c r="P30" i="9"/>
  <c r="J30" i="9" s="1"/>
  <c r="N30" i="9"/>
  <c r="L30" i="9"/>
  <c r="K30" i="9"/>
  <c r="D30" i="9"/>
  <c r="C30" i="9"/>
  <c r="P29" i="9"/>
  <c r="J29" i="9" s="1"/>
  <c r="N29" i="9"/>
  <c r="L29" i="9"/>
  <c r="K29" i="9"/>
  <c r="D29" i="9"/>
  <c r="C29" i="9"/>
  <c r="P28" i="9"/>
  <c r="J28" i="9" s="1"/>
  <c r="N28" i="9"/>
  <c r="L28" i="9"/>
  <c r="K28" i="9"/>
  <c r="D28" i="9"/>
  <c r="C28" i="9"/>
  <c r="P27" i="9"/>
  <c r="J27" i="9" s="1"/>
  <c r="N27" i="9"/>
  <c r="L27" i="9"/>
  <c r="K27" i="9"/>
  <c r="D27" i="9"/>
  <c r="C27" i="9"/>
  <c r="P26" i="9"/>
  <c r="I26" i="9" s="1"/>
  <c r="N26" i="9"/>
  <c r="L26" i="9"/>
  <c r="K26" i="9"/>
  <c r="J26" i="9"/>
  <c r="D26" i="9"/>
  <c r="C26" i="9"/>
  <c r="P25" i="9"/>
  <c r="N25" i="9"/>
  <c r="L25" i="9"/>
  <c r="K25" i="9"/>
  <c r="D25" i="9"/>
  <c r="C25" i="9"/>
  <c r="P24" i="9"/>
  <c r="J24" i="9" s="1"/>
  <c r="N24" i="9"/>
  <c r="L24" i="9"/>
  <c r="K24" i="9"/>
  <c r="D24" i="9"/>
  <c r="C24" i="9"/>
  <c r="P23" i="9"/>
  <c r="J23" i="9" s="1"/>
  <c r="N23" i="9"/>
  <c r="L23" i="9"/>
  <c r="K23" i="9"/>
  <c r="D23" i="9"/>
  <c r="C23" i="9"/>
  <c r="P22" i="9"/>
  <c r="N22" i="9"/>
  <c r="L22" i="9"/>
  <c r="K22" i="9"/>
  <c r="D22" i="9"/>
  <c r="J22" i="9" s="1"/>
  <c r="C22" i="9"/>
  <c r="I22" i="9" s="1"/>
  <c r="P21" i="9"/>
  <c r="J21" i="9" s="1"/>
  <c r="N21" i="9"/>
  <c r="L21" i="9"/>
  <c r="K21" i="9"/>
  <c r="D21" i="9"/>
  <c r="C21" i="9"/>
  <c r="P20" i="9"/>
  <c r="J20" i="9" s="1"/>
  <c r="N20" i="9"/>
  <c r="L20" i="9"/>
  <c r="K20" i="9"/>
  <c r="D20" i="9"/>
  <c r="C20" i="9"/>
  <c r="P19" i="9"/>
  <c r="J19" i="9" s="1"/>
  <c r="N19" i="9"/>
  <c r="L19" i="9"/>
  <c r="K19" i="9"/>
  <c r="D19" i="9"/>
  <c r="C19" i="9"/>
  <c r="P18" i="9"/>
  <c r="J18" i="9" s="1"/>
  <c r="N18" i="9"/>
  <c r="L18" i="9"/>
  <c r="K18" i="9"/>
  <c r="D18" i="9"/>
  <c r="C18" i="9"/>
  <c r="I18" i="9" s="1"/>
  <c r="P17" i="9"/>
  <c r="J17" i="9" s="1"/>
  <c r="N17" i="9"/>
  <c r="L17" i="9"/>
  <c r="K17" i="9"/>
  <c r="D17" i="9"/>
  <c r="C17" i="9"/>
  <c r="P16" i="9"/>
  <c r="J16" i="9" s="1"/>
  <c r="N16" i="9"/>
  <c r="L16" i="9"/>
  <c r="K16" i="9"/>
  <c r="D16" i="9"/>
  <c r="C16" i="9"/>
  <c r="P15" i="9"/>
  <c r="I15" i="9" s="1"/>
  <c r="N15" i="9"/>
  <c r="L15" i="9"/>
  <c r="K15" i="9"/>
  <c r="D15" i="9"/>
  <c r="C15" i="9"/>
  <c r="P14" i="9"/>
  <c r="J14" i="9" s="1"/>
  <c r="N14" i="9"/>
  <c r="L14" i="9"/>
  <c r="K14" i="9"/>
  <c r="D14" i="9"/>
  <c r="C14" i="9"/>
  <c r="P13" i="9"/>
  <c r="N13" i="9"/>
  <c r="L13" i="9"/>
  <c r="K13" i="9"/>
  <c r="J13" i="9"/>
  <c r="I13" i="9"/>
  <c r="D13" i="9"/>
  <c r="C13" i="9"/>
  <c r="P12" i="9"/>
  <c r="J12" i="9" s="1"/>
  <c r="N12" i="9"/>
  <c r="L12" i="9"/>
  <c r="K12" i="9"/>
  <c r="D12" i="9"/>
  <c r="C12" i="9"/>
  <c r="I12" i="9" s="1"/>
  <c r="P11" i="9"/>
  <c r="J11" i="9" s="1"/>
  <c r="N11" i="9"/>
  <c r="L11" i="9"/>
  <c r="K11" i="9"/>
  <c r="D11" i="9"/>
  <c r="C11" i="9"/>
  <c r="P10" i="9"/>
  <c r="I10" i="9" s="1"/>
  <c r="N10" i="9"/>
  <c r="L10" i="9"/>
  <c r="K10" i="9"/>
  <c r="J10" i="9"/>
  <c r="D10" i="9"/>
  <c r="C10" i="9"/>
  <c r="P9" i="9"/>
  <c r="N9" i="9"/>
  <c r="L9" i="9"/>
  <c r="K9" i="9"/>
  <c r="D9" i="9"/>
  <c r="C9" i="9"/>
  <c r="P8" i="9"/>
  <c r="J8" i="9" s="1"/>
  <c r="N8" i="9"/>
  <c r="L8" i="9"/>
  <c r="K8" i="9"/>
  <c r="D8" i="9"/>
  <c r="C8" i="9"/>
  <c r="P7" i="9"/>
  <c r="J7" i="9" s="1"/>
  <c r="N7" i="9"/>
  <c r="L7" i="9"/>
  <c r="K7" i="9"/>
  <c r="D7" i="9"/>
  <c r="C7" i="9"/>
  <c r="P6" i="9"/>
  <c r="N6" i="9"/>
  <c r="N37" i="9" s="1"/>
  <c r="L6" i="9"/>
  <c r="K6" i="9"/>
  <c r="G6" i="9"/>
  <c r="G7" i="9" s="1"/>
  <c r="D6" i="9"/>
  <c r="C6" i="9"/>
  <c r="A3" i="9"/>
  <c r="H37" i="8"/>
  <c r="F37" i="8"/>
  <c r="E37" i="8"/>
  <c r="D37" i="8"/>
  <c r="C37" i="8"/>
  <c r="P36" i="8"/>
  <c r="J36" i="8" s="1"/>
  <c r="N36" i="8"/>
  <c r="L36" i="8"/>
  <c r="K36" i="8"/>
  <c r="P35" i="8"/>
  <c r="N35" i="8"/>
  <c r="L35" i="8"/>
  <c r="K35" i="8"/>
  <c r="J35" i="8"/>
  <c r="I35" i="8"/>
  <c r="P34" i="8"/>
  <c r="J34" i="8" s="1"/>
  <c r="N34" i="8"/>
  <c r="L34" i="8"/>
  <c r="K34" i="8"/>
  <c r="I34" i="8"/>
  <c r="P33" i="8"/>
  <c r="I33" i="8" s="1"/>
  <c r="N33" i="8"/>
  <c r="L33" i="8"/>
  <c r="K33" i="8"/>
  <c r="J33" i="8"/>
  <c r="P32" i="8"/>
  <c r="J32" i="8" s="1"/>
  <c r="N32" i="8"/>
  <c r="L32" i="8"/>
  <c r="K32" i="8"/>
  <c r="P31" i="8"/>
  <c r="J31" i="8" s="1"/>
  <c r="N31" i="8"/>
  <c r="L31" i="8"/>
  <c r="K31" i="8"/>
  <c r="P30" i="8"/>
  <c r="J30" i="8" s="1"/>
  <c r="N30" i="8"/>
  <c r="L30" i="8"/>
  <c r="K30" i="8"/>
  <c r="I30" i="8"/>
  <c r="P29" i="8"/>
  <c r="J29" i="8" s="1"/>
  <c r="N29" i="8"/>
  <c r="L29" i="8"/>
  <c r="K29" i="8"/>
  <c r="P28" i="8"/>
  <c r="N28" i="8"/>
  <c r="L28" i="8"/>
  <c r="K28" i="8"/>
  <c r="J28" i="8"/>
  <c r="I28" i="8"/>
  <c r="P27" i="8"/>
  <c r="J27" i="8" s="1"/>
  <c r="N27" i="8"/>
  <c r="L27" i="8"/>
  <c r="K27" i="8"/>
  <c r="P26" i="8"/>
  <c r="I26" i="8" s="1"/>
  <c r="N26" i="8"/>
  <c r="L26" i="8"/>
  <c r="K26" i="8"/>
  <c r="J26" i="8"/>
  <c r="P25" i="8"/>
  <c r="N25" i="8"/>
  <c r="L25" i="8"/>
  <c r="K25" i="8"/>
  <c r="J25" i="8"/>
  <c r="I25" i="8"/>
  <c r="P24" i="8"/>
  <c r="J24" i="8" s="1"/>
  <c r="N24" i="8"/>
  <c r="L24" i="8"/>
  <c r="K24" i="8"/>
  <c r="P23" i="8"/>
  <c r="I23" i="8" s="1"/>
  <c r="N23" i="8"/>
  <c r="L23" i="8"/>
  <c r="K23" i="8"/>
  <c r="J23" i="8"/>
  <c r="P22" i="8"/>
  <c r="J22" i="8" s="1"/>
  <c r="N22" i="8"/>
  <c r="L22" i="8"/>
  <c r="K22" i="8"/>
  <c r="P21" i="8"/>
  <c r="N21" i="8"/>
  <c r="L21" i="8"/>
  <c r="K21" i="8"/>
  <c r="J21" i="8"/>
  <c r="I21" i="8"/>
  <c r="P20" i="8"/>
  <c r="J20" i="8" s="1"/>
  <c r="N20" i="8"/>
  <c r="L20" i="8"/>
  <c r="K20" i="8"/>
  <c r="P19" i="8"/>
  <c r="N19" i="8"/>
  <c r="L19" i="8"/>
  <c r="K19" i="8"/>
  <c r="P18" i="8"/>
  <c r="N18" i="8"/>
  <c r="L18" i="8"/>
  <c r="K18" i="8"/>
  <c r="J18" i="8"/>
  <c r="I18" i="8"/>
  <c r="P17" i="8"/>
  <c r="I17" i="8" s="1"/>
  <c r="N17" i="8"/>
  <c r="L17" i="8"/>
  <c r="K17" i="8"/>
  <c r="J17" i="8"/>
  <c r="P16" i="8"/>
  <c r="N16" i="8"/>
  <c r="L16" i="8"/>
  <c r="K16" i="8"/>
  <c r="J16" i="8"/>
  <c r="I16" i="8"/>
  <c r="P15" i="8"/>
  <c r="J15" i="8" s="1"/>
  <c r="N15" i="8"/>
  <c r="L15" i="8"/>
  <c r="K15" i="8"/>
  <c r="P14" i="8"/>
  <c r="N14" i="8"/>
  <c r="L14" i="8"/>
  <c r="K14" i="8"/>
  <c r="J14" i="8"/>
  <c r="I14" i="8"/>
  <c r="P13" i="8"/>
  <c r="J13" i="8" s="1"/>
  <c r="N13" i="8"/>
  <c r="L13" i="8"/>
  <c r="K13" i="8"/>
  <c r="P12" i="8"/>
  <c r="N12" i="8"/>
  <c r="L12" i="8"/>
  <c r="K12" i="8"/>
  <c r="J12" i="8"/>
  <c r="I12" i="8"/>
  <c r="P11" i="8"/>
  <c r="J11" i="8" s="1"/>
  <c r="N11" i="8"/>
  <c r="L11" i="8"/>
  <c r="K11" i="8"/>
  <c r="P10" i="8"/>
  <c r="J10" i="8" s="1"/>
  <c r="N10" i="8"/>
  <c r="L10" i="8"/>
  <c r="K10" i="8"/>
  <c r="P9" i="8"/>
  <c r="N9" i="8"/>
  <c r="L9" i="8"/>
  <c r="K9" i="8"/>
  <c r="J9" i="8"/>
  <c r="I9" i="8"/>
  <c r="P8" i="8"/>
  <c r="J8" i="8" s="1"/>
  <c r="N8" i="8"/>
  <c r="L8" i="8"/>
  <c r="K8" i="8"/>
  <c r="P7" i="8"/>
  <c r="J7" i="8" s="1"/>
  <c r="N7" i="8"/>
  <c r="L7" i="8"/>
  <c r="K7" i="8"/>
  <c r="G7" i="8"/>
  <c r="G8" i="8" s="1"/>
  <c r="P6" i="8"/>
  <c r="J6" i="8" s="1"/>
  <c r="N6" i="8"/>
  <c r="N37" i="8" s="1"/>
  <c r="M6" i="8"/>
  <c r="L6" i="8"/>
  <c r="K6" i="8"/>
  <c r="A3" i="8"/>
  <c r="J36" i="7"/>
  <c r="E36" i="7"/>
  <c r="D36" i="7"/>
  <c r="C36" i="7"/>
  <c r="F36" i="7" s="1"/>
  <c r="G36" i="7" s="1"/>
  <c r="H36" i="7" s="1"/>
  <c r="I36" i="7" s="1"/>
  <c r="J35" i="7"/>
  <c r="E35" i="7"/>
  <c r="D35" i="7"/>
  <c r="C35" i="7"/>
  <c r="F35" i="7" s="1"/>
  <c r="G35" i="7" s="1"/>
  <c r="H35" i="7" s="1"/>
  <c r="I35" i="7" s="1"/>
  <c r="J34" i="7"/>
  <c r="E34" i="7"/>
  <c r="D34" i="7"/>
  <c r="C34" i="7"/>
  <c r="F34" i="7" s="1"/>
  <c r="G34" i="7" s="1"/>
  <c r="H34" i="7" s="1"/>
  <c r="I34" i="7" s="1"/>
  <c r="J33" i="7"/>
  <c r="E33" i="7"/>
  <c r="D33" i="7"/>
  <c r="C33" i="7"/>
  <c r="F33" i="7" s="1"/>
  <c r="G33" i="7" s="1"/>
  <c r="H33" i="7" s="1"/>
  <c r="I33" i="7" s="1"/>
  <c r="J32" i="7"/>
  <c r="E32" i="7"/>
  <c r="D32" i="7"/>
  <c r="C32" i="7"/>
  <c r="F32" i="7" s="1"/>
  <c r="G32" i="7" s="1"/>
  <c r="H32" i="7" s="1"/>
  <c r="I32" i="7" s="1"/>
  <c r="J31" i="7"/>
  <c r="E31" i="7"/>
  <c r="D31" i="7"/>
  <c r="C31" i="7"/>
  <c r="F31" i="7" s="1"/>
  <c r="G31" i="7" s="1"/>
  <c r="H31" i="7" s="1"/>
  <c r="I31" i="7" s="1"/>
  <c r="J30" i="7"/>
  <c r="E30" i="7"/>
  <c r="D30" i="7"/>
  <c r="C30" i="7"/>
  <c r="F30" i="7" s="1"/>
  <c r="G30" i="7" s="1"/>
  <c r="H30" i="7" s="1"/>
  <c r="I30" i="7" s="1"/>
  <c r="J29" i="7"/>
  <c r="E29" i="7"/>
  <c r="D29" i="7"/>
  <c r="C29" i="7"/>
  <c r="F29" i="7" s="1"/>
  <c r="G29" i="7" s="1"/>
  <c r="H29" i="7" s="1"/>
  <c r="I29" i="7" s="1"/>
  <c r="J28" i="7"/>
  <c r="E28" i="7"/>
  <c r="D28" i="7"/>
  <c r="C28" i="7"/>
  <c r="F28" i="7" s="1"/>
  <c r="G28" i="7" s="1"/>
  <c r="H28" i="7" s="1"/>
  <c r="I28" i="7" s="1"/>
  <c r="J27" i="7"/>
  <c r="E27" i="7"/>
  <c r="D27" i="7"/>
  <c r="C27" i="7"/>
  <c r="F27" i="7" s="1"/>
  <c r="G27" i="7" s="1"/>
  <c r="H27" i="7" s="1"/>
  <c r="I27" i="7" s="1"/>
  <c r="J26" i="7"/>
  <c r="E26" i="7"/>
  <c r="D26" i="7"/>
  <c r="C26" i="7"/>
  <c r="F26" i="7" s="1"/>
  <c r="G26" i="7" s="1"/>
  <c r="H26" i="7" s="1"/>
  <c r="I26" i="7" s="1"/>
  <c r="J25" i="7"/>
  <c r="E25" i="7"/>
  <c r="D25" i="7"/>
  <c r="C25" i="7"/>
  <c r="F25" i="7" s="1"/>
  <c r="G25" i="7" s="1"/>
  <c r="H25" i="7" s="1"/>
  <c r="I25" i="7" s="1"/>
  <c r="J24" i="7"/>
  <c r="E24" i="7"/>
  <c r="D24" i="7"/>
  <c r="C24" i="7"/>
  <c r="F24" i="7" s="1"/>
  <c r="G24" i="7" s="1"/>
  <c r="H24" i="7" s="1"/>
  <c r="I24" i="7" s="1"/>
  <c r="J23" i="7"/>
  <c r="E23" i="7"/>
  <c r="D23" i="7"/>
  <c r="C23" i="7"/>
  <c r="F23" i="7" s="1"/>
  <c r="G23" i="7" s="1"/>
  <c r="H23" i="7" s="1"/>
  <c r="I23" i="7" s="1"/>
  <c r="J22" i="7"/>
  <c r="E22" i="7"/>
  <c r="D22" i="7"/>
  <c r="C22" i="7"/>
  <c r="F22" i="7" s="1"/>
  <c r="G22" i="7" s="1"/>
  <c r="H22" i="7" s="1"/>
  <c r="I22" i="7" s="1"/>
  <c r="J21" i="7"/>
  <c r="E21" i="7"/>
  <c r="D21" i="7"/>
  <c r="C21" i="7"/>
  <c r="F21" i="7" s="1"/>
  <c r="G21" i="7" s="1"/>
  <c r="H21" i="7" s="1"/>
  <c r="I21" i="7" s="1"/>
  <c r="J20" i="7"/>
  <c r="E20" i="7"/>
  <c r="D20" i="7"/>
  <c r="C20" i="7"/>
  <c r="F20" i="7" s="1"/>
  <c r="G20" i="7" s="1"/>
  <c r="H20" i="7" s="1"/>
  <c r="I20" i="7" s="1"/>
  <c r="J19" i="7"/>
  <c r="E19" i="7"/>
  <c r="D19" i="7"/>
  <c r="C19" i="7"/>
  <c r="F19" i="7" s="1"/>
  <c r="G19" i="7" s="1"/>
  <c r="H19" i="7" s="1"/>
  <c r="I19" i="7" s="1"/>
  <c r="J18" i="7"/>
  <c r="E18" i="7"/>
  <c r="D18" i="7"/>
  <c r="C18" i="7"/>
  <c r="F18" i="7" s="1"/>
  <c r="G18" i="7" s="1"/>
  <c r="H18" i="7" s="1"/>
  <c r="I18" i="7" s="1"/>
  <c r="J17" i="7"/>
  <c r="E17" i="7"/>
  <c r="D17" i="7"/>
  <c r="C17" i="7"/>
  <c r="F17" i="7" s="1"/>
  <c r="G17" i="7" s="1"/>
  <c r="H17" i="7" s="1"/>
  <c r="I17" i="7" s="1"/>
  <c r="J16" i="7"/>
  <c r="E16" i="7"/>
  <c r="D16" i="7"/>
  <c r="C16" i="7"/>
  <c r="F16" i="7" s="1"/>
  <c r="G16" i="7" s="1"/>
  <c r="H16" i="7" s="1"/>
  <c r="I16" i="7" s="1"/>
  <c r="J15" i="7"/>
  <c r="E15" i="7"/>
  <c r="D15" i="7"/>
  <c r="C15" i="7"/>
  <c r="F15" i="7" s="1"/>
  <c r="G15" i="7" s="1"/>
  <c r="H15" i="7" s="1"/>
  <c r="I15" i="7" s="1"/>
  <c r="J14" i="7"/>
  <c r="E14" i="7"/>
  <c r="D14" i="7"/>
  <c r="C14" i="7"/>
  <c r="F14" i="7" s="1"/>
  <c r="G14" i="7" s="1"/>
  <c r="H14" i="7" s="1"/>
  <c r="I14" i="7" s="1"/>
  <c r="J13" i="7"/>
  <c r="E13" i="7"/>
  <c r="D13" i="7"/>
  <c r="C13" i="7"/>
  <c r="F13" i="7" s="1"/>
  <c r="G13" i="7" s="1"/>
  <c r="H13" i="7" s="1"/>
  <c r="I13" i="7" s="1"/>
  <c r="J12" i="7"/>
  <c r="E12" i="7"/>
  <c r="D12" i="7"/>
  <c r="C12" i="7"/>
  <c r="F12" i="7" s="1"/>
  <c r="G12" i="7" s="1"/>
  <c r="H12" i="7" s="1"/>
  <c r="I12" i="7" s="1"/>
  <c r="J11" i="7"/>
  <c r="E11" i="7"/>
  <c r="D11" i="7"/>
  <c r="C11" i="7"/>
  <c r="F11" i="7" s="1"/>
  <c r="G11" i="7" s="1"/>
  <c r="H11" i="7" s="1"/>
  <c r="I11" i="7" s="1"/>
  <c r="J10" i="7"/>
  <c r="E10" i="7"/>
  <c r="D10" i="7"/>
  <c r="C10" i="7"/>
  <c r="F10" i="7" s="1"/>
  <c r="G10" i="7" s="1"/>
  <c r="H10" i="7" s="1"/>
  <c r="I10" i="7" s="1"/>
  <c r="J9" i="7"/>
  <c r="E9" i="7"/>
  <c r="D9" i="7"/>
  <c r="C9" i="7"/>
  <c r="F9" i="7" s="1"/>
  <c r="G9" i="7" s="1"/>
  <c r="H9" i="7" s="1"/>
  <c r="I9" i="7" s="1"/>
  <c r="J8" i="7"/>
  <c r="E8" i="7"/>
  <c r="D8" i="7"/>
  <c r="C8" i="7"/>
  <c r="F8" i="7" s="1"/>
  <c r="G8" i="7" s="1"/>
  <c r="H8" i="7" s="1"/>
  <c r="I8" i="7" s="1"/>
  <c r="J7" i="7"/>
  <c r="E7" i="7"/>
  <c r="D7" i="7"/>
  <c r="C7" i="7"/>
  <c r="F7" i="7" s="1"/>
  <c r="G7" i="7" s="1"/>
  <c r="H7" i="7" s="1"/>
  <c r="I7" i="7" s="1"/>
  <c r="J6" i="7"/>
  <c r="E6" i="7"/>
  <c r="D6" i="7"/>
  <c r="C6" i="7"/>
  <c r="A3" i="7"/>
  <c r="M36" i="6"/>
  <c r="F36" i="6"/>
  <c r="E36" i="6"/>
  <c r="G36" i="6" s="1"/>
  <c r="C36" i="6"/>
  <c r="H36" i="6" s="1"/>
  <c r="L36" i="6" s="1"/>
  <c r="M35" i="6"/>
  <c r="H35" i="6"/>
  <c r="L35" i="6" s="1"/>
  <c r="F35" i="6"/>
  <c r="E35" i="6"/>
  <c r="G35" i="6" s="1"/>
  <c r="C35" i="6"/>
  <c r="D35" i="6" s="1"/>
  <c r="I35" i="6" s="1"/>
  <c r="M34" i="6"/>
  <c r="F34" i="6"/>
  <c r="E34" i="6"/>
  <c r="G34" i="6" s="1"/>
  <c r="C34" i="6"/>
  <c r="H34" i="6" s="1"/>
  <c r="L34" i="6" s="1"/>
  <c r="M33" i="6"/>
  <c r="F33" i="6"/>
  <c r="E33" i="6"/>
  <c r="G33" i="6" s="1"/>
  <c r="C33" i="6"/>
  <c r="H33" i="6" s="1"/>
  <c r="L33" i="6" s="1"/>
  <c r="M32" i="6"/>
  <c r="F32" i="6"/>
  <c r="E32" i="6"/>
  <c r="G32" i="6" s="1"/>
  <c r="C32" i="6"/>
  <c r="D32" i="6" s="1"/>
  <c r="I32" i="6" s="1"/>
  <c r="M31" i="6"/>
  <c r="K31" i="6" s="1"/>
  <c r="H31" i="6"/>
  <c r="L31" i="6" s="1"/>
  <c r="F31" i="6"/>
  <c r="E31" i="6"/>
  <c r="G31" i="6" s="1"/>
  <c r="C31" i="6"/>
  <c r="D31" i="6" s="1"/>
  <c r="I31" i="6" s="1"/>
  <c r="M30" i="6"/>
  <c r="F30" i="6"/>
  <c r="E30" i="6"/>
  <c r="G30" i="6" s="1"/>
  <c r="C30" i="6"/>
  <c r="H30" i="6" s="1"/>
  <c r="L30" i="6" s="1"/>
  <c r="M29" i="6"/>
  <c r="F29" i="6"/>
  <c r="E29" i="6"/>
  <c r="C29" i="6"/>
  <c r="D29" i="6" s="1"/>
  <c r="I29" i="6" s="1"/>
  <c r="M28" i="6"/>
  <c r="K28" i="6" s="1"/>
  <c r="H28" i="6"/>
  <c r="L28" i="6" s="1"/>
  <c r="F28" i="6"/>
  <c r="E28" i="6"/>
  <c r="C28" i="6"/>
  <c r="D28" i="6" s="1"/>
  <c r="I28" i="6" s="1"/>
  <c r="M27" i="6"/>
  <c r="F27" i="6"/>
  <c r="E27" i="6"/>
  <c r="C27" i="6"/>
  <c r="H27" i="6" s="1"/>
  <c r="L27" i="6" s="1"/>
  <c r="M26" i="6"/>
  <c r="F26" i="6"/>
  <c r="K26" i="6" s="1"/>
  <c r="E26" i="6"/>
  <c r="C26" i="6"/>
  <c r="M25" i="6"/>
  <c r="F25" i="6"/>
  <c r="E25" i="6"/>
  <c r="G25" i="6" s="1"/>
  <c r="C25" i="6"/>
  <c r="H25" i="6" s="1"/>
  <c r="L25" i="6" s="1"/>
  <c r="M24" i="6"/>
  <c r="F24" i="6"/>
  <c r="K24" i="6" s="1"/>
  <c r="E24" i="6"/>
  <c r="C24" i="6"/>
  <c r="H24" i="6" s="1"/>
  <c r="L24" i="6" s="1"/>
  <c r="M23" i="6"/>
  <c r="F23" i="6"/>
  <c r="K23" i="6" s="1"/>
  <c r="E23" i="6"/>
  <c r="G23" i="6" s="1"/>
  <c r="C23" i="6"/>
  <c r="M22" i="6"/>
  <c r="K22" i="6" s="1"/>
  <c r="F22" i="6"/>
  <c r="E22" i="6"/>
  <c r="G22" i="6" s="1"/>
  <c r="C22" i="6"/>
  <c r="H22" i="6" s="1"/>
  <c r="L22" i="6" s="1"/>
  <c r="M21" i="6"/>
  <c r="F21" i="6"/>
  <c r="K21" i="6" s="1"/>
  <c r="E21" i="6"/>
  <c r="C21" i="6"/>
  <c r="H21" i="6" s="1"/>
  <c r="L21" i="6" s="1"/>
  <c r="M20" i="6"/>
  <c r="K20" i="6" s="1"/>
  <c r="F20" i="6"/>
  <c r="E20" i="6"/>
  <c r="C20" i="6"/>
  <c r="D20" i="6" s="1"/>
  <c r="I20" i="6" s="1"/>
  <c r="M19" i="6"/>
  <c r="F19" i="6"/>
  <c r="E19" i="6"/>
  <c r="G19" i="6" s="1"/>
  <c r="C19" i="6"/>
  <c r="D19" i="6" s="1"/>
  <c r="I19" i="6" s="1"/>
  <c r="M18" i="6"/>
  <c r="F18" i="6"/>
  <c r="E18" i="6"/>
  <c r="G18" i="6" s="1"/>
  <c r="C18" i="6"/>
  <c r="H18" i="6" s="1"/>
  <c r="L18" i="6" s="1"/>
  <c r="M17" i="6"/>
  <c r="K17" i="6" s="1"/>
  <c r="F17" i="6"/>
  <c r="E17" i="6"/>
  <c r="G17" i="6" s="1"/>
  <c r="C17" i="6"/>
  <c r="H17" i="6" s="1"/>
  <c r="L17" i="6" s="1"/>
  <c r="M16" i="6"/>
  <c r="F16" i="6"/>
  <c r="E16" i="6"/>
  <c r="G16" i="6" s="1"/>
  <c r="C16" i="6"/>
  <c r="D16" i="6" s="1"/>
  <c r="I16" i="6" s="1"/>
  <c r="M15" i="6"/>
  <c r="F15" i="6"/>
  <c r="E15" i="6"/>
  <c r="G15" i="6" s="1"/>
  <c r="C15" i="6"/>
  <c r="M14" i="6"/>
  <c r="F14" i="6"/>
  <c r="E14" i="6"/>
  <c r="G14" i="6" s="1"/>
  <c r="C14" i="6"/>
  <c r="D14" i="6" s="1"/>
  <c r="I14" i="6" s="1"/>
  <c r="M13" i="6"/>
  <c r="F13" i="6"/>
  <c r="E13" i="6"/>
  <c r="G13" i="6" s="1"/>
  <c r="J13" i="6" s="1"/>
  <c r="C13" i="6"/>
  <c r="H13" i="6" s="1"/>
  <c r="L13" i="6" s="1"/>
  <c r="M12" i="6"/>
  <c r="F12" i="6"/>
  <c r="E12" i="6"/>
  <c r="G12" i="6" s="1"/>
  <c r="D12" i="6"/>
  <c r="I12" i="6" s="1"/>
  <c r="C12" i="6"/>
  <c r="H12" i="6" s="1"/>
  <c r="L12" i="6" s="1"/>
  <c r="M11" i="6"/>
  <c r="F11" i="6"/>
  <c r="E11" i="6"/>
  <c r="G11" i="6" s="1"/>
  <c r="C11" i="6"/>
  <c r="H11" i="6" s="1"/>
  <c r="L11" i="6" s="1"/>
  <c r="M10" i="6"/>
  <c r="F10" i="6"/>
  <c r="K10" i="6" s="1"/>
  <c r="E10" i="6"/>
  <c r="G10" i="6" s="1"/>
  <c r="J10" i="6" s="1"/>
  <c r="C10" i="6"/>
  <c r="H10" i="6" s="1"/>
  <c r="L10" i="6" s="1"/>
  <c r="M9" i="6"/>
  <c r="H9" i="6"/>
  <c r="L9" i="6" s="1"/>
  <c r="F9" i="6"/>
  <c r="K9" i="6" s="1"/>
  <c r="E9" i="6"/>
  <c r="C9" i="6"/>
  <c r="D9" i="6" s="1"/>
  <c r="I9" i="6" s="1"/>
  <c r="M8" i="6"/>
  <c r="F8" i="6"/>
  <c r="K8" i="6" s="1"/>
  <c r="E8" i="6"/>
  <c r="C8" i="6"/>
  <c r="H8" i="6" s="1"/>
  <c r="L8" i="6" s="1"/>
  <c r="M7" i="6"/>
  <c r="F7" i="6"/>
  <c r="K7" i="6" s="1"/>
  <c r="E7" i="6"/>
  <c r="G7" i="6" s="1"/>
  <c r="C7" i="6"/>
  <c r="H7" i="6" s="1"/>
  <c r="L7" i="6" s="1"/>
  <c r="M6" i="6"/>
  <c r="F6" i="6"/>
  <c r="E6" i="6"/>
  <c r="E37" i="6" s="1"/>
  <c r="C6" i="6"/>
  <c r="C37" i="6" s="1"/>
  <c r="A3" i="6"/>
  <c r="H26" i="6" l="1"/>
  <c r="L26" i="6" s="1"/>
  <c r="D26" i="6"/>
  <c r="I26" i="6" s="1"/>
  <c r="J19" i="8"/>
  <c r="I19" i="8"/>
  <c r="J22" i="6"/>
  <c r="D15" i="6"/>
  <c r="I15" i="6" s="1"/>
  <c r="H15" i="6"/>
  <c r="L15" i="6" s="1"/>
  <c r="H23" i="6"/>
  <c r="L23" i="6" s="1"/>
  <c r="D23" i="6"/>
  <c r="I23" i="6" s="1"/>
  <c r="I16" i="10"/>
  <c r="I32" i="10"/>
  <c r="K37" i="11"/>
  <c r="I12" i="11"/>
  <c r="F17" i="13"/>
  <c r="F18" i="13" s="1"/>
  <c r="F19" i="13" s="1"/>
  <c r="I7" i="10"/>
  <c r="I10" i="10"/>
  <c r="I25" i="11"/>
  <c r="I28" i="11"/>
  <c r="I35" i="11"/>
  <c r="I21" i="9"/>
  <c r="I32" i="11"/>
  <c r="J17" i="10"/>
  <c r="I29" i="9"/>
  <c r="D21" i="6"/>
  <c r="I21" i="6" s="1"/>
  <c r="K35" i="6"/>
  <c r="I25" i="9"/>
  <c r="D7" i="6"/>
  <c r="I7" i="6" s="1"/>
  <c r="K15" i="6"/>
  <c r="K18" i="6"/>
  <c r="K32" i="6"/>
  <c r="D10" i="6"/>
  <c r="I10" i="6" s="1"/>
  <c r="K12" i="6"/>
  <c r="G29" i="6"/>
  <c r="J29" i="6" s="1"/>
  <c r="K37" i="8"/>
  <c r="I28" i="9"/>
  <c r="K36" i="6"/>
  <c r="L37" i="8"/>
  <c r="D22" i="6"/>
  <c r="I22" i="6" s="1"/>
  <c r="D27" i="6"/>
  <c r="I27" i="6" s="1"/>
  <c r="K29" i="6"/>
  <c r="K33" i="6"/>
  <c r="C37" i="7"/>
  <c r="D8" i="6"/>
  <c r="I8" i="6" s="1"/>
  <c r="K13" i="6"/>
  <c r="H16" i="6"/>
  <c r="L16" i="6" s="1"/>
  <c r="H19" i="6"/>
  <c r="L19" i="6" s="1"/>
  <c r="D37" i="7"/>
  <c r="S2" i="9"/>
  <c r="K16" i="6"/>
  <c r="K19" i="6"/>
  <c r="D25" i="6"/>
  <c r="I25" i="6" s="1"/>
  <c r="K27" i="6"/>
  <c r="E37" i="7"/>
  <c r="S3" i="9"/>
  <c r="D6" i="6"/>
  <c r="D11" i="6"/>
  <c r="I11" i="6" s="1"/>
  <c r="J25" i="6"/>
  <c r="I7" i="8"/>
  <c r="I10" i="8"/>
  <c r="I16" i="9"/>
  <c r="K25" i="6"/>
  <c r="K34" i="6"/>
  <c r="K37" i="9"/>
  <c r="I9" i="9"/>
  <c r="K6" i="6"/>
  <c r="K37" i="6" s="1"/>
  <c r="G20" i="6"/>
  <c r="L37" i="9"/>
  <c r="J9" i="9"/>
  <c r="H6" i="6"/>
  <c r="K11" i="6"/>
  <c r="J14" i="6"/>
  <c r="H20" i="6"/>
  <c r="L20" i="6" s="1"/>
  <c r="J17" i="11"/>
  <c r="I32" i="9"/>
  <c r="I30" i="11"/>
  <c r="K37" i="10"/>
  <c r="I9" i="10"/>
  <c r="I12" i="10"/>
  <c r="J25" i="9"/>
  <c r="L37" i="10"/>
  <c r="R2" i="11"/>
  <c r="I34" i="11"/>
  <c r="J15" i="9"/>
  <c r="S2" i="11"/>
  <c r="I18" i="11"/>
  <c r="I35" i="10"/>
  <c r="G9" i="11"/>
  <c r="M8" i="11"/>
  <c r="O7" i="11"/>
  <c r="J33" i="11"/>
  <c r="M7" i="11"/>
  <c r="I11" i="11"/>
  <c r="I27" i="11"/>
  <c r="R3" i="11"/>
  <c r="I20" i="11"/>
  <c r="I36" i="11"/>
  <c r="S3" i="11"/>
  <c r="I13" i="11"/>
  <c r="I29" i="11"/>
  <c r="I6" i="11"/>
  <c r="I22" i="11"/>
  <c r="I15" i="11"/>
  <c r="I31" i="11"/>
  <c r="I8" i="11"/>
  <c r="I24" i="11"/>
  <c r="J37" i="10"/>
  <c r="G9" i="10"/>
  <c r="M8" i="10"/>
  <c r="R2" i="10"/>
  <c r="S2" i="10"/>
  <c r="M7" i="10"/>
  <c r="I11" i="10"/>
  <c r="I27" i="10"/>
  <c r="R3" i="10"/>
  <c r="I20" i="10"/>
  <c r="I36" i="10"/>
  <c r="S3" i="10"/>
  <c r="I13" i="10"/>
  <c r="I29" i="10"/>
  <c r="I6" i="10"/>
  <c r="I22" i="10"/>
  <c r="I15" i="10"/>
  <c r="I31" i="10"/>
  <c r="I8" i="10"/>
  <c r="I24" i="10"/>
  <c r="G8" i="9"/>
  <c r="M7" i="9"/>
  <c r="I19" i="9"/>
  <c r="I35" i="9"/>
  <c r="C37" i="9"/>
  <c r="I6" i="9"/>
  <c r="D37" i="9"/>
  <c r="J6" i="9"/>
  <c r="I31" i="9"/>
  <c r="M6" i="9"/>
  <c r="I34" i="9"/>
  <c r="I8" i="9"/>
  <c r="I24" i="9"/>
  <c r="I11" i="9"/>
  <c r="I27" i="9"/>
  <c r="I36" i="9"/>
  <c r="O36" i="9" s="1"/>
  <c r="R2" i="9"/>
  <c r="I14" i="9"/>
  <c r="I30" i="9"/>
  <c r="I17" i="9"/>
  <c r="I33" i="9"/>
  <c r="I20" i="9"/>
  <c r="R3" i="9"/>
  <c r="I7" i="9"/>
  <c r="I23" i="9"/>
  <c r="J37" i="8"/>
  <c r="M8" i="8"/>
  <c r="G9" i="8"/>
  <c r="I32" i="8"/>
  <c r="R2" i="8"/>
  <c r="S2" i="8"/>
  <c r="M7" i="8"/>
  <c r="O7" i="8" s="1"/>
  <c r="I11" i="8"/>
  <c r="I27" i="8"/>
  <c r="R3" i="8"/>
  <c r="I20" i="8"/>
  <c r="I36" i="8"/>
  <c r="S3" i="8"/>
  <c r="I13" i="8"/>
  <c r="I29" i="8"/>
  <c r="I6" i="8"/>
  <c r="I22" i="8"/>
  <c r="I15" i="8"/>
  <c r="I31" i="8"/>
  <c r="I8" i="8"/>
  <c r="O8" i="8" s="1"/>
  <c r="I24" i="8"/>
  <c r="F6" i="7"/>
  <c r="G6" i="7" s="1"/>
  <c r="J30" i="6"/>
  <c r="J21" i="6"/>
  <c r="K14" i="6"/>
  <c r="J17" i="6"/>
  <c r="G26" i="6"/>
  <c r="J26" i="6" s="1"/>
  <c r="K30" i="6"/>
  <c r="J33" i="6"/>
  <c r="H14" i="6"/>
  <c r="L14" i="6" s="1"/>
  <c r="J11" i="6"/>
  <c r="D13" i="6"/>
  <c r="I13" i="6" s="1"/>
  <c r="J20" i="6"/>
  <c r="J36" i="6"/>
  <c r="J7" i="6"/>
  <c r="J23" i="6"/>
  <c r="H29" i="6"/>
  <c r="L29" i="6" s="1"/>
  <c r="H32" i="6"/>
  <c r="L32" i="6" s="1"/>
  <c r="G9" i="6"/>
  <c r="J9" i="6" s="1"/>
  <c r="J16" i="6"/>
  <c r="D18" i="6"/>
  <c r="I18" i="6" s="1"/>
  <c r="J32" i="6"/>
  <c r="D34" i="6"/>
  <c r="I34" i="6" s="1"/>
  <c r="J19" i="6"/>
  <c r="G28" i="6"/>
  <c r="J28" i="6" s="1"/>
  <c r="J35" i="6"/>
  <c r="D24" i="6"/>
  <c r="I24" i="6" s="1"/>
  <c r="F37" i="6"/>
  <c r="J12" i="6"/>
  <c r="G21" i="6"/>
  <c r="D30" i="6"/>
  <c r="I30" i="6" s="1"/>
  <c r="G8" i="6"/>
  <c r="J8" i="6" s="1"/>
  <c r="J15" i="6"/>
  <c r="D17" i="6"/>
  <c r="I17" i="6" s="1"/>
  <c r="G24" i="6"/>
  <c r="J24" i="6" s="1"/>
  <c r="J31" i="6"/>
  <c r="D33" i="6"/>
  <c r="I33" i="6" s="1"/>
  <c r="J18" i="6"/>
  <c r="G27" i="6"/>
  <c r="J27" i="6" s="1"/>
  <c r="J34" i="6"/>
  <c r="D36" i="6"/>
  <c r="I36" i="6" s="1"/>
  <c r="G6" i="6"/>
  <c r="D37" i="6" l="1"/>
  <c r="I6" i="6"/>
  <c r="I37" i="6" s="1"/>
  <c r="J37" i="9"/>
  <c r="H37" i="6"/>
  <c r="L6" i="6"/>
  <c r="L37" i="6" s="1"/>
  <c r="L38" i="6" s="1"/>
  <c r="O8" i="11"/>
  <c r="J37" i="11"/>
  <c r="G10" i="11"/>
  <c r="M9" i="11"/>
  <c r="O9" i="11" s="1"/>
  <c r="I37" i="11"/>
  <c r="O6" i="11"/>
  <c r="G10" i="10"/>
  <c r="M9" i="10"/>
  <c r="O9" i="10" s="1"/>
  <c r="I37" i="10"/>
  <c r="O6" i="10"/>
  <c r="O8" i="10"/>
  <c r="O7" i="10"/>
  <c r="M8" i="9"/>
  <c r="G9" i="9"/>
  <c r="O8" i="9"/>
  <c r="O6" i="9"/>
  <c r="I37" i="9"/>
  <c r="O7" i="9"/>
  <c r="I37" i="8"/>
  <c r="O6" i="8"/>
  <c r="G10" i="8"/>
  <c r="M9" i="8"/>
  <c r="O9" i="8" s="1"/>
  <c r="G37" i="7"/>
  <c r="H6" i="7"/>
  <c r="G37" i="6"/>
  <c r="J6" i="6"/>
  <c r="J37" i="6" s="1"/>
  <c r="G11" i="11" l="1"/>
  <c r="M10" i="11"/>
  <c r="O10" i="11" s="1"/>
  <c r="G11" i="10"/>
  <c r="M10" i="10"/>
  <c r="O10" i="10" s="1"/>
  <c r="G10" i="9"/>
  <c r="M9" i="9"/>
  <c r="G11" i="8"/>
  <c r="M10" i="8"/>
  <c r="O10" i="8" s="1"/>
  <c r="H37" i="7"/>
  <c r="I6" i="7"/>
  <c r="I37" i="7" s="1"/>
  <c r="I38" i="7" s="1"/>
  <c r="M11" i="11" l="1"/>
  <c r="O11" i="11" s="1"/>
  <c r="G12" i="11"/>
  <c r="M11" i="10"/>
  <c r="O11" i="10" s="1"/>
  <c r="G12" i="10"/>
  <c r="O9" i="9"/>
  <c r="G11" i="9"/>
  <c r="M10" i="9"/>
  <c r="O10" i="9" s="1"/>
  <c r="M11" i="8"/>
  <c r="O11" i="8" s="1"/>
  <c r="G12" i="8"/>
  <c r="G13" i="11" l="1"/>
  <c r="M12" i="11"/>
  <c r="O12" i="11" s="1"/>
  <c r="G13" i="10"/>
  <c r="M12" i="10"/>
  <c r="O12" i="10" s="1"/>
  <c r="M11" i="9"/>
  <c r="O11" i="9" s="1"/>
  <c r="G12" i="9"/>
  <c r="G13" i="8"/>
  <c r="M12" i="8"/>
  <c r="O12" i="8" s="1"/>
  <c r="M13" i="11" l="1"/>
  <c r="O13" i="11" s="1"/>
  <c r="G14" i="11"/>
  <c r="M13" i="10"/>
  <c r="O13" i="10" s="1"/>
  <c r="G14" i="10"/>
  <c r="G13" i="9"/>
  <c r="M12" i="9"/>
  <c r="M13" i="8"/>
  <c r="O13" i="8" s="1"/>
  <c r="G14" i="8"/>
  <c r="G15" i="11" l="1"/>
  <c r="M14" i="11"/>
  <c r="O14" i="11" s="1"/>
  <c r="G15" i="10"/>
  <c r="M14" i="10"/>
  <c r="O14" i="10" s="1"/>
  <c r="O12" i="9"/>
  <c r="G14" i="9"/>
  <c r="M13" i="9"/>
  <c r="O13" i="9" s="1"/>
  <c r="G15" i="8"/>
  <c r="M14" i="8"/>
  <c r="O14" i="8" s="1"/>
  <c r="G16" i="11" l="1"/>
  <c r="M15" i="11"/>
  <c r="O15" i="11" s="1"/>
  <c r="M15" i="10"/>
  <c r="O15" i="10" s="1"/>
  <c r="G16" i="10"/>
  <c r="M14" i="9"/>
  <c r="O14" i="9" s="1"/>
  <c r="G15" i="9"/>
  <c r="G16" i="8"/>
  <c r="M15" i="8"/>
  <c r="O15" i="8" s="1"/>
  <c r="G17" i="11" l="1"/>
  <c r="M16" i="11"/>
  <c r="O16" i="11" s="1"/>
  <c r="G17" i="10"/>
  <c r="M16" i="10"/>
  <c r="O16" i="10" s="1"/>
  <c r="M15" i="9"/>
  <c r="O15" i="9" s="1"/>
  <c r="G16" i="9"/>
  <c r="G17" i="8"/>
  <c r="M16" i="8"/>
  <c r="O16" i="8" s="1"/>
  <c r="G18" i="11" l="1"/>
  <c r="M17" i="11"/>
  <c r="O17" i="11" s="1"/>
  <c r="G18" i="10"/>
  <c r="M17" i="10"/>
  <c r="O17" i="10" s="1"/>
  <c r="G17" i="9"/>
  <c r="M16" i="9"/>
  <c r="O16" i="9" s="1"/>
  <c r="G18" i="8"/>
  <c r="M17" i="8"/>
  <c r="O17" i="8" s="1"/>
  <c r="M18" i="11" l="1"/>
  <c r="O18" i="11" s="1"/>
  <c r="G19" i="11"/>
  <c r="G19" i="10"/>
  <c r="M18" i="10"/>
  <c r="O18" i="10" s="1"/>
  <c r="G18" i="9"/>
  <c r="M17" i="9"/>
  <c r="O17" i="9" s="1"/>
  <c r="M18" i="8"/>
  <c r="O18" i="8" s="1"/>
  <c r="G19" i="8"/>
  <c r="G20" i="11" l="1"/>
  <c r="M19" i="11"/>
  <c r="O19" i="11" s="1"/>
  <c r="G20" i="10"/>
  <c r="M19" i="10"/>
  <c r="O19" i="10" s="1"/>
  <c r="M18" i="9"/>
  <c r="O18" i="9" s="1"/>
  <c r="G19" i="9"/>
  <c r="G20" i="8"/>
  <c r="M19" i="8"/>
  <c r="O19" i="8" s="1"/>
  <c r="M20" i="11" l="1"/>
  <c r="O20" i="11" s="1"/>
  <c r="G21" i="11"/>
  <c r="M20" i="10"/>
  <c r="O20" i="10" s="1"/>
  <c r="G21" i="10"/>
  <c r="G20" i="9"/>
  <c r="M19" i="9"/>
  <c r="O19" i="9" s="1"/>
  <c r="M20" i="8"/>
  <c r="O20" i="8" s="1"/>
  <c r="G21" i="8"/>
  <c r="G22" i="11" l="1"/>
  <c r="M21" i="11"/>
  <c r="O21" i="11" s="1"/>
  <c r="G22" i="10"/>
  <c r="M21" i="10"/>
  <c r="O21" i="10" s="1"/>
  <c r="G21" i="9"/>
  <c r="M20" i="9"/>
  <c r="O20" i="9" s="1"/>
  <c r="G22" i="8"/>
  <c r="M21" i="8"/>
  <c r="O21" i="8" s="1"/>
  <c r="G23" i="11" l="1"/>
  <c r="M22" i="11"/>
  <c r="O22" i="11" s="1"/>
  <c r="M22" i="10"/>
  <c r="O22" i="10" s="1"/>
  <c r="G23" i="10"/>
  <c r="M21" i="9"/>
  <c r="O21" i="9" s="1"/>
  <c r="G22" i="9"/>
  <c r="M22" i="8"/>
  <c r="O22" i="8" s="1"/>
  <c r="G23" i="8"/>
  <c r="G24" i="11" l="1"/>
  <c r="M23" i="11"/>
  <c r="O23" i="11" s="1"/>
  <c r="G24" i="10"/>
  <c r="M23" i="10"/>
  <c r="O23" i="10" s="1"/>
  <c r="G23" i="9"/>
  <c r="M22" i="9"/>
  <c r="O22" i="9" s="1"/>
  <c r="G24" i="8"/>
  <c r="M23" i="8"/>
  <c r="O23" i="8" s="1"/>
  <c r="G25" i="11" l="1"/>
  <c r="M24" i="11"/>
  <c r="O24" i="11" s="1"/>
  <c r="G25" i="10"/>
  <c r="M24" i="10"/>
  <c r="O24" i="10" s="1"/>
  <c r="G24" i="9"/>
  <c r="M23" i="9"/>
  <c r="O23" i="9" s="1"/>
  <c r="G25" i="8"/>
  <c r="M24" i="8"/>
  <c r="O24" i="8" s="1"/>
  <c r="G26" i="11" l="1"/>
  <c r="M25" i="11"/>
  <c r="O25" i="11" s="1"/>
  <c r="G26" i="10"/>
  <c r="M25" i="10"/>
  <c r="O25" i="10" s="1"/>
  <c r="M24" i="9"/>
  <c r="O24" i="9" s="1"/>
  <c r="G25" i="9"/>
  <c r="G26" i="8"/>
  <c r="M25" i="8"/>
  <c r="O25" i="8" s="1"/>
  <c r="G27" i="11" l="1"/>
  <c r="M26" i="11"/>
  <c r="O26" i="11" s="1"/>
  <c r="G27" i="10"/>
  <c r="M26" i="10"/>
  <c r="O26" i="10" s="1"/>
  <c r="G26" i="9"/>
  <c r="M25" i="9"/>
  <c r="O25" i="9" s="1"/>
  <c r="G27" i="8"/>
  <c r="M26" i="8"/>
  <c r="O26" i="8" s="1"/>
  <c r="M27" i="11" l="1"/>
  <c r="O27" i="11" s="1"/>
  <c r="G28" i="11"/>
  <c r="M27" i="10"/>
  <c r="O27" i="10" s="1"/>
  <c r="G28" i="10"/>
  <c r="G27" i="9"/>
  <c r="M26" i="9"/>
  <c r="O26" i="9" s="1"/>
  <c r="M27" i="8"/>
  <c r="O27" i="8" s="1"/>
  <c r="G28" i="8"/>
  <c r="G29" i="11" l="1"/>
  <c r="M28" i="11"/>
  <c r="O28" i="11" s="1"/>
  <c r="G29" i="10"/>
  <c r="M28" i="10"/>
  <c r="O28" i="10" s="1"/>
  <c r="M27" i="9"/>
  <c r="O27" i="9" s="1"/>
  <c r="G28" i="9"/>
  <c r="G29" i="8"/>
  <c r="M28" i="8"/>
  <c r="O28" i="8" s="1"/>
  <c r="M29" i="11" l="1"/>
  <c r="O29" i="11" s="1"/>
  <c r="G30" i="11"/>
  <c r="M29" i="10"/>
  <c r="O29" i="10" s="1"/>
  <c r="G30" i="10"/>
  <c r="G29" i="9"/>
  <c r="M28" i="9"/>
  <c r="O28" i="9" s="1"/>
  <c r="M29" i="8"/>
  <c r="O29" i="8" s="1"/>
  <c r="G30" i="8"/>
  <c r="G31" i="11" l="1"/>
  <c r="M30" i="11"/>
  <c r="O30" i="11" s="1"/>
  <c r="G31" i="10"/>
  <c r="M30" i="10"/>
  <c r="O30" i="10" s="1"/>
  <c r="G30" i="9"/>
  <c r="M29" i="9"/>
  <c r="O29" i="9" s="1"/>
  <c r="G31" i="8"/>
  <c r="M30" i="8"/>
  <c r="O30" i="8" s="1"/>
  <c r="G32" i="11" l="1"/>
  <c r="M31" i="11"/>
  <c r="O31" i="11" s="1"/>
  <c r="M31" i="10"/>
  <c r="O31" i="10" s="1"/>
  <c r="G32" i="10"/>
  <c r="M30" i="9"/>
  <c r="O30" i="9" s="1"/>
  <c r="G31" i="9"/>
  <c r="G32" i="8"/>
  <c r="M31" i="8"/>
  <c r="O31" i="8" s="1"/>
  <c r="G33" i="11" l="1"/>
  <c r="M32" i="11"/>
  <c r="O32" i="11" s="1"/>
  <c r="G33" i="10"/>
  <c r="M32" i="10"/>
  <c r="O32" i="10" s="1"/>
  <c r="G32" i="9"/>
  <c r="M31" i="9"/>
  <c r="O31" i="9" s="1"/>
  <c r="G33" i="8"/>
  <c r="M32" i="8"/>
  <c r="O32" i="8" s="1"/>
  <c r="G34" i="11" l="1"/>
  <c r="M33" i="11"/>
  <c r="O33" i="11" s="1"/>
  <c r="G34" i="10"/>
  <c r="M33" i="10"/>
  <c r="O33" i="10" s="1"/>
  <c r="G33" i="9"/>
  <c r="M32" i="9"/>
  <c r="O32" i="9" s="1"/>
  <c r="G34" i="8"/>
  <c r="M33" i="8"/>
  <c r="O33" i="8" s="1"/>
  <c r="M34" i="11" l="1"/>
  <c r="O34" i="11" s="1"/>
  <c r="G35" i="11"/>
  <c r="G35" i="10"/>
  <c r="M34" i="10"/>
  <c r="O34" i="10" s="1"/>
  <c r="G34" i="9"/>
  <c r="M33" i="9"/>
  <c r="O33" i="9" s="1"/>
  <c r="M34" i="8"/>
  <c r="O34" i="8" s="1"/>
  <c r="G35" i="8"/>
  <c r="G36" i="11" l="1"/>
  <c r="M35" i="11"/>
  <c r="O35" i="11" s="1"/>
  <c r="G36" i="10"/>
  <c r="M35" i="10"/>
  <c r="O35" i="10" s="1"/>
  <c r="M34" i="9"/>
  <c r="O34" i="9" s="1"/>
  <c r="G35" i="9"/>
  <c r="G36" i="8"/>
  <c r="M35" i="8"/>
  <c r="O35" i="8" s="1"/>
  <c r="M36" i="11" l="1"/>
  <c r="G37" i="11"/>
  <c r="M36" i="10"/>
  <c r="G37" i="10"/>
  <c r="M35" i="9"/>
  <c r="G37" i="9"/>
  <c r="M36" i="8"/>
  <c r="G37" i="8"/>
  <c r="O36" i="11" l="1"/>
  <c r="O37" i="11" s="1"/>
  <c r="O38" i="11" s="1"/>
  <c r="M37" i="11"/>
  <c r="O36" i="10"/>
  <c r="O37" i="10" s="1"/>
  <c r="O38" i="10" s="1"/>
  <c r="M37" i="10"/>
  <c r="O35" i="9"/>
  <c r="O37" i="9" s="1"/>
  <c r="O38" i="9" s="1"/>
  <c r="M37" i="9"/>
  <c r="O36" i="8"/>
  <c r="O37" i="8" s="1"/>
  <c r="O38" i="8" s="1"/>
  <c r="M37" i="8"/>
  <c r="F14" i="5" l="1"/>
  <c r="F15" i="5" s="1"/>
  <c r="F16" i="5" s="1"/>
  <c r="C37" i="3"/>
  <c r="C36" i="3"/>
  <c r="F15" i="3"/>
  <c r="E15" i="3"/>
  <c r="F14" i="3"/>
  <c r="E14" i="3"/>
  <c r="F13" i="3"/>
  <c r="E13" i="3"/>
  <c r="F12" i="3"/>
  <c r="F11" i="3"/>
  <c r="F10" i="3"/>
  <c r="F9" i="3"/>
  <c r="F8" i="3"/>
  <c r="E8" i="3"/>
  <c r="F7" i="3"/>
  <c r="F6" i="3"/>
  <c r="D44" i="3" a="1"/>
  <c r="G35" i="3" a="1"/>
  <c r="J51" i="3" a="1"/>
  <c r="C51" i="3" a="1"/>
  <c r="D53" i="3" a="1"/>
  <c r="I45" i="3" a="1"/>
  <c r="C46" i="3" a="1"/>
  <c r="G31" i="3" a="1"/>
  <c r="J46" i="3" a="1"/>
  <c r="G49" i="3" a="1"/>
  <c r="M49" i="3" a="1"/>
  <c r="C20" i="3" a="1"/>
  <c r="H45" i="3" a="1"/>
  <c r="D45" i="3" a="1"/>
  <c r="G47" i="3" a="1"/>
  <c r="F52" i="3" a="1"/>
  <c r="K50" i="3" a="1"/>
  <c r="G50" i="3" a="1"/>
  <c r="J49" i="3" a="1"/>
  <c r="G46" i="3" a="1"/>
  <c r="G29" i="3" a="1"/>
  <c r="L50" i="3" a="1"/>
  <c r="F51" i="3" a="1"/>
  <c r="D52" i="3" a="1"/>
  <c r="K47" i="3" a="1"/>
  <c r="M51" i="3" a="1"/>
  <c r="F47" i="3" a="1"/>
  <c r="B60" i="3" a="1"/>
  <c r="G36" i="3" a="1"/>
  <c r="G27" i="3" a="1"/>
  <c r="B58" i="3" a="1"/>
  <c r="F45" i="3" a="1"/>
  <c r="C19" i="3" a="1"/>
  <c r="E49" i="3" a="1"/>
  <c r="C53" i="3" a="1"/>
  <c r="K53" i="3" a="1"/>
  <c r="E44" i="3" a="1"/>
  <c r="G39" i="3" a="1"/>
  <c r="C31" i="3" a="1"/>
  <c r="B63" i="3" a="1"/>
  <c r="G30" i="3" a="1"/>
  <c r="I46" i="3" a="1"/>
  <c r="G51" i="3" a="1"/>
  <c r="L47" i="3" a="1"/>
  <c r="I49" i="3" a="1"/>
  <c r="C27" i="3" a="1"/>
  <c r="E51" i="3" a="1"/>
  <c r="H44" i="3" a="1"/>
  <c r="I53" i="3" a="1"/>
  <c r="L49" i="3" a="1"/>
  <c r="E46" i="3" a="1"/>
  <c r="G23" i="3" a="1"/>
  <c r="G53" i="3" a="1"/>
  <c r="H47" i="3" a="1"/>
  <c r="F49" i="3" a="1"/>
  <c r="F53" i="3" a="1"/>
  <c r="C33" i="3" a="1"/>
  <c r="I47" i="3" a="1"/>
  <c r="H49" i="3" a="1"/>
  <c r="G21" i="3" a="1"/>
  <c r="L52" i="3" a="1"/>
  <c r="J44" i="3" a="1"/>
  <c r="J47" i="3" a="1"/>
  <c r="K45" i="3" a="1"/>
  <c r="J50" i="3" a="1"/>
  <c r="G24" i="3" a="1"/>
  <c r="M50" i="3" a="1"/>
  <c r="M48" i="3" a="1"/>
  <c r="F48" i="3" a="1"/>
  <c r="G19" i="3" a="1"/>
  <c r="G52" i="3" a="1"/>
  <c r="B64" i="3" a="1"/>
  <c r="D47" i="3" a="1"/>
  <c r="I44" i="3" a="1"/>
  <c r="E52" i="3" a="1"/>
  <c r="C52" i="3" a="1"/>
  <c r="M45" i="3" a="1"/>
  <c r="L45" i="3" a="1"/>
  <c r="C26" i="3" a="1"/>
  <c r="J48" i="3" a="1"/>
  <c r="C45" i="3" a="1"/>
  <c r="I48" i="3" a="1"/>
  <c r="G40" i="3" a="1"/>
  <c r="E50" i="3" a="1"/>
  <c r="M46" i="3" a="1"/>
  <c r="G38" i="3" a="1"/>
  <c r="K52" i="3" a="1"/>
  <c r="F44" i="3" a="1"/>
  <c r="E48" i="3" a="1"/>
  <c r="B59" i="3" a="1"/>
  <c r="G20" i="3" a="1"/>
  <c r="C23" i="3" a="1"/>
  <c r="C48" i="3" a="1"/>
  <c r="H53" i="3" a="1"/>
  <c r="I51" i="3" a="1"/>
  <c r="I52" i="3" a="1"/>
  <c r="B56" i="3" a="1"/>
  <c r="D49" i="3" a="1"/>
  <c r="G37" i="3" a="1"/>
  <c r="H51" i="3" a="1"/>
  <c r="C34" i="3" a="1"/>
  <c r="G34" i="3" a="1"/>
  <c r="F50" i="3" a="1"/>
  <c r="K46" i="3" a="1"/>
  <c r="G25" i="3" a="1"/>
  <c r="M44" i="3" a="1"/>
  <c r="C25" i="3" a="1"/>
  <c r="J45" i="3" a="1"/>
  <c r="L53" i="3" a="1"/>
  <c r="C49" i="3" a="1"/>
  <c r="M53" i="3" a="1"/>
  <c r="G33" i="3" a="1"/>
  <c r="G26" i="3" a="1"/>
  <c r="E53" i="3" a="1"/>
  <c r="H46" i="3" a="1"/>
  <c r="B65" i="3" a="1"/>
  <c r="L48" i="3" a="1"/>
  <c r="D48" i="3" a="1"/>
  <c r="E45" i="3" a="1"/>
  <c r="B66" i="3" a="1"/>
  <c r="C24" i="3" a="1"/>
  <c r="H48" i="3" a="1"/>
  <c r="C22" i="3" a="1"/>
  <c r="L46" i="3" a="1"/>
  <c r="G22" i="3" a="1"/>
  <c r="G32" i="3" a="1"/>
  <c r="G44" i="3" a="1"/>
  <c r="C30" i="3" a="1"/>
  <c r="M52" i="3" a="1"/>
  <c r="J53" i="3" a="1"/>
  <c r="B57" i="3" a="1"/>
  <c r="D50" i="3" a="1"/>
  <c r="C50" i="3" a="1"/>
  <c r="G48" i="3" a="1"/>
  <c r="D46" i="3" a="1"/>
  <c r="C47" i="3" a="1"/>
  <c r="J52" i="3" a="1"/>
  <c r="D51" i="3" a="1"/>
  <c r="C21" i="3" a="1"/>
  <c r="E47" i="3" a="1"/>
  <c r="K48" i="3" a="1"/>
  <c r="K44" i="3" a="1"/>
  <c r="L51" i="3" a="1"/>
  <c r="B62" i="3" a="1"/>
  <c r="I50" i="3" a="1"/>
  <c r="K49" i="3" a="1"/>
  <c r="H52" i="3" a="1"/>
  <c r="K51" i="3" a="1"/>
  <c r="B61" i="3" a="1"/>
  <c r="G28" i="3" a="1"/>
  <c r="M47" i="3" a="1"/>
  <c r="B67" i="3" a="1"/>
  <c r="G45" i="3" a="1"/>
  <c r="F46" i="3" a="1"/>
  <c r="H50" i="3" a="1"/>
  <c r="C44" i="3" a="1"/>
  <c r="C32" i="3" a="1"/>
  <c r="L44" i="3" a="1"/>
  <c r="G30" i="3" l="1"/>
  <c r="G34" i="3"/>
  <c r="G45" i="3"/>
  <c r="H47" i="3"/>
  <c r="I49" i="3"/>
  <c r="J51" i="3"/>
  <c r="C53" i="3"/>
  <c r="K53" i="3"/>
  <c r="B60" i="3"/>
  <c r="D7" i="3" s="1"/>
  <c r="C22" i="3"/>
  <c r="C26" i="3"/>
  <c r="C44" i="3"/>
  <c r="K44" i="3"/>
  <c r="D46" i="3"/>
  <c r="L46" i="3"/>
  <c r="E48" i="3"/>
  <c r="M48" i="3"/>
  <c r="F50" i="3"/>
  <c r="G52" i="3"/>
  <c r="C31" i="3"/>
  <c r="G35" i="3"/>
  <c r="H45" i="3"/>
  <c r="I47" i="3"/>
  <c r="J49" i="3"/>
  <c r="C51" i="3"/>
  <c r="K51" i="3"/>
  <c r="D53" i="3"/>
  <c r="L53" i="3"/>
  <c r="B61" i="3"/>
  <c r="D10" i="3" s="1"/>
  <c r="G22" i="3"/>
  <c r="E6" i="3" s="1"/>
  <c r="G26" i="3"/>
  <c r="D44" i="3"/>
  <c r="L44" i="3"/>
  <c r="E46" i="3"/>
  <c r="M46" i="3"/>
  <c r="F48" i="3"/>
  <c r="G50" i="3"/>
  <c r="H52" i="3"/>
  <c r="G31" i="3"/>
  <c r="I45" i="3"/>
  <c r="J47" i="3"/>
  <c r="C49" i="3"/>
  <c r="K49" i="3"/>
  <c r="D51" i="3"/>
  <c r="L51" i="3"/>
  <c r="E53" i="3"/>
  <c r="M53" i="3"/>
  <c r="B62" i="3"/>
  <c r="D9" i="3" s="1"/>
  <c r="C19" i="3"/>
  <c r="C23" i="3"/>
  <c r="C27" i="3"/>
  <c r="G36" i="3"/>
  <c r="E44" i="3"/>
  <c r="M44" i="3"/>
  <c r="F46" i="3"/>
  <c r="G48" i="3"/>
  <c r="H50" i="3"/>
  <c r="I52" i="3"/>
  <c r="C32" i="3"/>
  <c r="J45" i="3"/>
  <c r="C47" i="3"/>
  <c r="K47" i="3"/>
  <c r="D49" i="3"/>
  <c r="L49" i="3"/>
  <c r="E51" i="3"/>
  <c r="M51" i="3"/>
  <c r="F53" i="3"/>
  <c r="B63" i="3"/>
  <c r="D11" i="3" s="1"/>
  <c r="G19" i="3"/>
  <c r="G23" i="3"/>
  <c r="G27" i="3"/>
  <c r="E12" i="3" s="1"/>
  <c r="F44" i="3"/>
  <c r="G46" i="3"/>
  <c r="H48" i="3"/>
  <c r="I50" i="3"/>
  <c r="J52" i="3"/>
  <c r="G32" i="3"/>
  <c r="E7" i="3" s="1"/>
  <c r="G37" i="3"/>
  <c r="E10" i="3" s="1"/>
  <c r="C45" i="3"/>
  <c r="K45" i="3"/>
  <c r="D47" i="3"/>
  <c r="L47" i="3"/>
  <c r="E49" i="3"/>
  <c r="M49" i="3"/>
  <c r="F51" i="3"/>
  <c r="G53" i="3"/>
  <c r="B56" i="3"/>
  <c r="B64" i="3"/>
  <c r="D12" i="3" s="1"/>
  <c r="C20" i="3"/>
  <c r="C24" i="3"/>
  <c r="G28" i="3"/>
  <c r="E5" i="3" s="1"/>
  <c r="G44" i="3"/>
  <c r="H46" i="3"/>
  <c r="I48" i="3"/>
  <c r="J50" i="3"/>
  <c r="C52" i="3"/>
  <c r="N52" i="3" s="1"/>
  <c r="B12" i="3" s="1"/>
  <c r="K52" i="3"/>
  <c r="C33" i="3"/>
  <c r="G38" i="3"/>
  <c r="D45" i="3"/>
  <c r="L45" i="3"/>
  <c r="E47" i="3"/>
  <c r="M47" i="3"/>
  <c r="F49" i="3"/>
  <c r="G51" i="3"/>
  <c r="H53" i="3"/>
  <c r="B57" i="3"/>
  <c r="D5" i="3" s="1"/>
  <c r="B65" i="3"/>
  <c r="D13" i="3" s="1"/>
  <c r="G20" i="3"/>
  <c r="G24" i="3"/>
  <c r="H44" i="3"/>
  <c r="I46" i="3"/>
  <c r="J48" i="3"/>
  <c r="C50" i="3"/>
  <c r="K50" i="3"/>
  <c r="D52" i="3"/>
  <c r="L52" i="3"/>
  <c r="G29" i="3"/>
  <c r="G33" i="3"/>
  <c r="G39" i="3"/>
  <c r="E45" i="3"/>
  <c r="M45" i="3"/>
  <c r="F47" i="3"/>
  <c r="G49" i="3"/>
  <c r="H51" i="3"/>
  <c r="I53" i="3"/>
  <c r="B58" i="3"/>
  <c r="D14" i="3" s="1"/>
  <c r="G14" i="3" s="1"/>
  <c r="B66" i="3"/>
  <c r="D15" i="3" s="1"/>
  <c r="C21" i="3"/>
  <c r="C25" i="3"/>
  <c r="I44" i="3"/>
  <c r="J46" i="3"/>
  <c r="C48" i="3"/>
  <c r="K48" i="3"/>
  <c r="D50" i="3"/>
  <c r="L50" i="3"/>
  <c r="E52" i="3"/>
  <c r="M52" i="3"/>
  <c r="C30" i="3"/>
  <c r="C34" i="3"/>
  <c r="G40" i="3"/>
  <c r="F45" i="3"/>
  <c r="G47" i="3"/>
  <c r="H49" i="3"/>
  <c r="I51" i="3"/>
  <c r="J53" i="3"/>
  <c r="B59" i="3"/>
  <c r="D6" i="3" s="1"/>
  <c r="B67" i="3"/>
  <c r="D8" i="3" s="1"/>
  <c r="G21" i="3"/>
  <c r="G25" i="3"/>
  <c r="J44" i="3"/>
  <c r="C46" i="3"/>
  <c r="K46" i="3"/>
  <c r="D48" i="3"/>
  <c r="L48" i="3"/>
  <c r="E50" i="3"/>
  <c r="M50" i="3"/>
  <c r="F52" i="3"/>
  <c r="C29" i="3" l="1"/>
  <c r="C13" i="3" s="1"/>
  <c r="C16" i="3" s="1"/>
  <c r="G12" i="3"/>
  <c r="N45" i="3"/>
  <c r="B5" i="3" s="1"/>
  <c r="N44" i="3"/>
  <c r="N51" i="3"/>
  <c r="B11" i="3" s="1"/>
  <c r="N47" i="3"/>
  <c r="B7" i="3" s="1"/>
  <c r="G7" i="3" s="1"/>
  <c r="D4" i="3"/>
  <c r="D16" i="3" s="1"/>
  <c r="B55" i="3"/>
  <c r="N53" i="3"/>
  <c r="B15" i="3" s="1"/>
  <c r="G15" i="3" s="1"/>
  <c r="N49" i="3"/>
  <c r="B9" i="3" s="1"/>
  <c r="E11" i="3"/>
  <c r="N48" i="3"/>
  <c r="B8" i="3" s="1"/>
  <c r="G8" i="3" s="1"/>
  <c r="E4" i="3"/>
  <c r="G18" i="3"/>
  <c r="G13" i="3"/>
  <c r="E9" i="3"/>
  <c r="F5" i="3"/>
  <c r="N46" i="3"/>
  <c r="B6" i="3" s="1"/>
  <c r="G6" i="3" s="1"/>
  <c r="N50" i="3"/>
  <c r="B10" i="3" s="1"/>
  <c r="G10" i="3" s="1"/>
  <c r="F4" i="3"/>
  <c r="C18" i="3"/>
  <c r="F16" i="3" l="1"/>
  <c r="G11" i="3"/>
  <c r="E16" i="3"/>
  <c r="B4" i="3"/>
  <c r="K42" i="3"/>
  <c r="G9" i="3"/>
  <c r="G5" i="3"/>
  <c r="B16" i="3" l="1"/>
  <c r="G4" i="3"/>
  <c r="G16" i="3" s="1"/>
  <c r="A1" i="3" s="1"/>
  <c r="K36" i="2" l="1"/>
  <c r="J36" i="2"/>
  <c r="I36" i="2"/>
  <c r="H36" i="2"/>
  <c r="S35" i="2"/>
  <c r="R35" i="2"/>
  <c r="Q35" i="2"/>
  <c r="N35" i="2"/>
  <c r="M35" i="2"/>
  <c r="L35" i="2"/>
  <c r="S34" i="2"/>
  <c r="R34" i="2"/>
  <c r="Q34" i="2"/>
  <c r="N34" i="2"/>
  <c r="M34" i="2"/>
  <c r="L34" i="2"/>
  <c r="S33" i="2"/>
  <c r="R33" i="2"/>
  <c r="Q33" i="2"/>
  <c r="N33" i="2"/>
  <c r="M33" i="2"/>
  <c r="L33" i="2"/>
  <c r="S32" i="2"/>
  <c r="R32" i="2"/>
  <c r="Q32" i="2"/>
  <c r="N32" i="2"/>
  <c r="M32" i="2"/>
  <c r="L32" i="2"/>
  <c r="S31" i="2"/>
  <c r="R31" i="2"/>
  <c r="Q31" i="2"/>
  <c r="N31" i="2"/>
  <c r="M31" i="2"/>
  <c r="L31" i="2"/>
  <c r="S30" i="2"/>
  <c r="R30" i="2"/>
  <c r="Q30" i="2"/>
  <c r="N30" i="2"/>
  <c r="M30" i="2"/>
  <c r="L30" i="2"/>
  <c r="S29" i="2"/>
  <c r="R29" i="2"/>
  <c r="Q29" i="2"/>
  <c r="N29" i="2"/>
  <c r="M29" i="2"/>
  <c r="L29" i="2"/>
  <c r="S28" i="2"/>
  <c r="R28" i="2"/>
  <c r="Q28" i="2"/>
  <c r="N28" i="2"/>
  <c r="M28" i="2"/>
  <c r="L28" i="2"/>
  <c r="S27" i="2"/>
  <c r="R27" i="2"/>
  <c r="Q27" i="2"/>
  <c r="N27" i="2"/>
  <c r="M27" i="2"/>
  <c r="L27" i="2"/>
  <c r="S26" i="2"/>
  <c r="R26" i="2"/>
  <c r="Q26" i="2"/>
  <c r="N26" i="2"/>
  <c r="M26" i="2"/>
  <c r="L26" i="2"/>
  <c r="S25" i="2"/>
  <c r="R25" i="2"/>
  <c r="Q25" i="2"/>
  <c r="N25" i="2"/>
  <c r="M25" i="2"/>
  <c r="L25" i="2"/>
  <c r="S24" i="2"/>
  <c r="R24" i="2"/>
  <c r="Q24" i="2"/>
  <c r="N24" i="2"/>
  <c r="M24" i="2"/>
  <c r="L24" i="2"/>
  <c r="S23" i="2"/>
  <c r="R23" i="2"/>
  <c r="Q23" i="2"/>
  <c r="N23" i="2"/>
  <c r="M23" i="2"/>
  <c r="L23" i="2"/>
  <c r="S22" i="2"/>
  <c r="R22" i="2"/>
  <c r="Q22" i="2"/>
  <c r="N22" i="2"/>
  <c r="M22" i="2"/>
  <c r="L22" i="2"/>
  <c r="S21" i="2"/>
  <c r="R21" i="2"/>
  <c r="Q21" i="2"/>
  <c r="N21" i="2"/>
  <c r="M21" i="2"/>
  <c r="L21" i="2"/>
  <c r="S20" i="2"/>
  <c r="R20" i="2"/>
  <c r="Q20" i="2"/>
  <c r="N20" i="2"/>
  <c r="M20" i="2"/>
  <c r="L20" i="2"/>
  <c r="S19" i="2"/>
  <c r="R19" i="2"/>
  <c r="Q19" i="2"/>
  <c r="N19" i="2"/>
  <c r="M19" i="2"/>
  <c r="L19" i="2"/>
  <c r="S18" i="2"/>
  <c r="R18" i="2"/>
  <c r="Q18" i="2"/>
  <c r="N18" i="2"/>
  <c r="M18" i="2"/>
  <c r="L18" i="2"/>
  <c r="S17" i="2"/>
  <c r="R17" i="2"/>
  <c r="Q17" i="2"/>
  <c r="N17" i="2"/>
  <c r="M17" i="2"/>
  <c r="L17" i="2"/>
  <c r="S16" i="2"/>
  <c r="R16" i="2"/>
  <c r="Q16" i="2"/>
  <c r="N16" i="2"/>
  <c r="M16" i="2"/>
  <c r="L16" i="2"/>
  <c r="S15" i="2"/>
  <c r="R15" i="2"/>
  <c r="Q15" i="2"/>
  <c r="N15" i="2"/>
  <c r="M15" i="2"/>
  <c r="L15" i="2"/>
  <c r="S14" i="2"/>
  <c r="R14" i="2"/>
  <c r="Q14" i="2"/>
  <c r="N14" i="2"/>
  <c r="M14" i="2"/>
  <c r="L14" i="2"/>
  <c r="S13" i="2"/>
  <c r="R13" i="2"/>
  <c r="Q13" i="2"/>
  <c r="N13" i="2"/>
  <c r="M13" i="2"/>
  <c r="L13" i="2"/>
  <c r="S12" i="2"/>
  <c r="R12" i="2"/>
  <c r="Q12" i="2"/>
  <c r="N12" i="2"/>
  <c r="M12" i="2"/>
  <c r="L12" i="2"/>
  <c r="S11" i="2"/>
  <c r="R11" i="2"/>
  <c r="Q11" i="2"/>
  <c r="N11" i="2"/>
  <c r="M11" i="2"/>
  <c r="L11" i="2"/>
  <c r="S10" i="2"/>
  <c r="R10" i="2"/>
  <c r="Q10" i="2"/>
  <c r="N10" i="2"/>
  <c r="M10" i="2"/>
  <c r="L10" i="2"/>
  <c r="S9" i="2"/>
  <c r="R9" i="2"/>
  <c r="Q9" i="2"/>
  <c r="N9" i="2"/>
  <c r="M9" i="2"/>
  <c r="L9" i="2"/>
  <c r="S8" i="2"/>
  <c r="R8" i="2"/>
  <c r="Q8" i="2"/>
  <c r="Q36" i="2" s="1"/>
  <c r="N8" i="2"/>
  <c r="M8" i="2"/>
  <c r="L8" i="2"/>
  <c r="S7" i="2"/>
  <c r="R7" i="2"/>
  <c r="Q7" i="2"/>
  <c r="N7" i="2"/>
  <c r="M7" i="2"/>
  <c r="L7" i="2"/>
  <c r="S6" i="2"/>
  <c r="R6" i="2"/>
  <c r="Q6" i="2"/>
  <c r="N6" i="2"/>
  <c r="M6" i="2"/>
  <c r="L6" i="2"/>
  <c r="S5" i="2"/>
  <c r="S36" i="2" s="1"/>
  <c r="R5" i="2"/>
  <c r="R36" i="2" s="1"/>
  <c r="Q5" i="2"/>
  <c r="N5" i="2"/>
  <c r="N36" i="2" s="1"/>
  <c r="M5" i="2"/>
  <c r="M36" i="2" s="1"/>
  <c r="L5" i="2"/>
  <c r="L36" i="2" s="1"/>
  <c r="F5" i="2"/>
  <c r="F6" i="2" s="1"/>
  <c r="A2" i="2"/>
  <c r="O6" i="2" l="1"/>
  <c r="F7" i="2"/>
  <c r="O5" i="2"/>
  <c r="G7" i="2"/>
  <c r="P7" i="2" s="1"/>
  <c r="G6" i="2"/>
  <c r="P6" i="2" s="1"/>
  <c r="T6" i="2" s="1"/>
  <c r="G5" i="2"/>
  <c r="O7" i="2" l="1"/>
  <c r="T7" i="2" s="1"/>
  <c r="F8" i="2"/>
  <c r="T5" i="2"/>
  <c r="P5" i="2"/>
  <c r="F9" i="2" l="1"/>
  <c r="O8" i="2"/>
  <c r="G8" i="2"/>
  <c r="O9" i="2" l="1"/>
  <c r="F10" i="2"/>
  <c r="G9" i="2"/>
  <c r="P9" i="2" s="1"/>
  <c r="P8" i="2"/>
  <c r="T9" i="2" l="1"/>
  <c r="O10" i="2"/>
  <c r="G10" i="2"/>
  <c r="P10" i="2" s="1"/>
  <c r="F11" i="2"/>
  <c r="T8" i="2"/>
  <c r="F12" i="2" l="1"/>
  <c r="O11" i="2"/>
  <c r="G11" i="2"/>
  <c r="P11" i="2" s="1"/>
  <c r="T10" i="2"/>
  <c r="T11" i="2" l="1"/>
  <c r="O12" i="2"/>
  <c r="F13" i="2"/>
  <c r="G12" i="2"/>
  <c r="P12" i="2" s="1"/>
  <c r="O13" i="2" l="1"/>
  <c r="F14" i="2"/>
  <c r="G13" i="2"/>
  <c r="P13" i="2" s="1"/>
  <c r="T12" i="2"/>
  <c r="O14" i="2" l="1"/>
  <c r="F15" i="2"/>
  <c r="G14" i="2"/>
  <c r="P14" i="2" s="1"/>
  <c r="T13" i="2"/>
  <c r="F16" i="2" l="1"/>
  <c r="O15" i="2"/>
  <c r="G15" i="2"/>
  <c r="P15" i="2" s="1"/>
  <c r="T14" i="2"/>
  <c r="T15" i="2" l="1"/>
  <c r="F17" i="2"/>
  <c r="O16" i="2"/>
  <c r="G16" i="2"/>
  <c r="P16" i="2" s="1"/>
  <c r="T16" i="2" l="1"/>
  <c r="F18" i="2"/>
  <c r="O17" i="2"/>
  <c r="G17" i="2"/>
  <c r="P17" i="2" s="1"/>
  <c r="F19" i="2" l="1"/>
  <c r="G18" i="2"/>
  <c r="P18" i="2" s="1"/>
  <c r="O18" i="2"/>
  <c r="T17" i="2"/>
  <c r="T18" i="2" l="1"/>
  <c r="O19" i="2"/>
  <c r="F20" i="2"/>
  <c r="G19" i="2"/>
  <c r="P19" i="2" s="1"/>
  <c r="O20" i="2" l="1"/>
  <c r="F21" i="2"/>
  <c r="G20" i="2"/>
  <c r="P20" i="2" s="1"/>
  <c r="T19" i="2"/>
  <c r="F22" i="2" l="1"/>
  <c r="O21" i="2"/>
  <c r="G21" i="2"/>
  <c r="P21" i="2" s="1"/>
  <c r="T20" i="2"/>
  <c r="T21" i="2" l="1"/>
  <c r="F23" i="2"/>
  <c r="O22" i="2"/>
  <c r="G22" i="2"/>
  <c r="P22" i="2" s="1"/>
  <c r="T22" i="2" l="1"/>
  <c r="F24" i="2"/>
  <c r="O23" i="2"/>
  <c r="G23" i="2"/>
  <c r="P23" i="2" s="1"/>
  <c r="T23" i="2" l="1"/>
  <c r="F25" i="2"/>
  <c r="O24" i="2"/>
  <c r="G24" i="2"/>
  <c r="P24" i="2" s="1"/>
  <c r="T24" i="2" l="1"/>
  <c r="F26" i="2"/>
  <c r="O25" i="2"/>
  <c r="G25" i="2"/>
  <c r="P25" i="2" s="1"/>
  <c r="O26" i="2" l="1"/>
  <c r="F27" i="2"/>
  <c r="G26" i="2"/>
  <c r="P26" i="2" s="1"/>
  <c r="T25" i="2"/>
  <c r="F28" i="2" l="1"/>
  <c r="O27" i="2"/>
  <c r="G27" i="2"/>
  <c r="P27" i="2" s="1"/>
  <c r="T26" i="2"/>
  <c r="T27" i="2" l="1"/>
  <c r="G28" i="2"/>
  <c r="P28" i="2" s="1"/>
  <c r="F29" i="2"/>
  <c r="O28" i="2"/>
  <c r="T28" i="2" l="1"/>
  <c r="O29" i="2"/>
  <c r="F30" i="2"/>
  <c r="G29" i="2"/>
  <c r="P29" i="2" s="1"/>
  <c r="F31" i="2" l="1"/>
  <c r="O30" i="2"/>
  <c r="G30" i="2"/>
  <c r="P30" i="2" s="1"/>
  <c r="T29" i="2"/>
  <c r="T30" i="2" l="1"/>
  <c r="O31" i="2"/>
  <c r="F32" i="2"/>
  <c r="G31" i="2"/>
  <c r="P31" i="2" s="1"/>
  <c r="O32" i="2" l="1"/>
  <c r="F33" i="2"/>
  <c r="G32" i="2"/>
  <c r="P32" i="2" s="1"/>
  <c r="T31" i="2"/>
  <c r="F34" i="2" l="1"/>
  <c r="O33" i="2"/>
  <c r="G33" i="2"/>
  <c r="P33" i="2" s="1"/>
  <c r="T32" i="2"/>
  <c r="T33" i="2" l="1"/>
  <c r="F35" i="2"/>
  <c r="O34" i="2"/>
  <c r="G34" i="2"/>
  <c r="P34" i="2" s="1"/>
  <c r="T34" i="2" l="1"/>
  <c r="O35" i="2"/>
  <c r="G35" i="2"/>
  <c r="F36" i="2"/>
  <c r="P35" i="2" l="1"/>
  <c r="P36" i="2" s="1"/>
  <c r="G36" i="2"/>
  <c r="T35" i="2"/>
  <c r="T36" i="2" s="1"/>
  <c r="T37" i="2" s="1"/>
  <c r="A1" i="2" s="1"/>
  <c r="O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<sst xmlns="http://schemas.openxmlformats.org/spreadsheetml/2006/main" count="2028" uniqueCount="314">
  <si>
    <t>№</t>
  </si>
  <si>
    <t>дата</t>
  </si>
  <si>
    <t>Выгрузка кол-во</t>
  </si>
  <si>
    <t>Загрузка кол-во</t>
  </si>
  <si>
    <t>Хранение</t>
  </si>
  <si>
    <t>Резервирование 70 т</t>
  </si>
  <si>
    <t>Мин. Суточный резерв 0 т</t>
  </si>
  <si>
    <t>переконсолидация (тонн)</t>
  </si>
  <si>
    <t>Паллетирование</t>
  </si>
  <si>
    <t xml:space="preserve">Ночная загруска выгрузка </t>
  </si>
  <si>
    <t>стоимость ночной загруски</t>
  </si>
  <si>
    <t>стоимость выгрузки</t>
  </si>
  <si>
    <t>стоимость загрузки</t>
  </si>
  <si>
    <t>стоимость хранения</t>
  </si>
  <si>
    <t>Стоимость резервирования</t>
  </si>
  <si>
    <t>Стоимость мин.суточной бработки</t>
  </si>
  <si>
    <t>стоимость переконс.</t>
  </si>
  <si>
    <t>Стоимость паллетирования</t>
  </si>
  <si>
    <t>итого</t>
  </si>
  <si>
    <t>ТОП</t>
  </si>
  <si>
    <t>Склад</t>
  </si>
  <si>
    <t>Сибур</t>
  </si>
  <si>
    <t>Завод</t>
  </si>
  <si>
    <t>Русвинил</t>
  </si>
  <si>
    <t>Клиенты сибура</t>
  </si>
  <si>
    <t>Остальные</t>
  </si>
  <si>
    <t>Итого</t>
  </si>
  <si>
    <t>Казань_Автосервисная</t>
  </si>
  <si>
    <t>Баумана</t>
  </si>
  <si>
    <t>Нижнекамск завод</t>
  </si>
  <si>
    <t>Новикова-Прибоя</t>
  </si>
  <si>
    <t>Екатеринбург</t>
  </si>
  <si>
    <t>Новосибирск</t>
  </si>
  <si>
    <t>Новосибирск_Пасечная</t>
  </si>
  <si>
    <t>Казань_Приволжская</t>
  </si>
  <si>
    <t>Зеленодольск</t>
  </si>
  <si>
    <t>Нижнекамск</t>
  </si>
  <si>
    <t>ГАЗ</t>
  </si>
  <si>
    <t>Монастырка</t>
  </si>
  <si>
    <t>Березовая Пойма</t>
  </si>
  <si>
    <t>Остальные клиенты</t>
  </si>
  <si>
    <t>Стройтех</t>
  </si>
  <si>
    <t>Приоритет</t>
  </si>
  <si>
    <t>Ергарда</t>
  </si>
  <si>
    <t>Фармпласт</t>
  </si>
  <si>
    <t>Литейные решения</t>
  </si>
  <si>
    <t>Юг Полимер</t>
  </si>
  <si>
    <t>Сандекс</t>
  </si>
  <si>
    <t>Центрополимер</t>
  </si>
  <si>
    <t>ЛС-Техномет</t>
  </si>
  <si>
    <t>РусДжам</t>
  </si>
  <si>
    <t>Виго</t>
  </si>
  <si>
    <t>Доктор Франк</t>
  </si>
  <si>
    <t>Данафлекс</t>
  </si>
  <si>
    <t>Нефтезол</t>
  </si>
  <si>
    <t>ИП Ксендз</t>
  </si>
  <si>
    <t>ПРР</t>
  </si>
  <si>
    <t>Кладовки</t>
  </si>
  <si>
    <t>Стропальщики</t>
  </si>
  <si>
    <t>Биаксплен</t>
  </si>
  <si>
    <t>Мойка контейнеров</t>
  </si>
  <si>
    <t>МТО</t>
  </si>
  <si>
    <t>Контейнерные площадки</t>
  </si>
  <si>
    <t>КОС</t>
  </si>
  <si>
    <t>Оникс</t>
  </si>
  <si>
    <t>СИБУР</t>
  </si>
  <si>
    <t>KPI</t>
  </si>
  <si>
    <t>Полиом</t>
  </si>
  <si>
    <t>Полимеры</t>
  </si>
  <si>
    <t>Каучук</t>
  </si>
  <si>
    <t>ПСОН</t>
  </si>
  <si>
    <t>Полиэфир</t>
  </si>
  <si>
    <t>СБС</t>
  </si>
  <si>
    <t>Порошок</t>
  </si>
  <si>
    <t>НПЭГ</t>
  </si>
  <si>
    <t>Экспорт</t>
  </si>
  <si>
    <t>Доп услуги</t>
  </si>
  <si>
    <t>ИТОГО</t>
  </si>
  <si>
    <t xml:space="preserve">Наименование услуг (работ) </t>
  </si>
  <si>
    <t>Ед. изм.</t>
  </si>
  <si>
    <t>Количество</t>
  </si>
  <si>
    <t>Цена</t>
  </si>
  <si>
    <t>Сумма</t>
  </si>
  <si>
    <t>Итого:</t>
  </si>
  <si>
    <t>Без налога (НДС)</t>
  </si>
  <si>
    <t>Всего (с учетом НДС)</t>
  </si>
  <si>
    <t>Вышеперечисленные услуги (работы) выполнены полностью.</t>
  </si>
  <si>
    <t>ПОКЛАЖЕДАТЕЛЬ претензий по объему, качеству и срокам оказания услуг претензий не имеет.</t>
  </si>
  <si>
    <t>Контейнеры</t>
  </si>
  <si>
    <t>ООО "ДТМ"</t>
  </si>
  <si>
    <t>ПАО "Нижнекамскнефтехим"</t>
  </si>
  <si>
    <t>____________________Молькова Т.Ю.</t>
  </si>
  <si>
    <t>Расстегаев Д.О.</t>
  </si>
  <si>
    <t>____________________</t>
  </si>
  <si>
    <t>Резерв 8000 т</t>
  </si>
  <si>
    <t>Приемка</t>
  </si>
  <si>
    <t>Отгрузка</t>
  </si>
  <si>
    <t>Резерв ПРР 300 т</t>
  </si>
  <si>
    <t>Стоимость резерва хранения</t>
  </si>
  <si>
    <t>Стоимость ПРР</t>
  </si>
  <si>
    <t>Стоимость резерва ПРР</t>
  </si>
  <si>
    <t>Хранение Баумана</t>
  </si>
  <si>
    <t>Хранение Новикова</t>
  </si>
  <si>
    <t>Хранение Березовая Пойма</t>
  </si>
  <si>
    <t>Общее хранение</t>
  </si>
  <si>
    <t>стоимость резерва</t>
  </si>
  <si>
    <t>Выходной</t>
  </si>
  <si>
    <t>Рабочий</t>
  </si>
  <si>
    <t>Выгрузка</t>
  </si>
  <si>
    <t>Выгрузка кол-во тонн</t>
  </si>
  <si>
    <t>Загрузка кол-во тонн</t>
  </si>
  <si>
    <t>Выгрузка после 20:00</t>
  </si>
  <si>
    <t>Загрузка после 20:00</t>
  </si>
  <si>
    <t>Стоимость выгрузки после 20:00</t>
  </si>
  <si>
    <t>Стоимость загрузки после 20:00</t>
  </si>
  <si>
    <t>(кол-во тонн)</t>
  </si>
  <si>
    <t>С НДС;</t>
  </si>
  <si>
    <t xml:space="preserve">по Договору хранения № РУС 4102 от «20» февраля 2023 г.      </t>
  </si>
  <si>
    <t xml:space="preserve">     </t>
  </si>
  <si>
    <t>Приемка товара</t>
  </si>
  <si>
    <t>тонн</t>
  </si>
  <si>
    <t>Приемка товара в выходные дни</t>
  </si>
  <si>
    <t>Приемка после 20:00</t>
  </si>
  <si>
    <t>Загрузка товара в выходные дни</t>
  </si>
  <si>
    <t>Загрузка товара</t>
  </si>
  <si>
    <t>Хранение товара</t>
  </si>
  <si>
    <t>Резерв хранения</t>
  </si>
  <si>
    <t>Резерв ПРР</t>
  </si>
  <si>
    <t>ООО "РусВинил"</t>
  </si>
  <si>
    <t>____________________Расстегаев Д.О.</t>
  </si>
  <si>
    <t xml:space="preserve">по Договору хранения № СХ.47103 от «10» апреля 2025 г.      </t>
  </si>
  <si>
    <t>Во исполнение Договора в период с 01 Январь 2026 г. По 31 Январь 2026  г. ХРАНИТЕЛЬ оказал ПОКЛАЖЕДАТЕЛЮ следующие услуги (работы):</t>
  </si>
  <si>
    <t xml:space="preserve">Сумма без НДС </t>
  </si>
  <si>
    <t>Сумма с НДС</t>
  </si>
  <si>
    <t>оформление документов</t>
  </si>
  <si>
    <t>шт.</t>
  </si>
  <si>
    <t>Оформление сертификата</t>
  </si>
  <si>
    <t xml:space="preserve">Итого: </t>
  </si>
  <si>
    <t>двадцать шесть тысячь рублей ноль копеек</t>
  </si>
  <si>
    <t xml:space="preserve">Без налога (НДС): </t>
  </si>
  <si>
    <t>тридцать одна тысяча сесьсот двацать рублей ноль копеек</t>
  </si>
  <si>
    <t>ПАО "СИБУР Холдинг"</t>
  </si>
  <si>
    <t xml:space="preserve">по Договору хранения № СХ.45411 от «01» января 2025 г.      </t>
  </si>
  <si>
    <t>семь тысяч рублей ноль копеек</t>
  </si>
  <si>
    <t>восемь тысяч пятьсот сорок рублей ноль копеек</t>
  </si>
  <si>
    <t>Отчет по хранению  товара  за Январь</t>
  </si>
  <si>
    <t>Выгрузка кол-во паллет</t>
  </si>
  <si>
    <t>Загрузка кол-во паллет</t>
  </si>
  <si>
    <t>Ручная загрузка</t>
  </si>
  <si>
    <t>Ручная выгрузка</t>
  </si>
  <si>
    <t>предоставление паллеты</t>
  </si>
  <si>
    <t>Фильмаж (паллет)</t>
  </si>
  <si>
    <t>Стоимость ручной загрузки</t>
  </si>
  <si>
    <t>Стоимость ручной выгрузки</t>
  </si>
  <si>
    <t>Стоимость предоставления паллета</t>
  </si>
  <si>
    <t>стоимость услуги фильмаж</t>
  </si>
  <si>
    <t>(кол-во паллет)</t>
  </si>
  <si>
    <t>Отчет "Сандекс" Январь 2025</t>
  </si>
  <si>
    <t>Стоимость</t>
  </si>
  <si>
    <t>Выгрузка паллет</t>
  </si>
  <si>
    <t>Выгрузка короб</t>
  </si>
  <si>
    <t>Загрузка паллет</t>
  </si>
  <si>
    <t>Загрузка короб</t>
  </si>
  <si>
    <t>Наборка короб</t>
  </si>
  <si>
    <t>Палетирование</t>
  </si>
  <si>
    <t>Выгрузка палллет</t>
  </si>
  <si>
    <t>Наборка</t>
  </si>
  <si>
    <t>Отчет по хранению  товара  СтройТех за Январь</t>
  </si>
  <si>
    <t>ручная загрузка</t>
  </si>
  <si>
    <t>стоимость загр.. Работ</t>
  </si>
  <si>
    <t>мультипак</t>
  </si>
  <si>
    <t>шт,.</t>
  </si>
  <si>
    <t>Отчет "Доктор Франк" Январь 2025</t>
  </si>
  <si>
    <t>Предоставление паддона</t>
  </si>
  <si>
    <t>оформление и выдача ТТН</t>
  </si>
  <si>
    <t>Печать этикеток</t>
  </si>
  <si>
    <t>Маркировка</t>
  </si>
  <si>
    <t xml:space="preserve">Перекладка Товара  </t>
  </si>
  <si>
    <t>Упаковка в стрейч</t>
  </si>
  <si>
    <t>Упаковка в пупырку</t>
  </si>
  <si>
    <t>Паллеты</t>
  </si>
  <si>
    <t>Документы</t>
  </si>
  <si>
    <t xml:space="preserve">Перекладка товара </t>
  </si>
  <si>
    <t>Отчет по хранению  товара  Ергарда за Январь</t>
  </si>
  <si>
    <t>Переконсолидация Товара</t>
  </si>
  <si>
    <t>тонна</t>
  </si>
  <si>
    <t>Предоставление фито поддона</t>
  </si>
  <si>
    <t>штука</t>
  </si>
  <si>
    <t>две тысячи рублей ноль копеек</t>
  </si>
  <si>
    <t>две тысячи четыреста сорок рублей ноль копеек</t>
  </si>
  <si>
    <t>двенадцать тысяч рублей ноль копеек</t>
  </si>
  <si>
    <t>четырнадцать тысяч шестьсот сорок рублей ноль копеек</t>
  </si>
  <si>
    <t>сто пятьдесят шесть тысяч рублей ноль копеек</t>
  </si>
  <si>
    <t>сто девяносто тысяч триста двадцать рублей ноль копеек</t>
  </si>
  <si>
    <t>Отчет по хранению товара за Январь 2026 Баумана KPI</t>
  </si>
  <si>
    <t>Резервирование 6920 ГЕ</t>
  </si>
  <si>
    <t>Мин. Суточный резерв 625</t>
  </si>
  <si>
    <t>Взвешивание</t>
  </si>
  <si>
    <t>Стоимость взвешивания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</si>
  <si>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</si>
  <si>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</si>
  <si>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</si>
  <si>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</si>
  <si>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</si>
  <si>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</si>
  <si>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</si>
  <si>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</si>
  <si>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</si>
  <si>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</si>
  <si>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</si>
  <si>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</si>
  <si>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</si>
  <si>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</si>
  <si>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</si>
  <si>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</si>
  <si>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</si>
  <si>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</si>
  <si>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</si>
  <si>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</si>
  <si>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</si>
  <si>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</si>
  <si>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</si>
  <si>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</si>
  <si>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</si>
  <si>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</si>
  <si>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</si>
  <si>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</si>
  <si>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</si>
  <si>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</si>
  <si>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</si>
  <si>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Отчет по хранению товара за Январь 2026 Баумана Полимеры</t>
  </si>
  <si>
    <t>Резервирование 5032 ГЕ</t>
  </si>
  <si>
    <t>Отчет по хранению товара за Январь 2026 Баумана Полиом</t>
  </si>
  <si>
    <t>Отчет по хранению товара за Январь 2025 Баумана KPI</t>
  </si>
  <si>
    <t>Мин. Суточный резерв 600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</si>
  <si>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</si>
  <si>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</si>
  <si>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</si>
  <si>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</si>
  <si>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</si>
  <si>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</si>
  <si>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</si>
  <si>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</si>
  <si>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</si>
  <si>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</si>
  <si>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</si>
  <si>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</si>
  <si>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</si>
  <si>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</si>
  <si>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</si>
  <si>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</si>
  <si>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</si>
  <si>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</si>
  <si>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</si>
  <si>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</si>
  <si>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</si>
  <si>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</si>
  <si>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</si>
  <si>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</si>
  <si>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</si>
  <si>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</si>
  <si>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</si>
  <si>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</si>
  <si>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</si>
  <si>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</si>
  <si>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</si>
  <si>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Отчет по хранению товара за Январь 2025 Баумана Полимеры</t>
  </si>
  <si>
    <t>Отчет по хранению товара за Январь 2025 Баумана Полиом</t>
  </si>
  <si>
    <t>Отчет по хранению товара за Январь 2026 Екатеринбург KPI</t>
  </si>
  <si>
    <t>Резервирование 10500 ГЕ</t>
  </si>
  <si>
    <t>Мин. Суточный резерв 1000</t>
  </si>
  <si>
    <t>стоимость взвешивания</t>
  </si>
  <si>
    <t>Отчет по хранению товара за Январь 2026 Екатеринбург Полимеры</t>
  </si>
  <si>
    <t>Отчет по хранению товара за Январь 2026 Екатеринбург Полиом</t>
  </si>
  <si>
    <t>Отчет по хранению товара за Январь 2026 Екатеринбург НПЭГ НПЭГ</t>
  </si>
  <si>
    <t>Отчет по хранению товара за Январь 2026 Зеленодольск Полимеры</t>
  </si>
  <si>
    <t>Резервирование 9500 ГЕ</t>
  </si>
  <si>
    <t>Мин. Суточный резерв 700</t>
  </si>
  <si>
    <t>Отчет по хранению товара за Январь 2026 Зеленодольск Данафлекс Данафлекс</t>
  </si>
  <si>
    <t>Мин. Суточный резерв 800</t>
  </si>
  <si>
    <t>Отчет по хранению товара за Январь 2026 Казань_Автосервисная Полимеры</t>
  </si>
  <si>
    <t>Резервирование 0 т</t>
  </si>
  <si>
    <t>стоимость выгрузки за 1 месяц</t>
  </si>
  <si>
    <t>стоимость загрузки за 1 месяц</t>
  </si>
  <si>
    <t>стоимость хранения за 1 месяц</t>
  </si>
  <si>
    <t>Отчет по хранению товара за Январь 2026 Казань_Автосервисная Полиом</t>
  </si>
  <si>
    <t>Отчет по хранению товара за Январь 2026 Казань_Приволжская Полимеры</t>
  </si>
  <si>
    <t>Резервирование 6000 т</t>
  </si>
  <si>
    <t>Мин. Суточный резерв 500 т</t>
  </si>
  <si>
    <t>Отчет по хранению товара за Январь 2026 Нижнекамск Каучук Каучук</t>
  </si>
  <si>
    <t>Резервирование 0 ГЕ</t>
  </si>
  <si>
    <t>Мин. Суточный резерв 200</t>
  </si>
  <si>
    <t>Отчет по хранению товара за Январь 2026 Нижнекамск НПЭГ НПЭГ</t>
  </si>
  <si>
    <t>Резервирование 1000 ГЕ</t>
  </si>
  <si>
    <t>Мин. Суточный резерв 100</t>
  </si>
  <si>
    <t>Отчет по хранению товара за Январь 2026 Нижнекамск ПСОН ПСОН</t>
  </si>
  <si>
    <t>Резервирование 3850 ГЕ</t>
  </si>
  <si>
    <t>Мин. Суточный резерв 0</t>
  </si>
  <si>
    <t>Отчет по хранению товара за Январь 2026 Нижнекамск СБС СБС</t>
  </si>
  <si>
    <t>Отчет по хранению товара за Январь 2026 Новикова-Прибоя KPI</t>
  </si>
  <si>
    <t>Резервирование 0</t>
  </si>
  <si>
    <t>Мин. Суточный резерв 400</t>
  </si>
  <si>
    <t>стоимость хранения 
в месяц</t>
  </si>
  <si>
    <t>Отчет по хранению товара за Январь 2026 Новикова-Прибоя Полимеры</t>
  </si>
  <si>
    <t>Отчет по хранению товара за Январь 2026 Новикова-Прибоя Полиом</t>
  </si>
  <si>
    <t>Отчет по хранению товара за Январь 2026 Новосибирск KPI</t>
  </si>
  <si>
    <t>Резервирование 4000 ГЕ</t>
  </si>
  <si>
    <t>Отчет по хранению товара за Январь 2026 Новосибирск Полимеры</t>
  </si>
  <si>
    <t>Отчет по хранению товара за Январь 2026 Новосибирск Полиом</t>
  </si>
  <si>
    <t>Отчет по хранению товара за Январь 2026 Новосибирск Порошок Порошок</t>
  </si>
  <si>
    <t>Резервирование 510 т</t>
  </si>
  <si>
    <t>Отчет по хранению товара за Январь 2026 Новосибирск_Пасечная Порошок</t>
  </si>
  <si>
    <t>Резервирование 1870 т</t>
  </si>
  <si>
    <t>Мин. Суточный резерв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</si>
</sst>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₽&quot;#,##0.00_);\(&quot;₽&quot;#,##0.00\)"/>
    <numFmt numFmtId="165" formatCode="_(&quot;₽&quot;* #,##0.00_);_(&quot;₽&quot;* \(#,##0.00\);_(&quot;₽&quot;* &quot;-&quot;??_);_(@_)"/>
    <numFmt numFmtId="166" formatCode="0.000000"/>
    <numFmt numFmtId="167" formatCode="0.000"/>
    <numFmt numFmtId="168" formatCode="0.0000"/>
    <numFmt numFmtId="169" formatCode="#,##0.00\ &quot;₽&quot;"/>
    <numFmt numFmtId="170" formatCode="#,##0.000"/>
    <numFmt numFmtId="171" formatCode="_-* #,##0.00\ [$₽-419]_-;\-* #,##0.00\ [$₽-419]_-;_-* &quot;-&quot;??\ [$₽-419]_-;_-@_-"/>
    <numFmt numFmtId="172" formatCode="_-* #,##0.00\ &quot;₽&quot;_-;\-* #,##0.00\ &quot;₽&quot;_-;_-* &quot;-&quot;??\ &quot;₽&quot;_-;_-@"/>
    <numFmt numFmtId="173" formatCode="0.0"/>
  </numFmts>
  <fonts count="29">
    <font>
      <sz val="12"/>
      <color theme="1"/>
      <name val="0xProto"/>
      <family val="2"/>
      <charset val="204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name val="Times New Roman"/>
      <family val="1"/>
      <charset val="204"/>
    </font>
    <font>
      <sz val="11"/>
      <name val="Arial"/>
      <family val="2"/>
    </font>
    <font>
      <sz val="1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4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2"/>
      <color rgb="FF00B050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theme="1"/>
      <name val="Calibri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2"/>
      <color rgb="FF00B050"/>
      <name val="Calibri"/>
      <family val="2"/>
      <charset val="204"/>
    </font>
    <font>
      <b/>
      <sz val="11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165" fontId="1" fillId="0" borderId="0" applyFon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</cellStyleXfs>
  <cellXfs count="281">
    <xf numFmtId="0" fontId="0" fillId="0" borderId="0" xfId="0"/>
    <xf numFmtId="165" fontId="1" fillId="0" borderId="0" xfId="1" applyNumberFormat="1"/>
    <xf numFmtId="0" fontId="1" fillId="0" borderId="0" xfId="1"/>
    <xf numFmtId="0" fontId="1" fillId="0" borderId="0" xfId="1" quotePrefix="1"/>
    <xf numFmtId="0" fontId="3" fillId="0" borderId="2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1" fillId="0" borderId="8" xfId="1" applyBorder="1" applyAlignment="1">
      <alignment horizontal="center"/>
    </xf>
    <xf numFmtId="0" fontId="6" fillId="0" borderId="10" xfId="3" applyFont="1" applyBorder="1" applyAlignment="1">
      <alignment vertical="top"/>
    </xf>
    <xf numFmtId="166" fontId="6" fillId="0" borderId="10" xfId="4" applyNumberFormat="1" applyFont="1" applyBorder="1" applyAlignment="1">
      <alignment horizontal="right" vertical="top"/>
    </xf>
    <xf numFmtId="166" fontId="7" fillId="0" borderId="11" xfId="2" applyNumberFormat="1" applyFont="1" applyBorder="1" applyAlignment="1">
      <alignment horizontal="right" vertical="top"/>
    </xf>
    <xf numFmtId="167" fontId="1" fillId="0" borderId="11" xfId="1" applyNumberFormat="1" applyBorder="1"/>
    <xf numFmtId="0" fontId="1" fillId="0" borderId="11" xfId="1" applyBorder="1"/>
    <xf numFmtId="165" fontId="1" fillId="0" borderId="11" xfId="1" applyNumberFormat="1" applyBorder="1"/>
    <xf numFmtId="0" fontId="1" fillId="0" borderId="11" xfId="1" applyBorder="1" applyAlignment="1">
      <alignment horizontal="center"/>
    </xf>
    <xf numFmtId="168" fontId="6" fillId="0" borderId="10" xfId="3" applyNumberFormat="1" applyFont="1" applyBorder="1" applyAlignment="1">
      <alignment horizontal="right" vertical="top"/>
    </xf>
    <xf numFmtId="0" fontId="6" fillId="0" borderId="10" xfId="3" applyFont="1" applyBorder="1" applyAlignment="1">
      <alignment horizontal="right" vertical="top"/>
    </xf>
    <xf numFmtId="0" fontId="1" fillId="0" borderId="12" xfId="1" applyBorder="1"/>
    <xf numFmtId="167" fontId="6" fillId="0" borderId="10" xfId="3" applyNumberFormat="1" applyFont="1" applyBorder="1" applyAlignment="1">
      <alignment horizontal="right" vertical="top"/>
    </xf>
    <xf numFmtId="167" fontId="3" fillId="0" borderId="11" xfId="1" applyNumberFormat="1" applyFont="1" applyBorder="1"/>
    <xf numFmtId="1" fontId="3" fillId="0" borderId="11" xfId="1" applyNumberFormat="1" applyFont="1" applyBorder="1"/>
    <xf numFmtId="165" fontId="3" fillId="0" borderId="11" xfId="1" applyNumberFormat="1" applyFont="1" applyBorder="1"/>
    <xf numFmtId="0" fontId="3" fillId="0" borderId="0" xfId="1" applyFont="1"/>
    <xf numFmtId="165" fontId="8" fillId="0" borderId="11" xfId="1" applyNumberFormat="1" applyFont="1" applyBorder="1"/>
    <xf numFmtId="166" fontId="1" fillId="0" borderId="0" xfId="1" applyNumberFormat="1"/>
    <xf numFmtId="0" fontId="7" fillId="0" borderId="0" xfId="6"/>
    <xf numFmtId="165" fontId="9" fillId="0" borderId="13" xfId="6" applyNumberFormat="1" applyFont="1" applyBorder="1" applyAlignment="1">
      <alignment vertical="center"/>
    </xf>
    <xf numFmtId="0" fontId="9" fillId="0" borderId="13" xfId="6" applyFont="1" applyBorder="1" applyAlignment="1">
      <alignment vertical="center"/>
    </xf>
    <xf numFmtId="0" fontId="10" fillId="0" borderId="16" xfId="6" applyFont="1" applyBorder="1" applyAlignment="1">
      <alignment horizontal="center"/>
    </xf>
    <xf numFmtId="0" fontId="10" fillId="0" borderId="17" xfId="6" applyFont="1" applyBorder="1" applyAlignment="1">
      <alignment horizontal="center"/>
    </xf>
    <xf numFmtId="0" fontId="10" fillId="0" borderId="18" xfId="6" applyFont="1" applyBorder="1" applyAlignment="1">
      <alignment horizontal="center"/>
    </xf>
    <xf numFmtId="165" fontId="7" fillId="0" borderId="19" xfId="5" applyFont="1" applyBorder="1"/>
    <xf numFmtId="169" fontId="7" fillId="0" borderId="20" xfId="5" applyNumberFormat="1" applyFont="1" applyBorder="1"/>
    <xf numFmtId="0" fontId="7" fillId="0" borderId="21" xfId="6" applyBorder="1" applyAlignment="1">
      <alignment horizontal="center"/>
    </xf>
    <xf numFmtId="169" fontId="7" fillId="0" borderId="5" xfId="5" applyNumberFormat="1" applyFont="1" applyBorder="1" applyAlignment="1">
      <alignment horizontal="right"/>
    </xf>
    <xf numFmtId="169" fontId="8" fillId="0" borderId="22" xfId="5" applyNumberFormat="1" applyFont="1" applyBorder="1" applyAlignment="1">
      <alignment horizontal="right"/>
    </xf>
    <xf numFmtId="165" fontId="7" fillId="0" borderId="9" xfId="5" applyFont="1" applyBorder="1"/>
    <xf numFmtId="169" fontId="7" fillId="0" borderId="23" xfId="5" applyNumberFormat="1" applyFont="1" applyBorder="1"/>
    <xf numFmtId="0" fontId="7" fillId="0" borderId="9" xfId="6" applyBorder="1" applyAlignment="1">
      <alignment horizontal="center"/>
    </xf>
    <xf numFmtId="0" fontId="11" fillId="0" borderId="9" xfId="6" applyFont="1" applyBorder="1" applyAlignment="1">
      <alignment horizontal="center"/>
    </xf>
    <xf numFmtId="0" fontId="11" fillId="0" borderId="24" xfId="6" applyFont="1" applyBorder="1" applyAlignment="1">
      <alignment horizontal="center"/>
    </xf>
    <xf numFmtId="165" fontId="7" fillId="0" borderId="25" xfId="5" applyFont="1" applyBorder="1"/>
    <xf numFmtId="169" fontId="7" fillId="0" borderId="26" xfId="5" applyNumberFormat="1" applyFont="1" applyBorder="1"/>
    <xf numFmtId="0" fontId="10" fillId="0" borderId="8" xfId="6" applyFont="1" applyBorder="1" applyAlignment="1">
      <alignment horizontal="center"/>
    </xf>
    <xf numFmtId="0" fontId="11" fillId="0" borderId="16" xfId="6" applyFont="1" applyBorder="1"/>
    <xf numFmtId="169" fontId="3" fillId="0" borderId="27" xfId="5" applyNumberFormat="1" applyFont="1" applyBorder="1" applyAlignment="1">
      <alignment horizontal="right" vertical="center"/>
    </xf>
    <xf numFmtId="169" fontId="12" fillId="0" borderId="27" xfId="5" applyNumberFormat="1" applyFont="1" applyBorder="1" applyAlignment="1">
      <alignment horizontal="right" vertical="center"/>
    </xf>
    <xf numFmtId="0" fontId="11" fillId="0" borderId="0" xfId="6" applyFont="1"/>
    <xf numFmtId="165" fontId="3" fillId="0" borderId="0" xfId="5" applyFont="1" applyBorder="1" applyAlignment="1"/>
    <xf numFmtId="165" fontId="12" fillId="0" borderId="0" xfId="5" applyFont="1" applyBorder="1" applyAlignment="1"/>
    <xf numFmtId="169" fontId="8" fillId="0" borderId="30" xfId="6" applyNumberFormat="1" applyFont="1" applyBorder="1" applyAlignment="1">
      <alignment horizontal="right"/>
    </xf>
    <xf numFmtId="169" fontId="8" fillId="0" borderId="18" xfId="6" applyNumberFormat="1" applyFont="1" applyBorder="1" applyAlignment="1">
      <alignment horizontal="right"/>
    </xf>
    <xf numFmtId="165" fontId="8" fillId="0" borderId="0" xfId="6" applyNumberFormat="1" applyFont="1"/>
    <xf numFmtId="0" fontId="10" fillId="0" borderId="0" xfId="6" applyFont="1" applyAlignment="1">
      <alignment horizontal="center"/>
    </xf>
    <xf numFmtId="0" fontId="11" fillId="0" borderId="5" xfId="6" applyFont="1" applyBorder="1"/>
    <xf numFmtId="169" fontId="11" fillId="0" borderId="5" xfId="6" applyNumberFormat="1" applyFont="1" applyBorder="1"/>
    <xf numFmtId="169" fontId="13" fillId="0" borderId="5" xfId="5" applyNumberFormat="1" applyFont="1" applyBorder="1" applyAlignment="1">
      <alignment horizontal="right" vertical="center" wrapText="1"/>
    </xf>
    <xf numFmtId="169" fontId="13" fillId="0" borderId="8" xfId="5" applyNumberFormat="1" applyFont="1" applyBorder="1" applyAlignment="1">
      <alignment horizontal="right" vertical="center" wrapText="1"/>
    </xf>
    <xf numFmtId="165" fontId="13" fillId="0" borderId="0" xfId="5" applyFont="1" applyBorder="1" applyAlignment="1">
      <alignment horizontal="center" vertical="center" wrapText="1"/>
    </xf>
    <xf numFmtId="0" fontId="11" fillId="0" borderId="8" xfId="6" applyFont="1" applyBorder="1"/>
    <xf numFmtId="169" fontId="11" fillId="0" borderId="8" xfId="6" applyNumberFormat="1" applyFont="1" applyBorder="1"/>
    <xf numFmtId="169" fontId="11" fillId="0" borderId="0" xfId="6" applyNumberFormat="1" applyFont="1"/>
    <xf numFmtId="0" fontId="11" fillId="0" borderId="0" xfId="6" applyFont="1" applyAlignment="1">
      <alignment horizontal="center"/>
    </xf>
    <xf numFmtId="169" fontId="13" fillId="0" borderId="0" xfId="5" applyNumberFormat="1" applyFont="1" applyBorder="1" applyAlignment="1">
      <alignment horizontal="right" vertical="center" wrapText="1"/>
    </xf>
    <xf numFmtId="169" fontId="13" fillId="0" borderId="0" xfId="5" applyNumberFormat="1" applyFont="1" applyBorder="1" applyAlignment="1">
      <alignment horizontal="center" vertical="center" wrapText="1"/>
    </xf>
    <xf numFmtId="0" fontId="7" fillId="0" borderId="16" xfId="6" applyBorder="1"/>
    <xf numFmtId="0" fontId="10" fillId="0" borderId="35" xfId="6" applyFont="1" applyBorder="1" applyAlignment="1">
      <alignment horizontal="center"/>
    </xf>
    <xf numFmtId="0" fontId="10" fillId="0" borderId="29" xfId="6" applyFont="1" applyBorder="1" applyAlignment="1">
      <alignment horizontal="center"/>
    </xf>
    <xf numFmtId="0" fontId="10" fillId="0" borderId="27" xfId="6" applyFont="1" applyBorder="1" applyAlignment="1">
      <alignment horizontal="center"/>
    </xf>
    <xf numFmtId="0" fontId="10" fillId="0" borderId="5" xfId="6" applyFont="1" applyBorder="1" applyAlignment="1">
      <alignment horizontal="center"/>
    </xf>
    <xf numFmtId="169" fontId="7" fillId="0" borderId="5" xfId="5" applyNumberFormat="1" applyFont="1" applyBorder="1"/>
    <xf numFmtId="169" fontId="10" fillId="0" borderId="5" xfId="6" applyNumberFormat="1" applyFont="1" applyBorder="1"/>
    <xf numFmtId="0" fontId="13" fillId="0" borderId="8" xfId="6" applyFont="1" applyBorder="1" applyAlignment="1">
      <alignment horizontal="center"/>
    </xf>
    <xf numFmtId="165" fontId="7" fillId="0" borderId="0" xfId="5" applyFont="1" applyBorder="1"/>
    <xf numFmtId="165" fontId="10" fillId="0" borderId="0" xfId="6" applyNumberFormat="1" applyFont="1"/>
    <xf numFmtId="0" fontId="10" fillId="0" borderId="28" xfId="6" applyFont="1" applyBorder="1" applyAlignment="1">
      <alignment horizontal="center"/>
    </xf>
    <xf numFmtId="165" fontId="0" fillId="0" borderId="0" xfId="5" applyFont="1"/>
    <xf numFmtId="0" fontId="2" fillId="0" borderId="0" xfId="1" applyFont="1"/>
    <xf numFmtId="0" fontId="14" fillId="0" borderId="0" xfId="1" applyFont="1"/>
    <xf numFmtId="0" fontId="1" fillId="0" borderId="8" xfId="1" applyBorder="1"/>
    <xf numFmtId="0" fontId="1" fillId="0" borderId="8" xfId="1" applyBorder="1" applyAlignment="1">
      <alignment horizontal="center" vertical="center"/>
    </xf>
    <xf numFmtId="0" fontId="15" fillId="0" borderId="0" xfId="1" applyFont="1" applyAlignment="1">
      <alignment wrapText="1"/>
    </xf>
    <xf numFmtId="1" fontId="15" fillId="0" borderId="8" xfId="1" applyNumberFormat="1" applyFont="1" applyBorder="1" applyAlignment="1">
      <alignment horizontal="center" vertical="center"/>
    </xf>
    <xf numFmtId="165" fontId="0" fillId="0" borderId="8" xfId="5" applyFont="1" applyBorder="1" applyAlignment="1">
      <alignment vertical="center"/>
    </xf>
    <xf numFmtId="0" fontId="15" fillId="0" borderId="36" xfId="1" applyFont="1" applyBorder="1" applyAlignment="1">
      <alignment vertical="center" wrapText="1"/>
    </xf>
    <xf numFmtId="0" fontId="15" fillId="0" borderId="8" xfId="1" applyFont="1" applyBorder="1" applyAlignment="1">
      <alignment horizontal="left" vertical="top" wrapText="1"/>
    </xf>
    <xf numFmtId="165" fontId="0" fillId="0" borderId="8" xfId="5" applyFont="1" applyBorder="1"/>
    <xf numFmtId="165" fontId="3" fillId="0" borderId="0" xfId="5" applyFont="1"/>
    <xf numFmtId="165" fontId="3" fillId="0" borderId="0" xfId="5" applyFont="1" applyFill="1" applyBorder="1"/>
    <xf numFmtId="0" fontId="1" fillId="3" borderId="0" xfId="1" applyFill="1"/>
    <xf numFmtId="167" fontId="1" fillId="3" borderId="8" xfId="1" applyNumberFormat="1" applyFill="1" applyBorder="1"/>
    <xf numFmtId="0" fontId="1" fillId="3" borderId="8" xfId="1" applyFill="1" applyBorder="1"/>
    <xf numFmtId="165" fontId="1" fillId="3" borderId="8" xfId="1" applyNumberFormat="1" applyFill="1" applyBorder="1"/>
    <xf numFmtId="167" fontId="3" fillId="0" borderId="16" xfId="1" applyNumberFormat="1" applyFont="1" applyBorder="1"/>
    <xf numFmtId="165" fontId="3" fillId="0" borderId="16" xfId="1" applyNumberFormat="1" applyFont="1" applyBorder="1"/>
    <xf numFmtId="165" fontId="8" fillId="0" borderId="16" xfId="1" applyNumberFormat="1" applyFont="1" applyBorder="1"/>
    <xf numFmtId="165" fontId="8" fillId="0" borderId="18" xfId="1" applyNumberFormat="1" applyFont="1" applyBorder="1"/>
    <xf numFmtId="165" fontId="16" fillId="0" borderId="0" xfId="1" applyNumberFormat="1" applyFont="1"/>
    <xf numFmtId="167" fontId="17" fillId="3" borderId="8" xfId="8" applyNumberFormat="1" applyFont="1" applyFill="1" applyBorder="1" applyAlignment="1">
      <alignment horizontal="center" vertical="top"/>
    </xf>
    <xf numFmtId="167" fontId="1" fillId="3" borderId="8" xfId="1" applyNumberFormat="1" applyFill="1" applyBorder="1" applyAlignment="1">
      <alignment horizontal="center" vertical="center"/>
    </xf>
    <xf numFmtId="167" fontId="3" fillId="3" borderId="8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 wrapText="1"/>
    </xf>
    <xf numFmtId="167" fontId="15" fillId="3" borderId="8" xfId="1" applyNumberFormat="1" applyFont="1" applyFill="1" applyBorder="1" applyAlignment="1">
      <alignment horizontal="center" vertical="center"/>
    </xf>
    <xf numFmtId="167" fontId="18" fillId="3" borderId="8" xfId="1" applyNumberFormat="1" applyFont="1" applyFill="1" applyBorder="1" applyAlignment="1">
      <alignment horizontal="center" vertical="center"/>
    </xf>
    <xf numFmtId="0" fontId="3" fillId="0" borderId="16" xfId="1" applyFont="1" applyBorder="1"/>
    <xf numFmtId="167" fontId="1" fillId="3" borderId="12" xfId="1" applyNumberFormat="1" applyFill="1" applyBorder="1"/>
    <xf numFmtId="167" fontId="3" fillId="3" borderId="12" xfId="1" applyNumberFormat="1" applyFont="1" applyFill="1" applyBorder="1" applyAlignment="1">
      <alignment horizontal="center" vertical="center"/>
    </xf>
    <xf numFmtId="0" fontId="1" fillId="3" borderId="12" xfId="1" applyFill="1" applyBorder="1"/>
    <xf numFmtId="167" fontId="1" fillId="3" borderId="0" xfId="1" applyNumberFormat="1" applyFill="1"/>
    <xf numFmtId="170" fontId="15" fillId="0" borderId="8" xfId="1" applyNumberFormat="1" applyFont="1" applyBorder="1" applyAlignment="1">
      <alignment horizontal="center"/>
    </xf>
    <xf numFmtId="171" fontId="1" fillId="0" borderId="8" xfId="1" applyNumberFormat="1" applyBorder="1"/>
    <xf numFmtId="170" fontId="1" fillId="0" borderId="8" xfId="1" applyNumberFormat="1" applyBorder="1" applyAlignment="1">
      <alignment horizontal="center"/>
    </xf>
    <xf numFmtId="0" fontId="19" fillId="0" borderId="8" xfId="1" applyFont="1" applyBorder="1"/>
    <xf numFmtId="0" fontId="19" fillId="0" borderId="0" xfId="1" applyFont="1"/>
    <xf numFmtId="165" fontId="1" fillId="0" borderId="8" xfId="1" applyNumberFormat="1" applyBorder="1"/>
    <xf numFmtId="14" fontId="1" fillId="0" borderId="0" xfId="1" applyNumberFormat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1" fontId="1" fillId="0" borderId="0" xfId="1" applyNumberFormat="1"/>
    <xf numFmtId="169" fontId="1" fillId="0" borderId="8" xfId="1" applyNumberFormat="1" applyBorder="1" applyAlignment="1">
      <alignment horizontal="center"/>
    </xf>
    <xf numFmtId="0" fontId="17" fillId="0" borderId="8" xfId="8" applyFont="1" applyBorder="1" applyAlignment="1">
      <alignment horizontal="center" vertical="top"/>
    </xf>
    <xf numFmtId="0" fontId="1" fillId="3" borderId="8" xfId="1" applyFill="1" applyBorder="1" applyAlignment="1">
      <alignment horizontal="center"/>
    </xf>
    <xf numFmtId="0" fontId="17" fillId="3" borderId="8" xfId="8" applyFont="1" applyFill="1" applyBorder="1" applyAlignment="1">
      <alignment horizontal="center" vertical="top"/>
    </xf>
    <xf numFmtId="0" fontId="1" fillId="3" borderId="8" xfId="1" applyFill="1" applyBorder="1" applyAlignment="1">
      <alignment horizontal="center" vertical="center"/>
    </xf>
    <xf numFmtId="0" fontId="3" fillId="0" borderId="17" xfId="1" applyFont="1" applyBorder="1"/>
    <xf numFmtId="1" fontId="3" fillId="0" borderId="17" xfId="1" applyNumberFormat="1" applyFont="1" applyBorder="1"/>
    <xf numFmtId="167" fontId="3" fillId="0" borderId="17" xfId="1" applyNumberFormat="1" applyFont="1" applyBorder="1"/>
    <xf numFmtId="169" fontId="8" fillId="0" borderId="18" xfId="1" applyNumberFormat="1" applyFont="1" applyBorder="1"/>
    <xf numFmtId="172" fontId="1" fillId="0" borderId="0" xfId="1" applyNumberFormat="1"/>
    <xf numFmtId="0" fontId="20" fillId="0" borderId="0" xfId="1" applyFont="1" applyAlignment="1">
      <alignment horizontal="center"/>
    </xf>
    <xf numFmtId="172" fontId="20" fillId="0" borderId="0" xfId="1" applyNumberFormat="1" applyFont="1"/>
    <xf numFmtId="0" fontId="24" fillId="0" borderId="41" xfId="1" applyFont="1" applyBorder="1" applyAlignment="1">
      <alignment horizontal="center" vertical="center" wrapText="1"/>
    </xf>
    <xf numFmtId="0" fontId="24" fillId="0" borderId="47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top"/>
    </xf>
    <xf numFmtId="0" fontId="15" fillId="0" borderId="5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wrapText="1"/>
    </xf>
    <xf numFmtId="0" fontId="15" fillId="0" borderId="8" xfId="1" applyFont="1" applyBorder="1" applyAlignment="1">
      <alignment horizontal="center" vertical="top"/>
    </xf>
    <xf numFmtId="169" fontId="26" fillId="0" borderId="5" xfId="1" applyNumberFormat="1" applyFont="1" applyBorder="1" applyAlignment="1">
      <alignment horizontal="right"/>
    </xf>
    <xf numFmtId="172" fontId="24" fillId="0" borderId="5" xfId="1" applyNumberFormat="1" applyFont="1" applyBorder="1" applyAlignment="1">
      <alignment horizontal="right"/>
    </xf>
    <xf numFmtId="0" fontId="15" fillId="0" borderId="8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wrapText="1"/>
    </xf>
    <xf numFmtId="172" fontId="24" fillId="0" borderId="8" xfId="1" applyNumberFormat="1" applyFont="1" applyBorder="1" applyAlignment="1">
      <alignment horizontal="right"/>
    </xf>
    <xf numFmtId="0" fontId="15" fillId="5" borderId="8" xfId="1" applyFont="1" applyFill="1" applyBorder="1" applyAlignment="1">
      <alignment horizontal="center" vertical="top"/>
    </xf>
    <xf numFmtId="0" fontId="15" fillId="5" borderId="8" xfId="1" applyFont="1" applyFill="1" applyBorder="1" applyAlignment="1">
      <alignment horizontal="center" vertical="center"/>
    </xf>
    <xf numFmtId="0" fontId="15" fillId="5" borderId="8" xfId="1" applyFont="1" applyFill="1" applyBorder="1" applyAlignment="1">
      <alignment horizontal="center" wrapText="1"/>
    </xf>
    <xf numFmtId="0" fontId="15" fillId="0" borderId="8" xfId="1" applyFont="1" applyBorder="1" applyAlignment="1">
      <alignment horizontal="center"/>
    </xf>
    <xf numFmtId="0" fontId="24" fillId="0" borderId="16" xfId="1" applyFont="1" applyBorder="1" applyAlignment="1">
      <alignment horizontal="center"/>
    </xf>
    <xf numFmtId="169" fontId="24" fillId="0" borderId="17" xfId="1" applyNumberFormat="1" applyFont="1" applyBorder="1" applyAlignment="1">
      <alignment horizontal="right"/>
    </xf>
    <xf numFmtId="169" fontId="24" fillId="0" borderId="54" xfId="1" applyNumberFormat="1" applyFont="1" applyBorder="1" applyAlignment="1">
      <alignment horizontal="right"/>
    </xf>
    <xf numFmtId="172" fontId="24" fillId="0" borderId="55" xfId="1" applyNumberFormat="1" applyFont="1" applyBorder="1" applyAlignment="1">
      <alignment horizontal="right"/>
    </xf>
    <xf numFmtId="0" fontId="3" fillId="0" borderId="19" xfId="1" applyFont="1" applyBorder="1" applyAlignment="1">
      <alignment horizontal="center"/>
    </xf>
    <xf numFmtId="172" fontId="27" fillId="0" borderId="20" xfId="1" applyNumberFormat="1" applyFont="1" applyBorder="1" applyAlignment="1">
      <alignment horizontal="center"/>
    </xf>
    <xf numFmtId="4" fontId="1" fillId="0" borderId="0" xfId="1" applyNumberFormat="1"/>
    <xf numFmtId="0" fontId="3" fillId="0" borderId="8" xfId="1" applyFont="1" applyBorder="1" applyAlignment="1">
      <alignment horizontal="center"/>
    </xf>
    <xf numFmtId="0" fontId="17" fillId="0" borderId="8" xfId="9" applyFont="1" applyBorder="1" applyAlignment="1">
      <alignment horizontal="center" vertical="top"/>
    </xf>
    <xf numFmtId="4" fontId="1" fillId="0" borderId="8" xfId="1" applyNumberFormat="1" applyBorder="1"/>
    <xf numFmtId="172" fontId="15" fillId="0" borderId="0" xfId="10" applyNumberFormat="1"/>
    <xf numFmtId="0" fontId="15" fillId="0" borderId="0" xfId="10"/>
    <xf numFmtId="0" fontId="20" fillId="0" borderId="0" xfId="10" applyFont="1" applyAlignment="1">
      <alignment horizontal="center"/>
    </xf>
    <xf numFmtId="172" fontId="20" fillId="0" borderId="0" xfId="10" applyNumberFormat="1" applyFont="1"/>
    <xf numFmtId="0" fontId="24" fillId="0" borderId="41" xfId="10" applyFont="1" applyBorder="1" applyAlignment="1">
      <alignment horizontal="center" vertical="center" wrapText="1"/>
    </xf>
    <xf numFmtId="0" fontId="24" fillId="0" borderId="47" xfId="10" applyFont="1" applyBorder="1" applyAlignment="1">
      <alignment horizontal="center" vertical="center" wrapText="1"/>
    </xf>
    <xf numFmtId="0" fontId="15" fillId="0" borderId="5" xfId="10" applyBorder="1" applyAlignment="1">
      <alignment horizontal="center" vertical="top"/>
    </xf>
    <xf numFmtId="0" fontId="15" fillId="0" borderId="5" xfId="10" applyBorder="1" applyAlignment="1">
      <alignment horizontal="center" vertical="center"/>
    </xf>
    <xf numFmtId="0" fontId="15" fillId="0" borderId="5" xfId="10" applyBorder="1" applyAlignment="1">
      <alignment horizontal="center" wrapText="1"/>
    </xf>
    <xf numFmtId="169" fontId="26" fillId="0" borderId="5" xfId="10" applyNumberFormat="1" applyFont="1" applyBorder="1" applyAlignment="1">
      <alignment horizontal="right"/>
    </xf>
    <xf numFmtId="172" fontId="24" fillId="0" borderId="5" xfId="10" applyNumberFormat="1" applyFont="1" applyBorder="1" applyAlignment="1">
      <alignment horizontal="right"/>
    </xf>
    <xf numFmtId="0" fontId="15" fillId="0" borderId="8" xfId="10" applyBorder="1" applyAlignment="1">
      <alignment horizontal="center" vertical="top"/>
    </xf>
    <xf numFmtId="0" fontId="15" fillId="0" borderId="8" xfId="10" applyBorder="1" applyAlignment="1">
      <alignment horizontal="center" vertical="center"/>
    </xf>
    <xf numFmtId="0" fontId="15" fillId="0" borderId="8" xfId="10" applyBorder="1" applyAlignment="1">
      <alignment horizontal="center" wrapText="1"/>
    </xf>
    <xf numFmtId="172" fontId="24" fillId="0" borderId="8" xfId="10" applyNumberFormat="1" applyFont="1" applyBorder="1" applyAlignment="1">
      <alignment horizontal="right"/>
    </xf>
    <xf numFmtId="0" fontId="15" fillId="5" borderId="8" xfId="10" applyFill="1" applyBorder="1" applyAlignment="1">
      <alignment horizontal="center" vertical="top"/>
    </xf>
    <xf numFmtId="0" fontId="15" fillId="5" borderId="8" xfId="10" applyFill="1" applyBorder="1" applyAlignment="1">
      <alignment horizontal="center" vertical="center"/>
    </xf>
    <xf numFmtId="0" fontId="15" fillId="5" borderId="8" xfId="10" applyFill="1" applyBorder="1" applyAlignment="1">
      <alignment horizontal="center" wrapText="1"/>
    </xf>
    <xf numFmtId="0" fontId="15" fillId="0" borderId="8" xfId="10" applyBorder="1" applyAlignment="1">
      <alignment horizontal="center"/>
    </xf>
    <xf numFmtId="0" fontId="24" fillId="0" borderId="16" xfId="10" applyFont="1" applyBorder="1" applyAlignment="1">
      <alignment horizontal="center"/>
    </xf>
    <xf numFmtId="169" fontId="24" fillId="0" borderId="17" xfId="10" applyNumberFormat="1" applyFont="1" applyBorder="1" applyAlignment="1">
      <alignment horizontal="right"/>
    </xf>
    <xf numFmtId="172" fontId="24" fillId="0" borderId="18" xfId="10" applyNumberFormat="1" applyFont="1" applyBorder="1" applyAlignment="1">
      <alignment horizontal="right"/>
    </xf>
    <xf numFmtId="172" fontId="28" fillId="0" borderId="56" xfId="10" applyNumberFormat="1" applyFont="1" applyBorder="1" applyAlignment="1">
      <alignment horizontal="center"/>
    </xf>
    <xf numFmtId="0" fontId="28" fillId="0" borderId="57" xfId="10" applyFont="1" applyBorder="1" applyAlignment="1">
      <alignment horizontal="center"/>
    </xf>
    <xf numFmtId="172" fontId="28" fillId="0" borderId="57" xfId="10" applyNumberFormat="1" applyFont="1" applyBorder="1" applyAlignment="1">
      <alignment horizontal="center"/>
    </xf>
    <xf numFmtId="172" fontId="27" fillId="0" borderId="58" xfId="10" applyNumberFormat="1" applyFont="1" applyBorder="1" applyAlignment="1">
      <alignment horizontal="center"/>
    </xf>
    <xf numFmtId="0" fontId="17" fillId="0" borderId="8" xfId="11" applyFont="1" applyBorder="1" applyAlignment="1">
      <alignment horizontal="center" vertical="top"/>
    </xf>
    <xf numFmtId="167" fontId="1" fillId="0" borderId="8" xfId="1" applyNumberFormat="1" applyBorder="1" applyAlignment="1">
      <alignment horizontal="center"/>
    </xf>
    <xf numFmtId="169" fontId="0" fillId="0" borderId="8" xfId="5" applyNumberFormat="1" applyFont="1" applyBorder="1"/>
    <xf numFmtId="0" fontId="6" fillId="0" borderId="10" xfId="12" applyFont="1" applyBorder="1" applyAlignment="1">
      <alignment vertical="top"/>
    </xf>
    <xf numFmtId="167" fontId="6" fillId="0" borderId="10" xfId="4" applyNumberFormat="1" applyFont="1" applyBorder="1" applyAlignment="1">
      <alignment horizontal="right" vertical="top"/>
    </xf>
    <xf numFmtId="0" fontId="6" fillId="0" borderId="10" xfId="12" applyFont="1" applyBorder="1" applyAlignment="1">
      <alignment horizontal="right" vertical="top"/>
    </xf>
    <xf numFmtId="2" fontId="6" fillId="0" borderId="10" xfId="12" applyNumberFormat="1" applyFont="1" applyBorder="1" applyAlignment="1">
      <alignment horizontal="right" vertical="top"/>
    </xf>
    <xf numFmtId="173" fontId="6" fillId="0" borderId="10" xfId="12" applyNumberFormat="1" applyFont="1" applyBorder="1" applyAlignment="1">
      <alignment horizontal="right" vertical="top"/>
    </xf>
    <xf numFmtId="1" fontId="6" fillId="0" borderId="10" xfId="4" applyNumberFormat="1" applyFont="1" applyBorder="1" applyAlignment="1">
      <alignment horizontal="right" vertical="top"/>
    </xf>
    <xf numFmtId="3" fontId="6" fillId="0" borderId="10" xfId="4" applyNumberFormat="1" applyFont="1" applyBorder="1" applyAlignment="1">
      <alignment horizontal="right" vertical="top"/>
    </xf>
    <xf numFmtId="3" fontId="7" fillId="0" borderId="11" xfId="2" applyNumberFormat="1" applyFont="1" applyBorder="1" applyAlignment="1">
      <alignment horizontal="right" vertical="top"/>
    </xf>
    <xf numFmtId="164" fontId="1" fillId="0" borderId="11" xfId="1" applyNumberFormat="1" applyBorder="1"/>
    <xf numFmtId="164" fontId="3" fillId="0" borderId="11" xfId="1" applyNumberFormat="1" applyFont="1" applyBorder="1"/>
    <xf numFmtId="164" fontId="8" fillId="0" borderId="11" xfId="1" applyNumberFormat="1" applyFont="1" applyBorder="1"/>
    <xf numFmtId="1" fontId="6" fillId="0" borderId="59" xfId="4" applyNumberFormat="1" applyFont="1" applyBorder="1" applyAlignment="1">
      <alignment horizontal="right" vertical="top"/>
    </xf>
    <xf numFmtId="3" fontId="6" fillId="0" borderId="59" xfId="4" applyNumberFormat="1" applyFont="1" applyBorder="1" applyAlignment="1">
      <alignment horizontal="right" vertical="top"/>
    </xf>
    <xf numFmtId="2" fontId="3" fillId="0" borderId="11" xfId="1" applyNumberFormat="1" applyFont="1" applyBorder="1"/>
    <xf numFmtId="169" fontId="3" fillId="0" borderId="11" xfId="1" applyNumberFormat="1" applyFont="1" applyBorder="1"/>
    <xf numFmtId="167" fontId="6" fillId="0" borderId="59" xfId="4" applyNumberFormat="1" applyFont="1" applyBorder="1" applyAlignment="1">
      <alignment horizontal="right" vertical="top"/>
    </xf>
    <xf numFmtId="167" fontId="7" fillId="0" borderId="11" xfId="2" applyNumberFormat="1" applyFont="1" applyBorder="1" applyAlignment="1">
      <alignment horizontal="right" vertical="top"/>
    </xf>
    <xf numFmtId="169" fontId="7" fillId="6" borderId="5" xfId="5" applyNumberFormat="1" applyFont="1" applyFill="1" applyBorder="1"/>
    <xf numFmtId="169" fontId="13" fillId="6" borderId="8" xfId="5" applyNumberFormat="1" applyFont="1" applyFill="1" applyBorder="1" applyAlignment="1">
      <alignment horizontal="right" vertical="center" wrapText="1"/>
    </xf>
    <xf numFmtId="0" fontId="7" fillId="0" borderId="60" xfId="6" applyBorder="1"/>
    <xf numFmtId="0" fontId="10" fillId="0" borderId="5" xfId="6" applyFont="1" applyFill="1" applyBorder="1" applyAlignment="1">
      <alignment horizontal="center"/>
    </xf>
    <xf numFmtId="169" fontId="7" fillId="0" borderId="5" xfId="5" applyNumberFormat="1" applyFont="1" applyFill="1" applyBorder="1"/>
    <xf numFmtId="0" fontId="13" fillId="0" borderId="5" xfId="6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1" fillId="0" borderId="5" xfId="1" applyBorder="1" applyAlignment="1">
      <alignment horizontal="center" wrapText="1"/>
    </xf>
    <xf numFmtId="14" fontId="5" fillId="2" borderId="9" xfId="2" applyNumberFormat="1" applyFont="1" applyFill="1" applyBorder="1" applyAlignment="1">
      <alignment horizontal="center" vertical="top"/>
    </xf>
    <xf numFmtId="0" fontId="5" fillId="2" borderId="9" xfId="2" applyFont="1" applyFill="1" applyBorder="1" applyAlignment="1">
      <alignment horizontal="center" vertical="top"/>
    </xf>
    <xf numFmtId="0" fontId="11" fillId="0" borderId="31" xfId="6" applyFont="1" applyBorder="1" applyAlignment="1">
      <alignment horizontal="center"/>
    </xf>
    <xf numFmtId="0" fontId="11" fillId="0" borderId="32" xfId="6" applyFont="1" applyBorder="1" applyAlignment="1">
      <alignment horizontal="center"/>
    </xf>
    <xf numFmtId="169" fontId="9" fillId="0" borderId="0" xfId="5" applyNumberFormat="1" applyFont="1" applyBorder="1" applyAlignment="1">
      <alignment horizontal="center" vertical="center"/>
    </xf>
    <xf numFmtId="0" fontId="10" fillId="0" borderId="14" xfId="6" applyFont="1" applyBorder="1" applyAlignment="1">
      <alignment horizontal="center"/>
    </xf>
    <xf numFmtId="0" fontId="10" fillId="0" borderId="15" xfId="6" applyFont="1" applyBorder="1" applyAlignment="1">
      <alignment horizontal="center"/>
    </xf>
    <xf numFmtId="0" fontId="10" fillId="0" borderId="28" xfId="6" applyFont="1" applyBorder="1" applyAlignment="1">
      <alignment horizontal="center"/>
    </xf>
    <xf numFmtId="0" fontId="10" fillId="0" borderId="29" xfId="6" applyFont="1" applyBorder="1" applyAlignment="1">
      <alignment horizontal="center"/>
    </xf>
    <xf numFmtId="0" fontId="10" fillId="0" borderId="16" xfId="6" applyFont="1" applyBorder="1" applyAlignment="1">
      <alignment horizontal="center"/>
    </xf>
    <xf numFmtId="0" fontId="10" fillId="0" borderId="17" xfId="6" applyFont="1" applyBorder="1" applyAlignment="1">
      <alignment horizontal="center"/>
    </xf>
    <xf numFmtId="169" fontId="8" fillId="0" borderId="28" xfId="6" applyNumberFormat="1" applyFont="1" applyBorder="1" applyAlignment="1">
      <alignment horizontal="center"/>
    </xf>
    <xf numFmtId="169" fontId="8" fillId="0" borderId="29" xfId="6" applyNumberFormat="1" applyFont="1" applyBorder="1" applyAlignment="1">
      <alignment horizontal="center"/>
    </xf>
    <xf numFmtId="169" fontId="8" fillId="0" borderId="30" xfId="6" applyNumberFormat="1" applyFont="1" applyBorder="1" applyAlignment="1">
      <alignment horizontal="center"/>
    </xf>
    <xf numFmtId="0" fontId="11" fillId="0" borderId="33" xfId="6" applyFont="1" applyBorder="1" applyAlignment="1">
      <alignment horizontal="center"/>
    </xf>
    <xf numFmtId="0" fontId="11" fillId="0" borderId="34" xfId="6" applyFont="1" applyBorder="1" applyAlignment="1">
      <alignment horizontal="center"/>
    </xf>
    <xf numFmtId="0" fontId="10" fillId="0" borderId="30" xfId="6" applyFont="1" applyBorder="1" applyAlignment="1">
      <alignment horizontal="center"/>
    </xf>
    <xf numFmtId="14" fontId="5" fillId="3" borderId="9" xfId="7" applyNumberFormat="1" applyFont="1" applyFill="1" applyBorder="1" applyAlignment="1">
      <alignment horizontal="center" vertical="top"/>
    </xf>
    <xf numFmtId="0" fontId="5" fillId="3" borderId="9" xfId="7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 wrapText="1"/>
    </xf>
    <xf numFmtId="0" fontId="23" fillId="0" borderId="37" xfId="1" applyFont="1" applyBorder="1" applyAlignment="1">
      <alignment horizontal="center"/>
    </xf>
    <xf numFmtId="0" fontId="11" fillId="0" borderId="38" xfId="1" applyFont="1" applyBorder="1"/>
    <xf numFmtId="0" fontId="11" fillId="0" borderId="36" xfId="1" applyFont="1" applyBorder="1"/>
    <xf numFmtId="0" fontId="21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1" fillId="0" borderId="0" xfId="1"/>
    <xf numFmtId="0" fontId="21" fillId="0" borderId="13" xfId="1" applyFont="1" applyBorder="1" applyAlignment="1">
      <alignment horizontal="center"/>
    </xf>
    <xf numFmtId="0" fontId="24" fillId="0" borderId="40" xfId="1" applyFont="1" applyBorder="1" applyAlignment="1">
      <alignment horizontal="center" vertical="center" wrapText="1"/>
    </xf>
    <xf numFmtId="0" fontId="11" fillId="0" borderId="46" xfId="1" applyFont="1" applyBorder="1"/>
    <xf numFmtId="0" fontId="24" fillId="0" borderId="14" xfId="1" applyFont="1" applyBorder="1" applyAlignment="1">
      <alignment horizontal="center" vertical="center" wrapText="1"/>
    </xf>
    <xf numFmtId="0" fontId="11" fillId="0" borderId="39" xfId="1" applyFont="1" applyBorder="1"/>
    <xf numFmtId="0" fontId="11" fillId="0" borderId="44" xfId="1" applyFont="1" applyBorder="1"/>
    <xf numFmtId="0" fontId="11" fillId="0" borderId="45" xfId="1" applyFont="1" applyBorder="1"/>
    <xf numFmtId="14" fontId="25" fillId="4" borderId="50" xfId="1" applyNumberFormat="1" applyFont="1" applyFill="1" applyBorder="1" applyAlignment="1">
      <alignment horizontal="center" vertical="top"/>
    </xf>
    <xf numFmtId="0" fontId="11" fillId="0" borderId="51" xfId="1" applyFont="1" applyBorder="1"/>
    <xf numFmtId="0" fontId="24" fillId="0" borderId="46" xfId="1" applyFont="1" applyBorder="1" applyAlignment="1">
      <alignment horizontal="center" vertical="center" wrapText="1"/>
    </xf>
    <xf numFmtId="0" fontId="24" fillId="0" borderId="42" xfId="1" applyFont="1" applyBorder="1" applyAlignment="1">
      <alignment horizontal="center" vertical="center" wrapText="1"/>
    </xf>
    <xf numFmtId="0" fontId="11" fillId="0" borderId="48" xfId="1" applyFont="1" applyBorder="1"/>
    <xf numFmtId="172" fontId="24" fillId="0" borderId="43" xfId="1" applyNumberFormat="1" applyFont="1" applyBorder="1" applyAlignment="1">
      <alignment horizontal="center" vertical="center" wrapText="1"/>
    </xf>
    <xf numFmtId="0" fontId="11" fillId="0" borderId="49" xfId="1" applyFont="1" applyBorder="1"/>
    <xf numFmtId="14" fontId="25" fillId="4" borderId="52" xfId="1" applyNumberFormat="1" applyFont="1" applyFill="1" applyBorder="1" applyAlignment="1">
      <alignment horizontal="center" vertical="top"/>
    </xf>
    <xf numFmtId="0" fontId="11" fillId="0" borderId="53" xfId="1" applyFont="1" applyBorder="1"/>
    <xf numFmtId="0" fontId="3" fillId="0" borderId="33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0" fontId="21" fillId="0" borderId="0" xfId="10" applyFont="1" applyAlignment="1">
      <alignment horizontal="center"/>
    </xf>
    <xf numFmtId="0" fontId="22" fillId="0" borderId="0" xfId="10" applyFont="1" applyAlignment="1">
      <alignment horizontal="center"/>
    </xf>
    <xf numFmtId="0" fontId="15" fillId="0" borderId="0" xfId="10"/>
    <xf numFmtId="0" fontId="23" fillId="0" borderId="37" xfId="10" applyFont="1" applyBorder="1" applyAlignment="1">
      <alignment horizontal="center"/>
    </xf>
    <xf numFmtId="0" fontId="11" fillId="0" borderId="38" xfId="10" applyFont="1" applyBorder="1"/>
    <xf numFmtId="0" fontId="11" fillId="0" borderId="36" xfId="10" applyFont="1" applyBorder="1"/>
    <xf numFmtId="0" fontId="24" fillId="0" borderId="14" xfId="10" applyFont="1" applyBorder="1" applyAlignment="1">
      <alignment horizontal="center" vertical="center" wrapText="1"/>
    </xf>
    <xf numFmtId="0" fontId="11" fillId="0" borderId="39" xfId="10" applyFont="1" applyBorder="1"/>
    <xf numFmtId="0" fontId="11" fillId="0" borderId="44" xfId="10" applyFont="1" applyBorder="1"/>
    <xf numFmtId="0" fontId="11" fillId="0" borderId="45" xfId="10" applyFont="1" applyBorder="1"/>
    <xf numFmtId="0" fontId="24" fillId="0" borderId="40" xfId="10" applyFont="1" applyBorder="1" applyAlignment="1">
      <alignment horizontal="center" vertical="center" wrapText="1"/>
    </xf>
    <xf numFmtId="0" fontId="11" fillId="0" borderId="46" xfId="10" applyFont="1" applyBorder="1"/>
    <xf numFmtId="0" fontId="24" fillId="0" borderId="42" xfId="10" applyFont="1" applyBorder="1" applyAlignment="1">
      <alignment horizontal="center" vertical="center" wrapText="1"/>
    </xf>
    <xf numFmtId="0" fontId="11" fillId="0" borderId="48" xfId="10" applyFont="1" applyBorder="1"/>
    <xf numFmtId="14" fontId="25" fillId="4" borderId="50" xfId="10" applyNumberFormat="1" applyFont="1" applyFill="1" applyBorder="1" applyAlignment="1">
      <alignment horizontal="center" vertical="top"/>
    </xf>
    <xf numFmtId="0" fontId="11" fillId="0" borderId="51" xfId="10" applyFont="1" applyBorder="1"/>
    <xf numFmtId="172" fontId="24" fillId="0" borderId="43" xfId="10" applyNumberFormat="1" applyFont="1" applyBorder="1" applyAlignment="1">
      <alignment horizontal="center" vertical="center" wrapText="1"/>
    </xf>
    <xf numFmtId="0" fontId="11" fillId="0" borderId="49" xfId="10" applyFont="1" applyBorder="1"/>
    <xf numFmtId="14" fontId="25" fillId="4" borderId="52" xfId="10" applyNumberFormat="1" applyFont="1" applyFill="1" applyBorder="1" applyAlignment="1">
      <alignment horizontal="center" vertical="top"/>
    </xf>
    <xf numFmtId="0" fontId="11" fillId="0" borderId="53" xfId="10" applyFont="1" applyBorder="1"/>
  </cellXfs>
  <cellStyles count="13">
    <cellStyle name="Денежный 2" xfId="5" xr:uid="{08A5161C-D2DE-404D-B0D4-3D281B1A142F}"/>
    <cellStyle name="Обычный" xfId="0" builtinId="0"/>
    <cellStyle name="Обычный 2" xfId="1" xr:uid="{AFD6A03C-7A06-4496-9FAB-AE57F8BEB2F4}"/>
    <cellStyle name="Обычный 4" xfId="10" xr:uid="{8BD3264E-B2EB-4654-B90D-A2599CAC8CFD}"/>
    <cellStyle name="Обычный 5" xfId="6" xr:uid="{2175D3D1-3BBE-4E6D-A2FF-24838CDA467B}"/>
    <cellStyle name="Обычный_Биаксплен Новосибирск" xfId="3" xr:uid="{038FD83B-1227-41DA-B1C7-FAC24AB88432}"/>
    <cellStyle name="Обычный_Ергарда" xfId="11" xr:uid="{D0170E61-5D1F-45B9-B7E8-02F2CD391844}"/>
    <cellStyle name="Обычный_ИП Ксендз Нижнекамск" xfId="12" xr:uid="{D6C65B2E-219E-408A-B448-BD832FA8D2EB}"/>
    <cellStyle name="Обычный_Лист1" xfId="8" xr:uid="{48BA76BA-D01D-4679-B3AA-E72D372DD96F}"/>
    <cellStyle name="Обычный_РусВинил ББ" xfId="7" xr:uid="{E0FF8E44-5141-4CF3-B7A1-8ED244B42FC4}"/>
    <cellStyle name="Обычный_Сибур" xfId="2" xr:uid="{49D7D207-F168-4B1C-B94C-C80245529D03}"/>
    <cellStyle name="Обычный_Сибур 1" xfId="4" xr:uid="{B37EE873-A06F-4AF6-BBE3-E9694BEF8D4F}"/>
    <cellStyle name="Обычный_СтройТех" xfId="9" xr:uid="{97363B11-5ACA-48E5-8D8C-EFA003829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636B9C66-73D3-46BD-9EE3-9C1D68F832BB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48505426-C226-4DAB-B380-87660CD8318A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6;&#1091;&#1089;&#1074;&#1080;&#1085;&#1080;&#1083;/&#1056;&#1042;%20&#1054;&#1090;&#1095;&#1077;&#1090;/&#1056;&#1042;%20&#1071;&#1085;&#1074;&#1072;&#1088;&#1100;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AddIns\EXCELTools.xlam" TargetMode="External"/><Relationship Id="rId1" Type="http://schemas.openxmlformats.org/officeDocument/2006/relationships/externalLinkPath" Target="/Users/user/AppData/Roaming/Microsoft/AddIns/EXCELTools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6;&#1091;&#1089;&#1074;&#1080;&#1085;&#1080;&#1083;/&#1056;&#1042;%20&#1054;&#1090;&#1095;&#1077;&#1090;/Temp/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ее и резерв"/>
      <sheetName val="Резерв"/>
      <sheetName val="РВ Баумана"/>
      <sheetName val="Окская Мешки"/>
      <sheetName val="РВ Березовая Пойма"/>
      <sheetName val="РВ Новикова-Прибоя"/>
      <sheetName val="АВР Баумана"/>
      <sheetName val="АВР Новикова"/>
      <sheetName val="АВР Березовая Пойма"/>
      <sheetName val="Праздники"/>
    </sheetNames>
    <sheetDataSet>
      <sheetData sheetId="0"/>
      <sheetData sheetId="1">
        <row r="37">
          <cell r="G37">
            <v>51605.744999999981</v>
          </cell>
        </row>
      </sheetData>
      <sheetData sheetId="2">
        <row r="2">
          <cell r="R2">
            <v>0</v>
          </cell>
          <cell r="S2">
            <v>0</v>
          </cell>
        </row>
        <row r="3">
          <cell r="R3">
            <v>60.5</v>
          </cell>
          <cell r="S3">
            <v>21.375</v>
          </cell>
        </row>
        <row r="6">
          <cell r="C6">
            <v>0</v>
          </cell>
          <cell r="D6">
            <v>0</v>
          </cell>
          <cell r="G6">
            <v>883.22500000000002</v>
          </cell>
        </row>
        <row r="7">
          <cell r="C7">
            <v>0</v>
          </cell>
          <cell r="D7">
            <v>0</v>
          </cell>
          <cell r="G7">
            <v>883.22500000000002</v>
          </cell>
        </row>
        <row r="8">
          <cell r="C8">
            <v>0</v>
          </cell>
          <cell r="D8">
            <v>0</v>
          </cell>
          <cell r="G8">
            <v>883.22500000000002</v>
          </cell>
        </row>
        <row r="9">
          <cell r="C9">
            <v>0</v>
          </cell>
          <cell r="D9">
            <v>0</v>
          </cell>
          <cell r="G9">
            <v>883.22500000000002</v>
          </cell>
        </row>
        <row r="10">
          <cell r="C10">
            <v>0</v>
          </cell>
          <cell r="D10">
            <v>0</v>
          </cell>
          <cell r="G10">
            <v>883.22500000000002</v>
          </cell>
        </row>
        <row r="11">
          <cell r="C11">
            <v>0</v>
          </cell>
          <cell r="D11">
            <v>0</v>
          </cell>
          <cell r="G11">
            <v>883.22500000000002</v>
          </cell>
        </row>
        <row r="12">
          <cell r="C12">
            <v>0</v>
          </cell>
          <cell r="D12">
            <v>0</v>
          </cell>
          <cell r="G12">
            <v>883.22500000000002</v>
          </cell>
        </row>
        <row r="13">
          <cell r="C13">
            <v>0</v>
          </cell>
          <cell r="D13">
            <v>0</v>
          </cell>
          <cell r="G13">
            <v>883.22500000000002</v>
          </cell>
        </row>
        <row r="14">
          <cell r="C14">
            <v>0</v>
          </cell>
          <cell r="D14">
            <v>0</v>
          </cell>
          <cell r="G14">
            <v>883.22500000000002</v>
          </cell>
        </row>
        <row r="15">
          <cell r="C15">
            <v>0</v>
          </cell>
          <cell r="D15">
            <v>0</v>
          </cell>
          <cell r="G15">
            <v>883.22500000000002</v>
          </cell>
        </row>
        <row r="16">
          <cell r="C16">
            <v>0</v>
          </cell>
          <cell r="D16">
            <v>0</v>
          </cell>
          <cell r="G16">
            <v>883.22500000000002</v>
          </cell>
        </row>
        <row r="17">
          <cell r="C17">
            <v>0</v>
          </cell>
          <cell r="D17">
            <v>0</v>
          </cell>
          <cell r="G17">
            <v>883.22500000000002</v>
          </cell>
        </row>
        <row r="18">
          <cell r="C18">
            <v>0</v>
          </cell>
          <cell r="D18">
            <v>0</v>
          </cell>
          <cell r="G18">
            <v>883.22500000000002</v>
          </cell>
        </row>
        <row r="19">
          <cell r="C19">
            <v>0</v>
          </cell>
          <cell r="D19">
            <v>0</v>
          </cell>
          <cell r="G19">
            <v>883.22500000000002</v>
          </cell>
        </row>
        <row r="20">
          <cell r="C20">
            <v>0</v>
          </cell>
          <cell r="D20">
            <v>0</v>
          </cell>
          <cell r="G20">
            <v>883.22500000000002</v>
          </cell>
        </row>
        <row r="21">
          <cell r="C21">
            <v>0</v>
          </cell>
          <cell r="D21">
            <v>0</v>
          </cell>
          <cell r="G21">
            <v>883.22500000000002</v>
          </cell>
        </row>
        <row r="22">
          <cell r="C22">
            <v>0</v>
          </cell>
          <cell r="D22">
            <v>49.5</v>
          </cell>
          <cell r="G22">
            <v>883.22500000000002</v>
          </cell>
        </row>
        <row r="23">
          <cell r="C23">
            <v>0</v>
          </cell>
          <cell r="D23">
            <v>0</v>
          </cell>
          <cell r="G23">
            <v>833.72500000000002</v>
          </cell>
        </row>
        <row r="24">
          <cell r="C24">
            <v>0</v>
          </cell>
          <cell r="D24">
            <v>0</v>
          </cell>
          <cell r="G24">
            <v>833.72500000000002</v>
          </cell>
        </row>
        <row r="25">
          <cell r="C25">
            <v>0</v>
          </cell>
          <cell r="D25">
            <v>0</v>
          </cell>
          <cell r="G25">
            <v>833.72500000000002</v>
          </cell>
        </row>
        <row r="26">
          <cell r="C26">
            <v>0</v>
          </cell>
          <cell r="D26">
            <v>0</v>
          </cell>
          <cell r="G26">
            <v>833.72500000000002</v>
          </cell>
        </row>
        <row r="27">
          <cell r="C27">
            <v>0</v>
          </cell>
          <cell r="D27">
            <v>0</v>
          </cell>
          <cell r="G27">
            <v>833.72500000000002</v>
          </cell>
        </row>
        <row r="28">
          <cell r="C28">
            <v>0</v>
          </cell>
          <cell r="D28">
            <v>0</v>
          </cell>
          <cell r="G28">
            <v>833.72500000000002</v>
          </cell>
        </row>
        <row r="29">
          <cell r="C29">
            <v>0</v>
          </cell>
          <cell r="D29">
            <v>0</v>
          </cell>
          <cell r="G29">
            <v>833.72500000000002</v>
          </cell>
        </row>
        <row r="30">
          <cell r="C30">
            <v>0</v>
          </cell>
          <cell r="D30">
            <v>0</v>
          </cell>
          <cell r="G30">
            <v>833.72500000000002</v>
          </cell>
        </row>
        <row r="31">
          <cell r="C31">
            <v>0</v>
          </cell>
          <cell r="D31">
            <v>0</v>
          </cell>
          <cell r="G31">
            <v>833.72500000000002</v>
          </cell>
        </row>
        <row r="32">
          <cell r="C32">
            <v>0</v>
          </cell>
          <cell r="D32">
            <v>0</v>
          </cell>
          <cell r="G32">
            <v>833.72500000000002</v>
          </cell>
        </row>
        <row r="33">
          <cell r="C33">
            <v>0</v>
          </cell>
          <cell r="D33">
            <v>21.375</v>
          </cell>
          <cell r="G33">
            <v>833.72500000000002</v>
          </cell>
        </row>
        <row r="34">
          <cell r="C34">
            <v>0</v>
          </cell>
          <cell r="D34">
            <v>0</v>
          </cell>
          <cell r="G34">
            <v>812.35</v>
          </cell>
        </row>
        <row r="35">
          <cell r="C35">
            <v>0</v>
          </cell>
          <cell r="D35">
            <v>0</v>
          </cell>
          <cell r="G35">
            <v>812.35</v>
          </cell>
        </row>
        <row r="36">
          <cell r="C36">
            <v>0</v>
          </cell>
          <cell r="D36">
            <v>11</v>
          </cell>
          <cell r="G36">
            <v>812.35</v>
          </cell>
        </row>
        <row r="37">
          <cell r="G37">
            <v>26622.849999999988</v>
          </cell>
        </row>
      </sheetData>
      <sheetData sheetId="3"/>
      <sheetData sheetId="4">
        <row r="2">
          <cell r="R2">
            <v>4919.6899999999996</v>
          </cell>
          <cell r="S2">
            <v>1279.04</v>
          </cell>
        </row>
        <row r="3">
          <cell r="R3">
            <v>1020.6650000000001</v>
          </cell>
          <cell r="S3">
            <v>1388.0800000000002</v>
          </cell>
        </row>
        <row r="6">
          <cell r="C6">
            <v>0</v>
          </cell>
          <cell r="D6">
            <v>0</v>
          </cell>
          <cell r="G6">
            <v>786.23</v>
          </cell>
        </row>
        <row r="7">
          <cell r="C7">
            <v>0</v>
          </cell>
          <cell r="D7">
            <v>0</v>
          </cell>
          <cell r="G7">
            <v>786.23</v>
          </cell>
        </row>
        <row r="8">
          <cell r="C8">
            <v>730.12</v>
          </cell>
          <cell r="D8">
            <v>0</v>
          </cell>
          <cell r="G8">
            <v>1516.35</v>
          </cell>
        </row>
        <row r="9">
          <cell r="C9">
            <v>352.69</v>
          </cell>
          <cell r="D9">
            <v>0</v>
          </cell>
          <cell r="G9">
            <v>1869.04</v>
          </cell>
        </row>
        <row r="10">
          <cell r="C10">
            <v>507.15</v>
          </cell>
          <cell r="D10">
            <v>0</v>
          </cell>
          <cell r="G10">
            <v>2376.19</v>
          </cell>
        </row>
        <row r="11">
          <cell r="C11">
            <v>859.38</v>
          </cell>
          <cell r="D11">
            <v>0</v>
          </cell>
          <cell r="G11">
            <v>3235.57</v>
          </cell>
        </row>
        <row r="12">
          <cell r="C12">
            <v>749.61</v>
          </cell>
          <cell r="D12">
            <v>0</v>
          </cell>
          <cell r="G12">
            <v>3985.1800000000003</v>
          </cell>
        </row>
        <row r="13">
          <cell r="C13">
            <v>575.22</v>
          </cell>
          <cell r="D13">
            <v>0</v>
          </cell>
          <cell r="G13">
            <v>4560.4000000000005</v>
          </cell>
        </row>
        <row r="14">
          <cell r="C14">
            <v>413.65</v>
          </cell>
          <cell r="D14">
            <v>0</v>
          </cell>
          <cell r="G14">
            <v>4974.05</v>
          </cell>
        </row>
        <row r="15">
          <cell r="C15">
            <v>264.69</v>
          </cell>
          <cell r="D15">
            <v>0</v>
          </cell>
          <cell r="G15">
            <v>5238.74</v>
          </cell>
        </row>
        <row r="16">
          <cell r="C16">
            <v>200.42</v>
          </cell>
          <cell r="D16">
            <v>0</v>
          </cell>
          <cell r="G16">
            <v>5439.16</v>
          </cell>
        </row>
        <row r="17">
          <cell r="C17">
            <v>990.51</v>
          </cell>
          <cell r="D17">
            <v>0</v>
          </cell>
          <cell r="G17">
            <v>6429.67</v>
          </cell>
        </row>
        <row r="18">
          <cell r="C18">
            <v>110.69</v>
          </cell>
          <cell r="D18">
            <v>22</v>
          </cell>
          <cell r="G18">
            <v>6540.36</v>
          </cell>
        </row>
        <row r="19">
          <cell r="C19">
            <v>0</v>
          </cell>
          <cell r="D19">
            <v>49.96</v>
          </cell>
          <cell r="G19">
            <v>6518.36</v>
          </cell>
        </row>
        <row r="20">
          <cell r="C20">
            <v>0</v>
          </cell>
          <cell r="D20">
            <v>44</v>
          </cell>
          <cell r="G20">
            <v>6468.4</v>
          </cell>
        </row>
        <row r="21">
          <cell r="C21">
            <v>0</v>
          </cell>
          <cell r="D21">
            <v>110.69</v>
          </cell>
          <cell r="G21">
            <v>6424.4</v>
          </cell>
        </row>
        <row r="22">
          <cell r="C22">
            <v>0</v>
          </cell>
          <cell r="D22">
            <v>394.63</v>
          </cell>
          <cell r="G22">
            <v>6313.71</v>
          </cell>
        </row>
        <row r="23">
          <cell r="C23">
            <v>0</v>
          </cell>
          <cell r="D23">
            <v>306.11</v>
          </cell>
          <cell r="G23">
            <v>5919.08</v>
          </cell>
        </row>
        <row r="24">
          <cell r="C24">
            <v>0</v>
          </cell>
          <cell r="D24">
            <v>265.61</v>
          </cell>
          <cell r="G24">
            <v>5612.97</v>
          </cell>
        </row>
        <row r="25">
          <cell r="C25">
            <v>0</v>
          </cell>
          <cell r="D25">
            <v>154</v>
          </cell>
          <cell r="G25">
            <v>5347.3600000000006</v>
          </cell>
        </row>
        <row r="26">
          <cell r="C26">
            <v>0</v>
          </cell>
          <cell r="D26">
            <v>110</v>
          </cell>
          <cell r="G26">
            <v>5193.3600000000006</v>
          </cell>
        </row>
        <row r="27">
          <cell r="C27">
            <v>0</v>
          </cell>
          <cell r="D27">
            <v>125.58499999999999</v>
          </cell>
          <cell r="G27">
            <v>5083.3600000000006</v>
          </cell>
        </row>
        <row r="28">
          <cell r="C28">
            <v>0</v>
          </cell>
          <cell r="D28">
            <v>44.23</v>
          </cell>
          <cell r="G28">
            <v>4957.7750000000005</v>
          </cell>
        </row>
        <row r="29">
          <cell r="C29">
            <v>0</v>
          </cell>
          <cell r="D29">
            <v>0</v>
          </cell>
          <cell r="G29">
            <v>4913.545000000001</v>
          </cell>
        </row>
        <row r="30">
          <cell r="C30">
            <v>0</v>
          </cell>
          <cell r="D30">
            <v>66.459999999999994</v>
          </cell>
          <cell r="G30">
            <v>4913.545000000001</v>
          </cell>
        </row>
        <row r="31">
          <cell r="C31">
            <v>0</v>
          </cell>
          <cell r="D31">
            <v>88.23</v>
          </cell>
          <cell r="G31">
            <v>4847.0850000000009</v>
          </cell>
        </row>
        <row r="32">
          <cell r="C32">
            <v>0</v>
          </cell>
          <cell r="D32">
            <v>66</v>
          </cell>
          <cell r="G32">
            <v>4758.8550000000014</v>
          </cell>
        </row>
        <row r="33">
          <cell r="C33">
            <v>0</v>
          </cell>
          <cell r="D33">
            <v>153.08500000000001</v>
          </cell>
          <cell r="G33">
            <v>4692.8550000000014</v>
          </cell>
        </row>
        <row r="34">
          <cell r="C34">
            <v>0</v>
          </cell>
          <cell r="D34">
            <v>88.23</v>
          </cell>
          <cell r="G34">
            <v>4539.7700000000013</v>
          </cell>
        </row>
        <row r="35">
          <cell r="C35">
            <v>177.84</v>
          </cell>
          <cell r="D35">
            <v>66.459999999999994</v>
          </cell>
          <cell r="G35">
            <v>4629.3800000000019</v>
          </cell>
        </row>
        <row r="36">
          <cell r="C36">
            <v>266.76</v>
          </cell>
          <cell r="D36">
            <v>253.465</v>
          </cell>
          <cell r="G36">
            <v>4829.6800000000021</v>
          </cell>
        </row>
        <row r="37">
          <cell r="G37">
            <v>143700.66</v>
          </cell>
        </row>
      </sheetData>
      <sheetData sheetId="5">
        <row r="2">
          <cell r="R2">
            <v>110.23</v>
          </cell>
          <cell r="S2">
            <v>1212.07</v>
          </cell>
        </row>
        <row r="3">
          <cell r="R3">
            <v>82.474999999999994</v>
          </cell>
          <cell r="S3">
            <v>88</v>
          </cell>
        </row>
        <row r="6">
          <cell r="C6">
            <v>0</v>
          </cell>
          <cell r="D6">
            <v>0</v>
          </cell>
          <cell r="G6">
            <v>190.67</v>
          </cell>
        </row>
        <row r="7">
          <cell r="C7">
            <v>0</v>
          </cell>
          <cell r="D7">
            <v>0</v>
          </cell>
          <cell r="G7">
            <v>190.67</v>
          </cell>
        </row>
        <row r="8">
          <cell r="C8">
            <v>0</v>
          </cell>
          <cell r="D8">
            <v>0</v>
          </cell>
          <cell r="G8">
            <v>190.67</v>
          </cell>
        </row>
        <row r="9">
          <cell r="C9">
            <v>0</v>
          </cell>
          <cell r="D9">
            <v>0</v>
          </cell>
          <cell r="G9">
            <v>190.67</v>
          </cell>
        </row>
        <row r="10">
          <cell r="C10">
            <v>0</v>
          </cell>
          <cell r="D10">
            <v>0</v>
          </cell>
          <cell r="G10">
            <v>190.67</v>
          </cell>
        </row>
        <row r="11">
          <cell r="C11">
            <v>0</v>
          </cell>
          <cell r="D11">
            <v>0</v>
          </cell>
          <cell r="G11">
            <v>190.67</v>
          </cell>
        </row>
        <row r="12">
          <cell r="C12">
            <v>0</v>
          </cell>
          <cell r="D12">
            <v>0</v>
          </cell>
          <cell r="G12">
            <v>190.67</v>
          </cell>
        </row>
        <row r="13">
          <cell r="C13">
            <v>0</v>
          </cell>
          <cell r="D13">
            <v>0</v>
          </cell>
          <cell r="G13">
            <v>190.67</v>
          </cell>
        </row>
        <row r="14">
          <cell r="C14">
            <v>0</v>
          </cell>
          <cell r="D14">
            <v>0</v>
          </cell>
          <cell r="G14">
            <v>190.67</v>
          </cell>
        </row>
        <row r="15">
          <cell r="C15">
            <v>0</v>
          </cell>
          <cell r="D15">
            <v>0</v>
          </cell>
          <cell r="G15">
            <v>190.67</v>
          </cell>
        </row>
        <row r="16">
          <cell r="C16">
            <v>0</v>
          </cell>
          <cell r="D16">
            <v>0</v>
          </cell>
          <cell r="G16">
            <v>190.67</v>
          </cell>
        </row>
        <row r="17">
          <cell r="C17">
            <v>0</v>
          </cell>
          <cell r="D17">
            <v>0</v>
          </cell>
          <cell r="G17">
            <v>193.21499999999997</v>
          </cell>
        </row>
        <row r="18">
          <cell r="C18">
            <v>264</v>
          </cell>
          <cell r="D18">
            <v>0</v>
          </cell>
          <cell r="G18">
            <v>457.21499999999997</v>
          </cell>
        </row>
        <row r="19">
          <cell r="C19">
            <v>330</v>
          </cell>
          <cell r="D19">
            <v>0</v>
          </cell>
          <cell r="G19">
            <v>787.21499999999992</v>
          </cell>
        </row>
        <row r="20">
          <cell r="C20">
            <v>242</v>
          </cell>
          <cell r="D20">
            <v>0</v>
          </cell>
          <cell r="G20">
            <v>1029.2149999999999</v>
          </cell>
        </row>
        <row r="21">
          <cell r="C21">
            <v>376.07</v>
          </cell>
          <cell r="D21">
            <v>0</v>
          </cell>
          <cell r="G21">
            <v>1405.2849999999999</v>
          </cell>
        </row>
        <row r="22">
          <cell r="C22">
            <v>110.23</v>
          </cell>
          <cell r="D22">
            <v>16.475000000000001</v>
          </cell>
          <cell r="G22">
            <v>1515.5149999999999</v>
          </cell>
        </row>
        <row r="23">
          <cell r="C23">
            <v>0</v>
          </cell>
          <cell r="D23">
            <v>0</v>
          </cell>
          <cell r="G23">
            <v>1499.04</v>
          </cell>
        </row>
        <row r="24">
          <cell r="C24">
            <v>0</v>
          </cell>
          <cell r="D24">
            <v>0</v>
          </cell>
          <cell r="G24">
            <v>1499.04</v>
          </cell>
        </row>
        <row r="25">
          <cell r="C25">
            <v>0</v>
          </cell>
          <cell r="D25">
            <v>0</v>
          </cell>
          <cell r="G25">
            <v>1499.04</v>
          </cell>
        </row>
        <row r="26">
          <cell r="C26">
            <v>0</v>
          </cell>
          <cell r="D26">
            <v>0</v>
          </cell>
          <cell r="G26">
            <v>1499.04</v>
          </cell>
        </row>
        <row r="27">
          <cell r="C27">
            <v>0</v>
          </cell>
          <cell r="D27">
            <v>0</v>
          </cell>
          <cell r="G27">
            <v>1499.04</v>
          </cell>
        </row>
        <row r="28">
          <cell r="C28">
            <v>0</v>
          </cell>
          <cell r="D28">
            <v>0</v>
          </cell>
          <cell r="G28">
            <v>1499.04</v>
          </cell>
        </row>
        <row r="29">
          <cell r="C29">
            <v>0</v>
          </cell>
          <cell r="D29">
            <v>0</v>
          </cell>
          <cell r="G29">
            <v>1499.04</v>
          </cell>
        </row>
        <row r="30">
          <cell r="C30">
            <v>0</v>
          </cell>
          <cell r="D30">
            <v>0</v>
          </cell>
          <cell r="G30">
            <v>1499.04</v>
          </cell>
        </row>
        <row r="31">
          <cell r="C31">
            <v>0</v>
          </cell>
          <cell r="D31">
            <v>0</v>
          </cell>
          <cell r="G31">
            <v>1499.04</v>
          </cell>
        </row>
        <row r="32">
          <cell r="C32">
            <v>0</v>
          </cell>
          <cell r="D32">
            <v>0</v>
          </cell>
          <cell r="G32">
            <v>1499.04</v>
          </cell>
        </row>
        <row r="33">
          <cell r="C33">
            <v>0</v>
          </cell>
          <cell r="D33">
            <v>0</v>
          </cell>
          <cell r="G33">
            <v>1499.04</v>
          </cell>
        </row>
        <row r="34">
          <cell r="C34">
            <v>0</v>
          </cell>
          <cell r="D34">
            <v>66</v>
          </cell>
          <cell r="G34">
            <v>1499.04</v>
          </cell>
        </row>
        <row r="35">
          <cell r="C35">
            <v>0</v>
          </cell>
          <cell r="D35">
            <v>22</v>
          </cell>
          <cell r="G35">
            <v>1433.04</v>
          </cell>
        </row>
        <row r="36">
          <cell r="C36">
            <v>0</v>
          </cell>
          <cell r="D36">
            <v>66</v>
          </cell>
          <cell r="G36">
            <v>1411.04</v>
          </cell>
        </row>
        <row r="37">
          <cell r="G37">
            <v>28317.590000000011</v>
          </cell>
        </row>
      </sheetData>
      <sheetData sheetId="6"/>
      <sheetData sheetId="7"/>
      <sheetData sheetId="8"/>
      <sheetData sheetId="9">
        <row r="1">
          <cell r="A1">
            <v>46023</v>
          </cell>
        </row>
        <row r="2">
          <cell r="A2">
            <v>46024</v>
          </cell>
        </row>
        <row r="3">
          <cell r="A3">
            <v>46025</v>
          </cell>
        </row>
        <row r="4">
          <cell r="A4">
            <v>46026</v>
          </cell>
        </row>
        <row r="5">
          <cell r="A5">
            <v>46027</v>
          </cell>
        </row>
        <row r="6">
          <cell r="A6">
            <v>46028</v>
          </cell>
        </row>
        <row r="7">
          <cell r="A7">
            <v>46029</v>
          </cell>
        </row>
        <row r="8">
          <cell r="A8">
            <v>46030</v>
          </cell>
        </row>
        <row r="9">
          <cell r="A9">
            <v>46031</v>
          </cell>
        </row>
        <row r="10">
          <cell r="A10">
            <v>46032</v>
          </cell>
        </row>
        <row r="11">
          <cell r="A11">
            <v>46033</v>
          </cell>
        </row>
        <row r="12">
          <cell r="A12">
            <v>46076</v>
          </cell>
        </row>
        <row r="13">
          <cell r="A13">
            <v>46090</v>
          </cell>
        </row>
        <row r="14">
          <cell r="A14">
            <v>46143</v>
          </cell>
        </row>
        <row r="15">
          <cell r="A15">
            <v>46153</v>
          </cell>
        </row>
        <row r="16">
          <cell r="A16">
            <v>46185</v>
          </cell>
        </row>
        <row r="17">
          <cell r="A17">
            <v>46330</v>
          </cell>
        </row>
        <row r="18">
          <cell r="A18">
            <v>46387</v>
          </cell>
        </row>
        <row r="19">
          <cell r="A19"/>
        </row>
        <row r="20">
          <cell r="A20"/>
        </row>
        <row r="21">
          <cell r="A21"/>
        </row>
        <row r="22">
          <cell r="A22"/>
        </row>
        <row r="23">
          <cell r="A23"/>
        </row>
        <row r="24">
          <cell r="A24"/>
        </row>
        <row r="25">
          <cell r="A25"/>
        </row>
        <row r="26">
          <cell r="A26"/>
        </row>
        <row r="27">
          <cell r="A27"/>
        </row>
        <row r="28">
          <cell r="A28"/>
        </row>
        <row r="29">
          <cell r="A29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Установка"/>
      <sheetName val="Set"/>
    </sheetNames>
    <definedNames>
      <definedName name="o1110010110100111011.o0100000011011010000"/>
    </defined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7">
          <cell r="D7"/>
          <cell r="F7"/>
          <cell r="I7"/>
        </row>
        <row r="8">
          <cell r="D8"/>
          <cell r="F8"/>
        </row>
        <row r="9">
          <cell r="D9"/>
          <cell r="F9"/>
        </row>
        <row r="10">
          <cell r="D10"/>
          <cell r="F10"/>
        </row>
        <row r="11">
          <cell r="D11"/>
          <cell r="F11"/>
        </row>
        <row r="12">
          <cell r="D12"/>
          <cell r="F12"/>
        </row>
        <row r="13">
          <cell r="D13"/>
          <cell r="F13"/>
        </row>
        <row r="14">
          <cell r="D14"/>
          <cell r="F14"/>
        </row>
        <row r="15">
          <cell r="D15"/>
          <cell r="F15"/>
        </row>
        <row r="16">
          <cell r="D16"/>
          <cell r="F16"/>
        </row>
        <row r="17">
          <cell r="D17"/>
          <cell r="F17"/>
        </row>
        <row r="18">
          <cell r="D18"/>
          <cell r="F18"/>
        </row>
        <row r="19">
          <cell r="D19"/>
          <cell r="F19"/>
        </row>
        <row r="20">
          <cell r="D20"/>
          <cell r="F20"/>
        </row>
        <row r="21">
          <cell r="D21"/>
          <cell r="F21"/>
        </row>
        <row r="22">
          <cell r="D22"/>
          <cell r="F22"/>
        </row>
        <row r="23">
          <cell r="D23"/>
          <cell r="F23"/>
        </row>
        <row r="24">
          <cell r="D24"/>
          <cell r="F24"/>
        </row>
        <row r="25">
          <cell r="D25"/>
          <cell r="F25"/>
        </row>
        <row r="26">
          <cell r="D26"/>
          <cell r="F26"/>
        </row>
        <row r="27">
          <cell r="D27"/>
          <cell r="F27"/>
        </row>
        <row r="28">
          <cell r="D28"/>
          <cell r="F28"/>
        </row>
        <row r="29">
          <cell r="D29"/>
          <cell r="F29"/>
        </row>
        <row r="30">
          <cell r="D30"/>
          <cell r="F30"/>
        </row>
        <row r="31">
          <cell r="D31"/>
          <cell r="F31"/>
        </row>
        <row r="32">
          <cell r="D32"/>
          <cell r="F32"/>
        </row>
        <row r="33">
          <cell r="D33"/>
          <cell r="F33"/>
        </row>
        <row r="34">
          <cell r="D34"/>
          <cell r="F34"/>
        </row>
        <row r="35">
          <cell r="D35"/>
          <cell r="F35"/>
        </row>
      </sheetData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C9C1-545B-410A-9C0F-05066B3FCE29}">
  <sheetPr codeName="Лист1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CE0-7F95-41FB-9CF5-56FC08E5E7BC}">
  <sheetPr codeName="Лист2"/>
  <dimension ref="A1:T40"/>
  <sheetViews>
    <sheetView topLeftCell="A7" workbookViewId="0">
      <selection activeCell="T38" sqref="T38"/>
    </sheetView>
  </sheetViews>
  <sheetFormatPr defaultRowHeight="15"/>
  <cols>
    <col min="1" max="1" width="9.19921875" style="2" bestFit="1" customWidth="1"/>
    <col min="2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A1" s="1">
        <f>T37</f>
        <v>461628.96019200003</v>
      </c>
      <c r="I1" s="3"/>
    </row>
    <row r="2" spans="1:20" ht="28.9" customHeight="1">
      <c r="A2" s="208" t="str">
        <f>"Отчет по хранению товара за " &amp; TEXT(B5,"ММММ ГГГГ")</f>
        <v>Отчет по хранению товара за Январь 2026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5</v>
      </c>
      <c r="H3" s="209" t="s">
        <v>6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6">
        <v>1</v>
      </c>
      <c r="B5" s="216">
        <v>46023</v>
      </c>
      <c r="C5" s="217"/>
      <c r="D5" s="7"/>
      <c r="E5" s="7"/>
      <c r="F5" s="8">
        <f>78.4245+D5-E5</f>
        <v>78.424499999999995</v>
      </c>
      <c r="G5" s="9">
        <f>IF(OR(B5="",NOT(ISERROR(SEARCH("KPI",$A$2))),NOT(ISERROR(SEARCH("Полиом",$A$2)))),0,IF(70-F5&lt;=0,0,70-F5))</f>
        <v>0</v>
      </c>
      <c r="H5" s="9"/>
      <c r="I5" s="10"/>
      <c r="J5" s="10"/>
      <c r="K5" s="11"/>
      <c r="L5" s="12">
        <f>SUM(K5*240)</f>
        <v>0</v>
      </c>
      <c r="M5" s="12">
        <f>SUM(D5*120)</f>
        <v>0</v>
      </c>
      <c r="N5" s="12">
        <f>SUM(E5*120)</f>
        <v>0</v>
      </c>
      <c r="O5" s="12">
        <f>SUM(F5*54)</f>
        <v>4234.9229999999998</v>
      </c>
      <c r="P5" s="12">
        <f>SUM(G5*54)</f>
        <v>0</v>
      </c>
      <c r="Q5" s="12">
        <f>SUM(H5*120)</f>
        <v>0</v>
      </c>
      <c r="R5" s="12">
        <f>SUM(I5*1000)</f>
        <v>0</v>
      </c>
      <c r="S5" s="12">
        <f>SUM(J5*140)</f>
        <v>0</v>
      </c>
      <c r="T5" s="12">
        <f>SUM(L5:S5)</f>
        <v>4234.9229999999998</v>
      </c>
    </row>
    <row r="6" spans="1:20">
      <c r="A6" s="13">
        <v>2</v>
      </c>
      <c r="B6" s="216">
        <v>46024</v>
      </c>
      <c r="C6" s="217"/>
      <c r="D6" s="7"/>
      <c r="E6" s="7"/>
      <c r="F6" s="8">
        <f>F5-E6+D6</f>
        <v>78.424499999999995</v>
      </c>
      <c r="G6" s="9">
        <f t="shared" ref="G6:G33" si="0">IF(OR(B6="",NOT(ISERROR(SEARCH("KPI",$A$2))),NOT(ISERROR(SEARCH("Полиом",$A$2)))),0,IF(70-F6&lt;=0,0,70-F6))</f>
        <v>0</v>
      </c>
      <c r="H6" s="9"/>
      <c r="I6" s="10"/>
      <c r="J6" s="10"/>
      <c r="K6" s="11"/>
      <c r="L6" s="12">
        <f t="shared" ref="L6:L35" si="1">SUM(K6*240)</f>
        <v>0</v>
      </c>
      <c r="M6" s="12">
        <f t="shared" ref="M6:N35" si="2">SUM(D6*120)</f>
        <v>0</v>
      </c>
      <c r="N6" s="12">
        <f t="shared" si="2"/>
        <v>0</v>
      </c>
      <c r="O6" s="12">
        <f t="shared" ref="O6:P35" si="3">SUM(F6*54)</f>
        <v>4234.9229999999998</v>
      </c>
      <c r="P6" s="12">
        <f t="shared" si="3"/>
        <v>0</v>
      </c>
      <c r="Q6" s="12">
        <f t="shared" ref="Q6:Q35" si="4">SUM(H6*120)</f>
        <v>0</v>
      </c>
      <c r="R6" s="12">
        <f t="shared" ref="R6:R35" si="5">SUM(I6*1000)</f>
        <v>0</v>
      </c>
      <c r="S6" s="12">
        <f t="shared" ref="S6:S35" si="6">SUM(J6*140)</f>
        <v>0</v>
      </c>
      <c r="T6" s="12">
        <f t="shared" ref="T6:T35" si="7">SUM(L6:S6)</f>
        <v>4234.9229999999998</v>
      </c>
    </row>
    <row r="7" spans="1:20">
      <c r="A7" s="13">
        <v>3</v>
      </c>
      <c r="B7" s="216">
        <v>46025</v>
      </c>
      <c r="C7" s="217"/>
      <c r="D7" s="7"/>
      <c r="E7" s="7"/>
      <c r="F7" s="8">
        <f t="shared" ref="F7:F31" si="8">F6-E7+D7</f>
        <v>78.424499999999995</v>
      </c>
      <c r="G7" s="9">
        <f t="shared" si="0"/>
        <v>0</v>
      </c>
      <c r="H7" s="9"/>
      <c r="I7" s="10"/>
      <c r="J7" s="10"/>
      <c r="K7" s="11"/>
      <c r="L7" s="12">
        <f t="shared" si="1"/>
        <v>0</v>
      </c>
      <c r="M7" s="12">
        <f t="shared" si="2"/>
        <v>0</v>
      </c>
      <c r="N7" s="12">
        <f t="shared" si="2"/>
        <v>0</v>
      </c>
      <c r="O7" s="12">
        <f t="shared" si="3"/>
        <v>4234.9229999999998</v>
      </c>
      <c r="P7" s="12">
        <f t="shared" si="3"/>
        <v>0</v>
      </c>
      <c r="Q7" s="12">
        <f t="shared" si="4"/>
        <v>0</v>
      </c>
      <c r="R7" s="12">
        <f t="shared" si="5"/>
        <v>0</v>
      </c>
      <c r="S7" s="12">
        <f t="shared" si="6"/>
        <v>0</v>
      </c>
      <c r="T7" s="12">
        <f t="shared" si="7"/>
        <v>4234.9229999999998</v>
      </c>
    </row>
    <row r="8" spans="1:20">
      <c r="A8" s="13">
        <v>4</v>
      </c>
      <c r="B8" s="216">
        <v>46026</v>
      </c>
      <c r="C8" s="217"/>
      <c r="D8" s="7"/>
      <c r="E8" s="7"/>
      <c r="F8" s="8">
        <f t="shared" si="8"/>
        <v>78.424499999999995</v>
      </c>
      <c r="G8" s="9">
        <f t="shared" si="0"/>
        <v>0</v>
      </c>
      <c r="H8" s="9"/>
      <c r="I8" s="10"/>
      <c r="J8" s="10"/>
      <c r="K8" s="11"/>
      <c r="L8" s="12">
        <f t="shared" si="1"/>
        <v>0</v>
      </c>
      <c r="M8" s="12">
        <f t="shared" si="2"/>
        <v>0</v>
      </c>
      <c r="N8" s="12">
        <f t="shared" si="2"/>
        <v>0</v>
      </c>
      <c r="O8" s="12">
        <f t="shared" si="3"/>
        <v>4234.9229999999998</v>
      </c>
      <c r="P8" s="12">
        <f t="shared" si="3"/>
        <v>0</v>
      </c>
      <c r="Q8" s="12">
        <f t="shared" si="4"/>
        <v>0</v>
      </c>
      <c r="R8" s="12">
        <f t="shared" si="5"/>
        <v>0</v>
      </c>
      <c r="S8" s="12">
        <f t="shared" si="6"/>
        <v>0</v>
      </c>
      <c r="T8" s="12">
        <f t="shared" si="7"/>
        <v>4234.9229999999998</v>
      </c>
    </row>
    <row r="9" spans="1:20">
      <c r="A9" s="13">
        <v>5</v>
      </c>
      <c r="B9" s="216">
        <v>46027</v>
      </c>
      <c r="C9" s="217"/>
      <c r="D9" s="7"/>
      <c r="E9" s="7"/>
      <c r="F9" s="8">
        <f t="shared" si="8"/>
        <v>78.424499999999995</v>
      </c>
      <c r="G9" s="9">
        <f t="shared" si="0"/>
        <v>0</v>
      </c>
      <c r="H9" s="9"/>
      <c r="I9" s="10"/>
      <c r="J9" s="10"/>
      <c r="K9" s="11"/>
      <c r="L9" s="12">
        <f t="shared" si="1"/>
        <v>0</v>
      </c>
      <c r="M9" s="12">
        <f t="shared" si="2"/>
        <v>0</v>
      </c>
      <c r="N9" s="12">
        <f t="shared" si="2"/>
        <v>0</v>
      </c>
      <c r="O9" s="12">
        <f t="shared" si="3"/>
        <v>4234.9229999999998</v>
      </c>
      <c r="P9" s="12">
        <f t="shared" si="3"/>
        <v>0</v>
      </c>
      <c r="Q9" s="12">
        <f t="shared" si="4"/>
        <v>0</v>
      </c>
      <c r="R9" s="12">
        <f t="shared" si="5"/>
        <v>0</v>
      </c>
      <c r="S9" s="12">
        <f t="shared" si="6"/>
        <v>0</v>
      </c>
      <c r="T9" s="12">
        <f t="shared" si="7"/>
        <v>4234.9229999999998</v>
      </c>
    </row>
    <row r="10" spans="1:20">
      <c r="A10" s="13">
        <v>6</v>
      </c>
      <c r="B10" s="216">
        <v>46028</v>
      </c>
      <c r="C10" s="217"/>
      <c r="D10" s="14">
        <v>71.745400000000004</v>
      </c>
      <c r="E10" s="15"/>
      <c r="F10" s="8">
        <f t="shared" si="8"/>
        <v>150.16989999999998</v>
      </c>
      <c r="G10" s="9">
        <f t="shared" si="0"/>
        <v>0</v>
      </c>
      <c r="H10" s="9"/>
      <c r="I10" s="10"/>
      <c r="J10" s="10"/>
      <c r="K10" s="11"/>
      <c r="L10" s="12">
        <f t="shared" si="1"/>
        <v>0</v>
      </c>
      <c r="M10" s="12">
        <f t="shared" si="2"/>
        <v>8609.4480000000003</v>
      </c>
      <c r="N10" s="12">
        <f t="shared" si="2"/>
        <v>0</v>
      </c>
      <c r="O10" s="12">
        <f t="shared" si="3"/>
        <v>8109.1745999999994</v>
      </c>
      <c r="P10" s="12">
        <f t="shared" si="3"/>
        <v>0</v>
      </c>
      <c r="Q10" s="12">
        <f t="shared" si="4"/>
        <v>0</v>
      </c>
      <c r="R10" s="12">
        <f t="shared" si="5"/>
        <v>0</v>
      </c>
      <c r="S10" s="12">
        <f t="shared" si="6"/>
        <v>0</v>
      </c>
      <c r="T10" s="12">
        <f t="shared" si="7"/>
        <v>16718.622599999999</v>
      </c>
    </row>
    <row r="11" spans="1:20">
      <c r="A11" s="13">
        <v>7</v>
      </c>
      <c r="B11" s="216">
        <v>46029</v>
      </c>
      <c r="C11" s="217"/>
      <c r="D11" s="14">
        <v>71.578500000000005</v>
      </c>
      <c r="E11" s="15"/>
      <c r="F11" s="8">
        <f t="shared" si="8"/>
        <v>221.7484</v>
      </c>
      <c r="G11" s="9">
        <f t="shared" si="0"/>
        <v>0</v>
      </c>
      <c r="H11" s="9"/>
      <c r="I11" s="10"/>
      <c r="J11" s="10"/>
      <c r="K11" s="11"/>
      <c r="L11" s="12">
        <f t="shared" si="1"/>
        <v>0</v>
      </c>
      <c r="M11" s="12">
        <f t="shared" si="2"/>
        <v>8589.42</v>
      </c>
      <c r="N11" s="12">
        <f t="shared" si="2"/>
        <v>0</v>
      </c>
      <c r="O11" s="12">
        <f t="shared" si="3"/>
        <v>11974.4136</v>
      </c>
      <c r="P11" s="12">
        <f t="shared" si="3"/>
        <v>0</v>
      </c>
      <c r="Q11" s="12">
        <f t="shared" si="4"/>
        <v>0</v>
      </c>
      <c r="R11" s="12">
        <f t="shared" si="5"/>
        <v>0</v>
      </c>
      <c r="S11" s="12">
        <f t="shared" si="6"/>
        <v>0</v>
      </c>
      <c r="T11" s="12">
        <f t="shared" si="7"/>
        <v>20563.833599999998</v>
      </c>
    </row>
    <row r="12" spans="1:20">
      <c r="A12" s="13">
        <v>8</v>
      </c>
      <c r="B12" s="216">
        <v>46030</v>
      </c>
      <c r="C12" s="217"/>
      <c r="D12" s="14">
        <v>35.626899999999999</v>
      </c>
      <c r="E12" s="15"/>
      <c r="F12" s="8">
        <f t="shared" si="8"/>
        <v>257.37529999999998</v>
      </c>
      <c r="G12" s="9">
        <f t="shared" si="0"/>
        <v>0</v>
      </c>
      <c r="H12" s="9"/>
      <c r="I12" s="10"/>
      <c r="J12" s="10"/>
      <c r="K12" s="11"/>
      <c r="L12" s="12">
        <f t="shared" si="1"/>
        <v>0</v>
      </c>
      <c r="M12" s="12">
        <f t="shared" si="2"/>
        <v>4275.2280000000001</v>
      </c>
      <c r="N12" s="12">
        <f t="shared" si="2"/>
        <v>0</v>
      </c>
      <c r="O12" s="12">
        <f t="shared" si="3"/>
        <v>13898.266199999998</v>
      </c>
      <c r="P12" s="12">
        <f t="shared" si="3"/>
        <v>0</v>
      </c>
      <c r="Q12" s="12">
        <f t="shared" si="4"/>
        <v>0</v>
      </c>
      <c r="R12" s="12">
        <f t="shared" si="5"/>
        <v>0</v>
      </c>
      <c r="S12" s="12">
        <f t="shared" si="6"/>
        <v>0</v>
      </c>
      <c r="T12" s="12">
        <f t="shared" si="7"/>
        <v>18173.494199999997</v>
      </c>
    </row>
    <row r="13" spans="1:20">
      <c r="A13" s="13">
        <v>9</v>
      </c>
      <c r="B13" s="216">
        <v>46031</v>
      </c>
      <c r="C13" s="217"/>
      <c r="D13" s="7"/>
      <c r="E13" s="7"/>
      <c r="F13" s="8">
        <f t="shared" si="8"/>
        <v>257.37529999999998</v>
      </c>
      <c r="G13" s="9">
        <f t="shared" si="0"/>
        <v>0</v>
      </c>
      <c r="H13" s="9"/>
      <c r="I13" s="10"/>
      <c r="J13" s="10"/>
      <c r="K13" s="11"/>
      <c r="L13" s="12">
        <f t="shared" si="1"/>
        <v>0</v>
      </c>
      <c r="M13" s="12">
        <f t="shared" si="2"/>
        <v>0</v>
      </c>
      <c r="N13" s="12">
        <f t="shared" si="2"/>
        <v>0</v>
      </c>
      <c r="O13" s="12">
        <f t="shared" si="3"/>
        <v>13898.266199999998</v>
      </c>
      <c r="P13" s="12">
        <f t="shared" si="3"/>
        <v>0</v>
      </c>
      <c r="Q13" s="12">
        <f t="shared" si="4"/>
        <v>0</v>
      </c>
      <c r="R13" s="12">
        <f t="shared" si="5"/>
        <v>0</v>
      </c>
      <c r="S13" s="12">
        <f t="shared" si="6"/>
        <v>0</v>
      </c>
      <c r="T13" s="12">
        <f t="shared" si="7"/>
        <v>13898.266199999998</v>
      </c>
    </row>
    <row r="14" spans="1:20">
      <c r="A14" s="13">
        <v>10</v>
      </c>
      <c r="B14" s="216">
        <v>46032</v>
      </c>
      <c r="C14" s="217"/>
      <c r="D14" s="7"/>
      <c r="E14" s="7"/>
      <c r="F14" s="8">
        <f t="shared" si="8"/>
        <v>257.37529999999998</v>
      </c>
      <c r="G14" s="9">
        <f t="shared" si="0"/>
        <v>0</v>
      </c>
      <c r="H14" s="9"/>
      <c r="I14" s="10"/>
      <c r="J14" s="10"/>
      <c r="K14" s="11"/>
      <c r="L14" s="12">
        <f t="shared" si="1"/>
        <v>0</v>
      </c>
      <c r="M14" s="12">
        <f t="shared" si="2"/>
        <v>0</v>
      </c>
      <c r="N14" s="12">
        <f t="shared" si="2"/>
        <v>0</v>
      </c>
      <c r="O14" s="12">
        <f t="shared" si="3"/>
        <v>13898.266199999998</v>
      </c>
      <c r="P14" s="12">
        <f t="shared" si="3"/>
        <v>0</v>
      </c>
      <c r="Q14" s="12">
        <f t="shared" si="4"/>
        <v>0</v>
      </c>
      <c r="R14" s="12">
        <f t="shared" si="5"/>
        <v>0</v>
      </c>
      <c r="S14" s="12">
        <f t="shared" si="6"/>
        <v>0</v>
      </c>
      <c r="T14" s="12">
        <f t="shared" si="7"/>
        <v>13898.266199999998</v>
      </c>
    </row>
    <row r="15" spans="1:20">
      <c r="A15" s="13">
        <v>11</v>
      </c>
      <c r="B15" s="216">
        <v>46033</v>
      </c>
      <c r="C15" s="217"/>
      <c r="D15" s="7"/>
      <c r="E15" s="7"/>
      <c r="F15" s="8">
        <f t="shared" si="8"/>
        <v>257.37529999999998</v>
      </c>
      <c r="G15" s="9">
        <f t="shared" si="0"/>
        <v>0</v>
      </c>
      <c r="H15" s="9"/>
      <c r="I15" s="10"/>
      <c r="J15" s="10"/>
      <c r="K15" s="11"/>
      <c r="L15" s="12">
        <f t="shared" si="1"/>
        <v>0</v>
      </c>
      <c r="M15" s="12">
        <f t="shared" si="2"/>
        <v>0</v>
      </c>
      <c r="N15" s="12">
        <f t="shared" si="2"/>
        <v>0</v>
      </c>
      <c r="O15" s="12">
        <f t="shared" si="3"/>
        <v>13898.266199999998</v>
      </c>
      <c r="P15" s="12">
        <f t="shared" si="3"/>
        <v>0</v>
      </c>
      <c r="Q15" s="12">
        <f t="shared" si="4"/>
        <v>0</v>
      </c>
      <c r="R15" s="12">
        <f t="shared" si="5"/>
        <v>0</v>
      </c>
      <c r="S15" s="12">
        <f t="shared" si="6"/>
        <v>0</v>
      </c>
      <c r="T15" s="12">
        <f t="shared" si="7"/>
        <v>13898.266199999998</v>
      </c>
    </row>
    <row r="16" spans="1:20">
      <c r="A16" s="13">
        <v>12</v>
      </c>
      <c r="B16" s="216">
        <v>46034</v>
      </c>
      <c r="C16" s="217"/>
      <c r="D16" s="14">
        <v>18.3508</v>
      </c>
      <c r="E16" s="15"/>
      <c r="F16" s="8">
        <f t="shared" si="8"/>
        <v>275.72609999999997</v>
      </c>
      <c r="G16" s="9">
        <f t="shared" si="0"/>
        <v>0</v>
      </c>
      <c r="H16" s="9"/>
      <c r="I16" s="10"/>
      <c r="J16" s="10"/>
      <c r="K16" s="16"/>
      <c r="L16" s="12">
        <f t="shared" si="1"/>
        <v>0</v>
      </c>
      <c r="M16" s="12">
        <f t="shared" si="2"/>
        <v>2202.096</v>
      </c>
      <c r="N16" s="12">
        <f t="shared" si="2"/>
        <v>0</v>
      </c>
      <c r="O16" s="12">
        <f t="shared" si="3"/>
        <v>14889.209399999998</v>
      </c>
      <c r="P16" s="12">
        <f t="shared" si="3"/>
        <v>0</v>
      </c>
      <c r="Q16" s="12">
        <f t="shared" si="4"/>
        <v>0</v>
      </c>
      <c r="R16" s="12">
        <f t="shared" si="5"/>
        <v>0</v>
      </c>
      <c r="S16" s="12">
        <f t="shared" si="6"/>
        <v>0</v>
      </c>
      <c r="T16" s="12">
        <f t="shared" si="7"/>
        <v>17091.305399999997</v>
      </c>
    </row>
    <row r="17" spans="1:20">
      <c r="A17" s="13">
        <v>13</v>
      </c>
      <c r="B17" s="216">
        <v>46035</v>
      </c>
      <c r="C17" s="217"/>
      <c r="D17" s="14">
        <v>36.733400000000003</v>
      </c>
      <c r="E17" s="15"/>
      <c r="F17" s="8">
        <f t="shared" si="8"/>
        <v>312.45949999999999</v>
      </c>
      <c r="G17" s="9">
        <f t="shared" si="0"/>
        <v>0</v>
      </c>
      <c r="H17" s="9"/>
      <c r="I17" s="10"/>
      <c r="J17" s="10"/>
      <c r="K17" s="11"/>
      <c r="L17" s="12">
        <f t="shared" si="1"/>
        <v>0</v>
      </c>
      <c r="M17" s="12">
        <f t="shared" si="2"/>
        <v>4408.0080000000007</v>
      </c>
      <c r="N17" s="12">
        <f t="shared" si="2"/>
        <v>0</v>
      </c>
      <c r="O17" s="12">
        <f t="shared" si="3"/>
        <v>16872.812999999998</v>
      </c>
      <c r="P17" s="12">
        <f t="shared" si="3"/>
        <v>0</v>
      </c>
      <c r="Q17" s="12">
        <f t="shared" si="4"/>
        <v>0</v>
      </c>
      <c r="R17" s="12">
        <f t="shared" si="5"/>
        <v>0</v>
      </c>
      <c r="S17" s="12">
        <f t="shared" si="6"/>
        <v>0</v>
      </c>
      <c r="T17" s="12">
        <f t="shared" si="7"/>
        <v>21280.821</v>
      </c>
    </row>
    <row r="18" spans="1:20">
      <c r="A18" s="13">
        <v>14</v>
      </c>
      <c r="B18" s="216">
        <v>46036</v>
      </c>
      <c r="C18" s="217"/>
      <c r="D18" s="15"/>
      <c r="E18" s="14">
        <v>17.679200000000002</v>
      </c>
      <c r="F18" s="8">
        <f t="shared" si="8"/>
        <v>294.78030000000001</v>
      </c>
      <c r="G18" s="9">
        <f t="shared" si="0"/>
        <v>0</v>
      </c>
      <c r="H18" s="9"/>
      <c r="I18" s="10"/>
      <c r="J18" s="10"/>
      <c r="K18" s="11"/>
      <c r="L18" s="12">
        <f t="shared" si="1"/>
        <v>0</v>
      </c>
      <c r="M18" s="12">
        <f t="shared" si="2"/>
        <v>0</v>
      </c>
      <c r="N18" s="12">
        <f t="shared" si="2"/>
        <v>2121.5040000000004</v>
      </c>
      <c r="O18" s="12">
        <f t="shared" si="3"/>
        <v>15918.136200000001</v>
      </c>
      <c r="P18" s="12">
        <f t="shared" si="3"/>
        <v>0</v>
      </c>
      <c r="Q18" s="12">
        <f t="shared" si="4"/>
        <v>0</v>
      </c>
      <c r="R18" s="12">
        <f t="shared" si="5"/>
        <v>0</v>
      </c>
      <c r="S18" s="12">
        <f t="shared" si="6"/>
        <v>0</v>
      </c>
      <c r="T18" s="12">
        <f t="shared" si="7"/>
        <v>18039.640200000002</v>
      </c>
    </row>
    <row r="19" spans="1:20">
      <c r="A19" s="13">
        <v>15</v>
      </c>
      <c r="B19" s="216">
        <v>46037</v>
      </c>
      <c r="C19" s="217"/>
      <c r="D19" s="15"/>
      <c r="E19" s="14">
        <v>9.3881999999999994</v>
      </c>
      <c r="F19" s="8">
        <f t="shared" si="8"/>
        <v>285.39210000000003</v>
      </c>
      <c r="G19" s="9">
        <f t="shared" si="0"/>
        <v>0</v>
      </c>
      <c r="H19" s="9"/>
      <c r="I19" s="10"/>
      <c r="J19" s="10"/>
      <c r="K19" s="11"/>
      <c r="L19" s="12">
        <f t="shared" si="1"/>
        <v>0</v>
      </c>
      <c r="M19" s="12">
        <f t="shared" si="2"/>
        <v>0</v>
      </c>
      <c r="N19" s="12">
        <f t="shared" si="2"/>
        <v>1126.5839999999998</v>
      </c>
      <c r="O19" s="12">
        <f t="shared" si="3"/>
        <v>15411.173400000001</v>
      </c>
      <c r="P19" s="12">
        <f t="shared" si="3"/>
        <v>0</v>
      </c>
      <c r="Q19" s="12">
        <f t="shared" si="4"/>
        <v>0</v>
      </c>
      <c r="R19" s="12">
        <f t="shared" si="5"/>
        <v>0</v>
      </c>
      <c r="S19" s="12">
        <f t="shared" si="6"/>
        <v>0</v>
      </c>
      <c r="T19" s="12">
        <f t="shared" si="7"/>
        <v>16537.757400000002</v>
      </c>
    </row>
    <row r="20" spans="1:20">
      <c r="A20" s="13">
        <v>16</v>
      </c>
      <c r="B20" s="216">
        <v>46038</v>
      </c>
      <c r="C20" s="217"/>
      <c r="D20" s="15"/>
      <c r="E20" s="14">
        <v>12.4938</v>
      </c>
      <c r="F20" s="8">
        <f t="shared" si="8"/>
        <v>272.89830000000001</v>
      </c>
      <c r="G20" s="9">
        <f t="shared" si="0"/>
        <v>0</v>
      </c>
      <c r="H20" s="9"/>
      <c r="I20" s="10"/>
      <c r="J20" s="10"/>
      <c r="K20" s="11"/>
      <c r="L20" s="12">
        <f t="shared" si="1"/>
        <v>0</v>
      </c>
      <c r="M20" s="12">
        <f t="shared" si="2"/>
        <v>0</v>
      </c>
      <c r="N20" s="12">
        <f t="shared" si="2"/>
        <v>1499.2560000000001</v>
      </c>
      <c r="O20" s="12">
        <f t="shared" si="3"/>
        <v>14736.5082</v>
      </c>
      <c r="P20" s="12">
        <f t="shared" si="3"/>
        <v>0</v>
      </c>
      <c r="Q20" s="12">
        <f t="shared" si="4"/>
        <v>0</v>
      </c>
      <c r="R20" s="12">
        <f t="shared" si="5"/>
        <v>0</v>
      </c>
      <c r="S20" s="12">
        <f t="shared" si="6"/>
        <v>0</v>
      </c>
      <c r="T20" s="12">
        <f t="shared" si="7"/>
        <v>16235.7642</v>
      </c>
    </row>
    <row r="21" spans="1:20">
      <c r="A21" s="13">
        <v>17</v>
      </c>
      <c r="B21" s="216">
        <v>46039</v>
      </c>
      <c r="C21" s="217"/>
      <c r="D21" s="7"/>
      <c r="E21" s="7"/>
      <c r="F21" s="8">
        <f t="shared" si="8"/>
        <v>272.89830000000001</v>
      </c>
      <c r="G21" s="9">
        <f t="shared" si="0"/>
        <v>0</v>
      </c>
      <c r="H21" s="9"/>
      <c r="I21" s="10"/>
      <c r="J21" s="10"/>
      <c r="K21" s="11"/>
      <c r="L21" s="12">
        <f t="shared" si="1"/>
        <v>0</v>
      </c>
      <c r="M21" s="12">
        <f t="shared" si="2"/>
        <v>0</v>
      </c>
      <c r="N21" s="12">
        <f t="shared" si="2"/>
        <v>0</v>
      </c>
      <c r="O21" s="12">
        <f t="shared" si="3"/>
        <v>14736.5082</v>
      </c>
      <c r="P21" s="12">
        <f t="shared" si="3"/>
        <v>0</v>
      </c>
      <c r="Q21" s="12">
        <f t="shared" si="4"/>
        <v>0</v>
      </c>
      <c r="R21" s="12">
        <f t="shared" si="5"/>
        <v>0</v>
      </c>
      <c r="S21" s="12">
        <f t="shared" si="6"/>
        <v>0</v>
      </c>
      <c r="T21" s="12">
        <f t="shared" si="7"/>
        <v>14736.5082</v>
      </c>
    </row>
    <row r="22" spans="1:20">
      <c r="A22" s="13">
        <v>18</v>
      </c>
      <c r="B22" s="216">
        <v>46040</v>
      </c>
      <c r="C22" s="217"/>
      <c r="D22" s="7"/>
      <c r="E22" s="7"/>
      <c r="F22" s="8">
        <f t="shared" si="8"/>
        <v>272.89830000000001</v>
      </c>
      <c r="G22" s="9">
        <f t="shared" si="0"/>
        <v>0</v>
      </c>
      <c r="H22" s="9"/>
      <c r="I22" s="10"/>
      <c r="J22" s="10"/>
      <c r="K22" s="11"/>
      <c r="L22" s="12">
        <f t="shared" si="1"/>
        <v>0</v>
      </c>
      <c r="M22" s="12">
        <f t="shared" si="2"/>
        <v>0</v>
      </c>
      <c r="N22" s="12">
        <f t="shared" si="2"/>
        <v>0</v>
      </c>
      <c r="O22" s="12">
        <f t="shared" si="3"/>
        <v>14736.5082</v>
      </c>
      <c r="P22" s="12">
        <f t="shared" si="3"/>
        <v>0</v>
      </c>
      <c r="Q22" s="12">
        <f t="shared" si="4"/>
        <v>0</v>
      </c>
      <c r="R22" s="12">
        <f t="shared" si="5"/>
        <v>0</v>
      </c>
      <c r="S22" s="12">
        <f t="shared" si="6"/>
        <v>0</v>
      </c>
      <c r="T22" s="12">
        <f t="shared" si="7"/>
        <v>14736.5082</v>
      </c>
    </row>
    <row r="23" spans="1:20">
      <c r="A23" s="13">
        <v>19</v>
      </c>
      <c r="B23" s="216">
        <v>46041</v>
      </c>
      <c r="C23" s="217"/>
      <c r="D23" s="15"/>
      <c r="E23" s="14">
        <v>22.313800000000001</v>
      </c>
      <c r="F23" s="8">
        <f t="shared" si="8"/>
        <v>250.58449999999999</v>
      </c>
      <c r="G23" s="9">
        <f t="shared" si="0"/>
        <v>0</v>
      </c>
      <c r="H23" s="9"/>
      <c r="I23" s="10"/>
      <c r="J23" s="10"/>
      <c r="K23" s="11"/>
      <c r="L23" s="12">
        <f t="shared" si="1"/>
        <v>0</v>
      </c>
      <c r="M23" s="12">
        <f t="shared" si="2"/>
        <v>0</v>
      </c>
      <c r="N23" s="12">
        <f t="shared" si="2"/>
        <v>2677.6559999999999</v>
      </c>
      <c r="O23" s="12">
        <f t="shared" si="3"/>
        <v>13531.563</v>
      </c>
      <c r="P23" s="12">
        <f t="shared" si="3"/>
        <v>0</v>
      </c>
      <c r="Q23" s="12">
        <f t="shared" si="4"/>
        <v>0</v>
      </c>
      <c r="R23" s="12">
        <f t="shared" si="5"/>
        <v>0</v>
      </c>
      <c r="S23" s="12">
        <f t="shared" si="6"/>
        <v>0</v>
      </c>
      <c r="T23" s="12">
        <f t="shared" si="7"/>
        <v>16209.219000000001</v>
      </c>
    </row>
    <row r="24" spans="1:20">
      <c r="A24" s="13">
        <v>20</v>
      </c>
      <c r="B24" s="216">
        <v>46042</v>
      </c>
      <c r="C24" s="217"/>
      <c r="D24" s="7"/>
      <c r="E24" s="7"/>
      <c r="F24" s="8">
        <f t="shared" si="8"/>
        <v>250.58449999999999</v>
      </c>
      <c r="G24" s="9">
        <f t="shared" si="0"/>
        <v>0</v>
      </c>
      <c r="H24" s="9"/>
      <c r="I24" s="10"/>
      <c r="J24" s="10"/>
      <c r="K24" s="11"/>
      <c r="L24" s="12">
        <f t="shared" si="1"/>
        <v>0</v>
      </c>
      <c r="M24" s="12">
        <f t="shared" si="2"/>
        <v>0</v>
      </c>
      <c r="N24" s="12">
        <f t="shared" si="2"/>
        <v>0</v>
      </c>
      <c r="O24" s="12">
        <f t="shared" si="3"/>
        <v>13531.563</v>
      </c>
      <c r="P24" s="12">
        <f t="shared" si="3"/>
        <v>0</v>
      </c>
      <c r="Q24" s="12">
        <f t="shared" si="4"/>
        <v>0</v>
      </c>
      <c r="R24" s="12">
        <f t="shared" si="5"/>
        <v>0</v>
      </c>
      <c r="S24" s="12">
        <f t="shared" si="6"/>
        <v>0</v>
      </c>
      <c r="T24" s="12">
        <f t="shared" si="7"/>
        <v>13531.563</v>
      </c>
    </row>
    <row r="25" spans="1:20">
      <c r="A25" s="13">
        <v>21</v>
      </c>
      <c r="B25" s="216">
        <v>46043</v>
      </c>
      <c r="C25" s="217"/>
      <c r="D25" s="15"/>
      <c r="E25" s="14">
        <v>22.0059</v>
      </c>
      <c r="F25" s="8">
        <f t="shared" si="8"/>
        <v>228.57859999999999</v>
      </c>
      <c r="G25" s="9">
        <f t="shared" si="0"/>
        <v>0</v>
      </c>
      <c r="H25" s="9"/>
      <c r="I25" s="10"/>
      <c r="J25" s="10"/>
      <c r="K25" s="11"/>
      <c r="L25" s="12">
        <f t="shared" si="1"/>
        <v>0</v>
      </c>
      <c r="M25" s="12">
        <f t="shared" si="2"/>
        <v>0</v>
      </c>
      <c r="N25" s="12">
        <f t="shared" si="2"/>
        <v>2640.7080000000001</v>
      </c>
      <c r="O25" s="12">
        <f t="shared" si="3"/>
        <v>12343.2444</v>
      </c>
      <c r="P25" s="12">
        <f t="shared" si="3"/>
        <v>0</v>
      </c>
      <c r="Q25" s="12">
        <f t="shared" si="4"/>
        <v>0</v>
      </c>
      <c r="R25" s="12">
        <f t="shared" si="5"/>
        <v>0</v>
      </c>
      <c r="S25" s="12">
        <f t="shared" si="6"/>
        <v>0</v>
      </c>
      <c r="T25" s="12">
        <f t="shared" si="7"/>
        <v>14983.9524</v>
      </c>
    </row>
    <row r="26" spans="1:20">
      <c r="A26" s="13">
        <v>22</v>
      </c>
      <c r="B26" s="216">
        <v>46044</v>
      </c>
      <c r="C26" s="217"/>
      <c r="D26" s="15"/>
      <c r="E26" s="14">
        <v>40.745699999999999</v>
      </c>
      <c r="F26" s="8">
        <f t="shared" si="8"/>
        <v>187.8329</v>
      </c>
      <c r="G26" s="9">
        <f t="shared" si="0"/>
        <v>0</v>
      </c>
      <c r="H26" s="9"/>
      <c r="I26" s="10"/>
      <c r="J26" s="10"/>
      <c r="K26" s="11"/>
      <c r="L26" s="12">
        <f t="shared" si="1"/>
        <v>0</v>
      </c>
      <c r="M26" s="12">
        <f t="shared" si="2"/>
        <v>0</v>
      </c>
      <c r="N26" s="12">
        <f t="shared" si="2"/>
        <v>4889.4840000000004</v>
      </c>
      <c r="O26" s="12">
        <f t="shared" si="3"/>
        <v>10142.9766</v>
      </c>
      <c r="P26" s="12">
        <f t="shared" si="3"/>
        <v>0</v>
      </c>
      <c r="Q26" s="12">
        <f t="shared" si="4"/>
        <v>0</v>
      </c>
      <c r="R26" s="12">
        <f t="shared" si="5"/>
        <v>0</v>
      </c>
      <c r="S26" s="12">
        <f t="shared" si="6"/>
        <v>0</v>
      </c>
      <c r="T26" s="12">
        <f t="shared" si="7"/>
        <v>15032.4606</v>
      </c>
    </row>
    <row r="27" spans="1:20">
      <c r="A27" s="13">
        <v>23</v>
      </c>
      <c r="B27" s="216">
        <v>46045</v>
      </c>
      <c r="C27" s="217"/>
      <c r="D27" s="15"/>
      <c r="E27" s="17">
        <v>18.148</v>
      </c>
      <c r="F27" s="8">
        <f t="shared" si="8"/>
        <v>169.6849</v>
      </c>
      <c r="G27" s="9">
        <f t="shared" si="0"/>
        <v>0</v>
      </c>
      <c r="H27" s="9"/>
      <c r="I27" s="10"/>
      <c r="J27" s="10"/>
      <c r="K27" s="11"/>
      <c r="L27" s="12">
        <f t="shared" si="1"/>
        <v>0</v>
      </c>
      <c r="M27" s="12">
        <f t="shared" si="2"/>
        <v>0</v>
      </c>
      <c r="N27" s="12">
        <f t="shared" si="2"/>
        <v>2177.7599999999998</v>
      </c>
      <c r="O27" s="12">
        <f t="shared" si="3"/>
        <v>9162.9845999999998</v>
      </c>
      <c r="P27" s="12">
        <f t="shared" si="3"/>
        <v>0</v>
      </c>
      <c r="Q27" s="12">
        <f t="shared" si="4"/>
        <v>0</v>
      </c>
      <c r="R27" s="12">
        <f t="shared" si="5"/>
        <v>0</v>
      </c>
      <c r="S27" s="12">
        <f t="shared" si="6"/>
        <v>0</v>
      </c>
      <c r="T27" s="12">
        <f t="shared" si="7"/>
        <v>11340.7446</v>
      </c>
    </row>
    <row r="28" spans="1:20">
      <c r="A28" s="13">
        <v>24</v>
      </c>
      <c r="B28" s="216">
        <v>46046</v>
      </c>
      <c r="C28" s="217"/>
      <c r="D28" s="7"/>
      <c r="E28" s="7"/>
      <c r="F28" s="8">
        <f t="shared" si="8"/>
        <v>169.6849</v>
      </c>
      <c r="G28" s="9">
        <f t="shared" si="0"/>
        <v>0</v>
      </c>
      <c r="H28" s="9"/>
      <c r="I28" s="10"/>
      <c r="J28" s="10"/>
      <c r="K28" s="11"/>
      <c r="L28" s="12">
        <f t="shared" si="1"/>
        <v>0</v>
      </c>
      <c r="M28" s="12">
        <f t="shared" si="2"/>
        <v>0</v>
      </c>
      <c r="N28" s="12">
        <f t="shared" si="2"/>
        <v>0</v>
      </c>
      <c r="O28" s="12">
        <f t="shared" si="3"/>
        <v>9162.9845999999998</v>
      </c>
      <c r="P28" s="12">
        <f t="shared" si="3"/>
        <v>0</v>
      </c>
      <c r="Q28" s="12">
        <f t="shared" si="4"/>
        <v>0</v>
      </c>
      <c r="R28" s="12">
        <f t="shared" si="5"/>
        <v>0</v>
      </c>
      <c r="S28" s="12">
        <f t="shared" si="6"/>
        <v>0</v>
      </c>
      <c r="T28" s="12">
        <f t="shared" si="7"/>
        <v>9162.9845999999998</v>
      </c>
    </row>
    <row r="29" spans="1:20">
      <c r="A29" s="13">
        <v>25</v>
      </c>
      <c r="B29" s="216">
        <v>46047</v>
      </c>
      <c r="C29" s="217"/>
      <c r="D29" s="7"/>
      <c r="E29" s="7"/>
      <c r="F29" s="8">
        <f t="shared" si="8"/>
        <v>169.6849</v>
      </c>
      <c r="G29" s="9">
        <f t="shared" si="0"/>
        <v>0</v>
      </c>
      <c r="H29" s="9"/>
      <c r="I29" s="10"/>
      <c r="J29" s="10"/>
      <c r="K29" s="11"/>
      <c r="L29" s="12">
        <f t="shared" si="1"/>
        <v>0</v>
      </c>
      <c r="M29" s="12">
        <f t="shared" si="2"/>
        <v>0</v>
      </c>
      <c r="N29" s="12">
        <f t="shared" si="2"/>
        <v>0</v>
      </c>
      <c r="O29" s="12">
        <f t="shared" si="3"/>
        <v>9162.9845999999998</v>
      </c>
      <c r="P29" s="12">
        <f t="shared" si="3"/>
        <v>0</v>
      </c>
      <c r="Q29" s="12">
        <f t="shared" si="4"/>
        <v>0</v>
      </c>
      <c r="R29" s="12">
        <f t="shared" si="5"/>
        <v>0</v>
      </c>
      <c r="S29" s="12">
        <f t="shared" si="6"/>
        <v>0</v>
      </c>
      <c r="T29" s="12">
        <f t="shared" si="7"/>
        <v>9162.9845999999998</v>
      </c>
    </row>
    <row r="30" spans="1:20">
      <c r="A30" s="13">
        <v>26</v>
      </c>
      <c r="B30" s="216">
        <v>46048</v>
      </c>
      <c r="C30" s="217"/>
      <c r="D30" s="15"/>
      <c r="E30" s="14">
        <v>9.3003</v>
      </c>
      <c r="F30" s="8">
        <f t="shared" si="8"/>
        <v>160.38460000000001</v>
      </c>
      <c r="G30" s="9">
        <f t="shared" si="0"/>
        <v>0</v>
      </c>
      <c r="H30" s="9"/>
      <c r="I30" s="10"/>
      <c r="J30" s="10"/>
      <c r="K30" s="11"/>
      <c r="L30" s="12">
        <f t="shared" si="1"/>
        <v>0</v>
      </c>
      <c r="M30" s="12">
        <f t="shared" si="2"/>
        <v>0</v>
      </c>
      <c r="N30" s="12">
        <f t="shared" si="2"/>
        <v>1116.0360000000001</v>
      </c>
      <c r="O30" s="12">
        <f t="shared" si="3"/>
        <v>8660.7684000000008</v>
      </c>
      <c r="P30" s="12">
        <f t="shared" si="3"/>
        <v>0</v>
      </c>
      <c r="Q30" s="12">
        <f t="shared" si="4"/>
        <v>0</v>
      </c>
      <c r="R30" s="12">
        <f t="shared" si="5"/>
        <v>0</v>
      </c>
      <c r="S30" s="12">
        <f t="shared" si="6"/>
        <v>0</v>
      </c>
      <c r="T30" s="12">
        <f t="shared" si="7"/>
        <v>9776.8044000000009</v>
      </c>
    </row>
    <row r="31" spans="1:20">
      <c r="A31" s="13">
        <v>27</v>
      </c>
      <c r="B31" s="216">
        <v>46049</v>
      </c>
      <c r="C31" s="217"/>
      <c r="D31" s="15"/>
      <c r="E31" s="14">
        <v>3.8719000000000001</v>
      </c>
      <c r="F31" s="8">
        <f t="shared" si="8"/>
        <v>156.5127</v>
      </c>
      <c r="G31" s="9">
        <f t="shared" si="0"/>
        <v>0</v>
      </c>
      <c r="H31" s="9"/>
      <c r="I31" s="10"/>
      <c r="J31" s="10"/>
      <c r="K31" s="11"/>
      <c r="L31" s="12">
        <f t="shared" si="1"/>
        <v>0</v>
      </c>
      <c r="M31" s="12">
        <f t="shared" si="2"/>
        <v>0</v>
      </c>
      <c r="N31" s="12">
        <f t="shared" si="2"/>
        <v>464.62800000000004</v>
      </c>
      <c r="O31" s="12">
        <f t="shared" si="3"/>
        <v>8451.6857999999993</v>
      </c>
      <c r="P31" s="12">
        <f t="shared" si="3"/>
        <v>0</v>
      </c>
      <c r="Q31" s="12">
        <f t="shared" si="4"/>
        <v>0</v>
      </c>
      <c r="R31" s="12">
        <f t="shared" si="5"/>
        <v>0</v>
      </c>
      <c r="S31" s="12">
        <f t="shared" si="6"/>
        <v>0</v>
      </c>
      <c r="T31" s="12">
        <f t="shared" si="7"/>
        <v>8916.3137999999999</v>
      </c>
    </row>
    <row r="32" spans="1:20">
      <c r="A32" s="13">
        <v>28</v>
      </c>
      <c r="B32" s="216">
        <v>46050</v>
      </c>
      <c r="C32" s="217"/>
      <c r="D32" s="7"/>
      <c r="E32" s="7"/>
      <c r="F32" s="8">
        <f>F31-E32+D32</f>
        <v>156.5127</v>
      </c>
      <c r="G32" s="9">
        <f t="shared" si="0"/>
        <v>0</v>
      </c>
      <c r="H32" s="9"/>
      <c r="I32" s="10"/>
      <c r="J32" s="10"/>
      <c r="K32" s="11"/>
      <c r="L32" s="12">
        <f t="shared" si="1"/>
        <v>0</v>
      </c>
      <c r="M32" s="12">
        <f t="shared" si="2"/>
        <v>0</v>
      </c>
      <c r="N32" s="12">
        <f t="shared" si="2"/>
        <v>0</v>
      </c>
      <c r="O32" s="12">
        <f t="shared" si="3"/>
        <v>8451.6857999999993</v>
      </c>
      <c r="P32" s="12">
        <f t="shared" si="3"/>
        <v>0</v>
      </c>
      <c r="Q32" s="12">
        <f t="shared" si="4"/>
        <v>0</v>
      </c>
      <c r="R32" s="12">
        <f t="shared" si="5"/>
        <v>0</v>
      </c>
      <c r="S32" s="12">
        <f t="shared" si="6"/>
        <v>0</v>
      </c>
      <c r="T32" s="12">
        <f t="shared" si="7"/>
        <v>8451.6857999999993</v>
      </c>
    </row>
    <row r="33" spans="1:20">
      <c r="A33" s="13">
        <v>29</v>
      </c>
      <c r="B33" s="216">
        <v>46051</v>
      </c>
      <c r="C33" s="217"/>
      <c r="D33" s="15"/>
      <c r="E33" s="14">
        <v>17.501799999999999</v>
      </c>
      <c r="F33" s="8">
        <f t="shared" ref="F33" si="9">F32-E33+D33</f>
        <v>139.01089999999999</v>
      </c>
      <c r="G33" s="9">
        <f t="shared" si="0"/>
        <v>0</v>
      </c>
      <c r="H33" s="9"/>
      <c r="I33" s="10"/>
      <c r="J33" s="10"/>
      <c r="K33" s="11"/>
      <c r="L33" s="12">
        <f t="shared" si="1"/>
        <v>0</v>
      </c>
      <c r="M33" s="12">
        <f t="shared" si="2"/>
        <v>0</v>
      </c>
      <c r="N33" s="12">
        <f t="shared" si="2"/>
        <v>2100.2159999999999</v>
      </c>
      <c r="O33" s="12">
        <f t="shared" si="3"/>
        <v>7506.5885999999991</v>
      </c>
      <c r="P33" s="12">
        <f t="shared" si="3"/>
        <v>0</v>
      </c>
      <c r="Q33" s="12">
        <f t="shared" si="4"/>
        <v>0</v>
      </c>
      <c r="R33" s="12">
        <f t="shared" si="5"/>
        <v>0</v>
      </c>
      <c r="S33" s="12">
        <f t="shared" si="6"/>
        <v>0</v>
      </c>
      <c r="T33" s="12">
        <f t="shared" si="7"/>
        <v>9606.8045999999995</v>
      </c>
    </row>
    <row r="34" spans="1:20">
      <c r="A34" s="13">
        <v>30</v>
      </c>
      <c r="B34" s="216">
        <v>46052</v>
      </c>
      <c r="C34" s="217"/>
      <c r="D34" s="15"/>
      <c r="E34" s="14">
        <v>17.6692</v>
      </c>
      <c r="F34" s="8">
        <f>F33-E34+D34</f>
        <v>121.34169999999999</v>
      </c>
      <c r="G34" s="9">
        <f>IF(OR(B34="",NOT(ISERROR(SEARCH("KPI",$A$2))),NOT(ISERROR(SEARCH("Полиом",$A$2)))),0,IF(70-F34&lt;=0,0,70-F34))</f>
        <v>0</v>
      </c>
      <c r="H34" s="9"/>
      <c r="I34" s="10"/>
      <c r="J34" s="10"/>
      <c r="K34" s="11"/>
      <c r="L34" s="12">
        <f t="shared" si="1"/>
        <v>0</v>
      </c>
      <c r="M34" s="12">
        <f t="shared" si="2"/>
        <v>0</v>
      </c>
      <c r="N34" s="12">
        <f t="shared" si="2"/>
        <v>2120.3040000000001</v>
      </c>
      <c r="O34" s="12">
        <f>SUM(F34*54)</f>
        <v>6552.4517999999998</v>
      </c>
      <c r="P34" s="12">
        <f t="shared" si="3"/>
        <v>0</v>
      </c>
      <c r="Q34" s="12">
        <f t="shared" si="4"/>
        <v>0</v>
      </c>
      <c r="R34" s="12">
        <f t="shared" si="5"/>
        <v>0</v>
      </c>
      <c r="S34" s="12">
        <f t="shared" si="6"/>
        <v>0</v>
      </c>
      <c r="T34" s="12">
        <f t="shared" si="7"/>
        <v>8672.755799999999</v>
      </c>
    </row>
    <row r="35" spans="1:20">
      <c r="A35" s="13"/>
      <c r="B35" s="216">
        <v>46053</v>
      </c>
      <c r="C35" s="217"/>
      <c r="D35" s="7"/>
      <c r="E35" s="7"/>
      <c r="F35" s="8">
        <f>F34-E35+D35</f>
        <v>121.34169999999999</v>
      </c>
      <c r="G35" s="9">
        <f>IF(OR(B35="",NOT(ISERROR(SEARCH("KPI",$A$2))),NOT(ISERROR(SEARCH("Полиом",$A$2)))),0,IF(70-F35&lt;=0,0,70-F35))</f>
        <v>0</v>
      </c>
      <c r="H35" s="9"/>
      <c r="I35" s="10"/>
      <c r="J35" s="10"/>
      <c r="K35" s="11"/>
      <c r="L35" s="12">
        <f t="shared" si="1"/>
        <v>0</v>
      </c>
      <c r="M35" s="12">
        <f t="shared" si="2"/>
        <v>0</v>
      </c>
      <c r="N35" s="12">
        <f t="shared" si="2"/>
        <v>0</v>
      </c>
      <c r="O35" s="12">
        <f>SUM(F35*54)</f>
        <v>6552.4517999999998</v>
      </c>
      <c r="P35" s="12">
        <f t="shared" si="3"/>
        <v>0</v>
      </c>
      <c r="Q35" s="12">
        <f t="shared" si="4"/>
        <v>0</v>
      </c>
      <c r="R35" s="12">
        <f t="shared" si="5"/>
        <v>0</v>
      </c>
      <c r="S35" s="12">
        <f t="shared" si="6"/>
        <v>0</v>
      </c>
      <c r="T35" s="12">
        <f t="shared" si="7"/>
        <v>6552.4517999999998</v>
      </c>
    </row>
    <row r="36" spans="1:20">
      <c r="D36" s="7"/>
      <c r="E36" s="7"/>
      <c r="F36" s="18">
        <f>SUM(F5:F35)</f>
        <v>6062.3344000000006</v>
      </c>
      <c r="G36" s="18">
        <f t="shared" ref="G36:T36" si="10">SUM(G5:G35)</f>
        <v>0</v>
      </c>
      <c r="H36" s="18">
        <f t="shared" si="10"/>
        <v>0</v>
      </c>
      <c r="I36" s="18">
        <f t="shared" si="10"/>
        <v>0</v>
      </c>
      <c r="J36" s="18">
        <f t="shared" si="10"/>
        <v>0</v>
      </c>
      <c r="K36" s="19">
        <f t="shared" si="10"/>
        <v>0</v>
      </c>
      <c r="L36" s="20">
        <f t="shared" si="10"/>
        <v>0</v>
      </c>
      <c r="M36" s="20">
        <f t="shared" si="10"/>
        <v>28084.200000000004</v>
      </c>
      <c r="N36" s="20">
        <f t="shared" si="10"/>
        <v>22934.136000000002</v>
      </c>
      <c r="O36" s="20">
        <f t="shared" si="10"/>
        <v>327366.0576</v>
      </c>
      <c r="P36" s="20">
        <f t="shared" si="10"/>
        <v>0</v>
      </c>
      <c r="Q36" s="20">
        <f t="shared" si="10"/>
        <v>0</v>
      </c>
      <c r="R36" s="20">
        <f t="shared" si="10"/>
        <v>0</v>
      </c>
      <c r="S36" s="20">
        <f t="shared" si="10"/>
        <v>0</v>
      </c>
      <c r="T36" s="20">
        <f t="shared" si="10"/>
        <v>378384.39360000001</v>
      </c>
    </row>
    <row r="37" spans="1:20">
      <c r="R37" s="21"/>
      <c r="S37" s="21"/>
      <c r="T37" s="22">
        <f>T36*1.22</f>
        <v>461628.96019200003</v>
      </c>
    </row>
    <row r="40" spans="1:20">
      <c r="F40" s="23"/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6701-EF0B-49C1-8A56-24CBBCF45943}">
  <sheetPr codeName="Лист3"/>
  <dimension ref="A1:N124"/>
  <sheetViews>
    <sheetView tabSelected="1" topLeftCell="A6" zoomScaleNormal="100" workbookViewId="0">
      <selection activeCell="E46" sqref="E46"/>
    </sheetView>
  </sheetViews>
  <sheetFormatPr defaultColWidth="10.09765625" defaultRowHeight="15" customHeight="1"/>
  <cols>
    <col min="1" max="1" width="20" style="24" customWidth="1"/>
    <col min="2" max="2" width="12.3984375" style="24" customWidth="1"/>
    <col min="3" max="3" width="12" style="24" customWidth="1"/>
    <col min="4" max="4" width="12.8984375" style="24" customWidth="1"/>
    <col min="5" max="5" width="14.59765625" style="24" customWidth="1"/>
    <col min="6" max="6" width="15.296875" style="24" customWidth="1"/>
    <col min="7" max="9" width="15.59765625" style="24" customWidth="1"/>
    <col min="10" max="10" width="13.5" style="24" customWidth="1"/>
    <col min="11" max="11" width="15.796875" style="24" customWidth="1"/>
    <col min="12" max="12" width="21.19921875" style="24" customWidth="1"/>
    <col min="13" max="13" width="21.8984375" style="24" customWidth="1"/>
    <col min="14" max="16384" width="10.09765625" style="24"/>
  </cols>
  <sheetData>
    <row r="1" spans="1:10" ht="161.25" customHeight="1" thickBot="1">
      <c r="A1" s="220">
        <f ca="1">G16</f>
        <v>134991995.24249199</v>
      </c>
      <c r="B1" s="220"/>
      <c r="C1" s="220"/>
      <c r="D1" s="220"/>
      <c r="E1" s="220"/>
      <c r="F1" s="220"/>
      <c r="G1" s="220"/>
    </row>
    <row r="2" spans="1:10" ht="12.75" customHeight="1" thickBot="1">
      <c r="A2" s="25"/>
      <c r="B2" s="26"/>
      <c r="C2" s="26"/>
      <c r="D2" s="26"/>
      <c r="E2" s="26"/>
      <c r="F2" s="26"/>
      <c r="I2" s="221" t="s">
        <v>19</v>
      </c>
      <c r="J2" s="222"/>
    </row>
    <row r="3" spans="1:10" ht="14.25" customHeight="1" thickBot="1">
      <c r="A3" s="27" t="s">
        <v>20</v>
      </c>
      <c r="B3" s="28" t="s">
        <v>21</v>
      </c>
      <c r="C3" s="28" t="s">
        <v>22</v>
      </c>
      <c r="D3" s="28" t="s">
        <v>23</v>
      </c>
      <c r="E3" s="28" t="s">
        <v>24</v>
      </c>
      <c r="F3" s="28" t="s">
        <v>25</v>
      </c>
      <c r="G3" s="29" t="s">
        <v>26</v>
      </c>
      <c r="I3" s="30" t="s">
        <v>27</v>
      </c>
      <c r="J3" s="31">
        <v>23143268.370000001</v>
      </c>
    </row>
    <row r="4" spans="1:10" ht="14.25" customHeight="1">
      <c r="A4" s="32" t="s">
        <v>28</v>
      </c>
      <c r="B4" s="33">
        <f t="shared" ref="B4:B12" ca="1" si="0">INDEX($N$44:$N$53,MATCH(A4,$A$44:$A$53,0),1)</f>
        <v>7891101.8986000028</v>
      </c>
      <c r="C4" s="33">
        <v>0</v>
      </c>
      <c r="D4" s="33">
        <f t="shared" ref="D4:D15" ca="1" si="1">INDEX($B$56:$B$72,MATCH(A4,$A$56:$A$72,0),1)</f>
        <v>507717.02999999997</v>
      </c>
      <c r="E4" s="33">
        <f t="shared" ref="E4:E15" ca="1" si="2">SUMIF($F$19:$F$41,A4,$G$19:$G$41)</f>
        <v>0</v>
      </c>
      <c r="F4" s="33">
        <f t="shared" ref="F4:F15" ca="1" si="3">SUMIF($B$19:$B$27,A4,$C$19:$C$27)</f>
        <v>48184.2</v>
      </c>
      <c r="G4" s="34">
        <f t="shared" ref="G4:G13" ca="1" si="4">SUM(B4:F4)</f>
        <v>8447003.1286000013</v>
      </c>
      <c r="I4" s="35" t="s">
        <v>29</v>
      </c>
      <c r="J4" s="36">
        <v>19482962</v>
      </c>
    </row>
    <row r="5" spans="1:10" ht="14.25" customHeight="1">
      <c r="A5" s="37" t="s">
        <v>30</v>
      </c>
      <c r="B5" s="33">
        <f t="shared" ca="1" si="0"/>
        <v>10750833.68</v>
      </c>
      <c r="C5" s="33">
        <v>0</v>
      </c>
      <c r="D5" s="33">
        <f t="shared" ca="1" si="1"/>
        <v>809022.22949999955</v>
      </c>
      <c r="E5" s="33">
        <f t="shared" ca="1" si="2"/>
        <v>0</v>
      </c>
      <c r="F5" s="33">
        <f t="shared" ca="1" si="3"/>
        <v>8184</v>
      </c>
      <c r="G5" s="34">
        <f t="shared" ca="1" si="4"/>
        <v>11568039.909499999</v>
      </c>
      <c r="I5" s="35" t="s">
        <v>30</v>
      </c>
      <c r="J5" s="36">
        <v>14483152.129999999</v>
      </c>
    </row>
    <row r="6" spans="1:10" ht="14.25" customHeight="1">
      <c r="A6" s="37" t="s">
        <v>31</v>
      </c>
      <c r="B6" s="33">
        <f t="shared" ca="1" si="0"/>
        <v>11243240.73</v>
      </c>
      <c r="C6" s="33">
        <v>0</v>
      </c>
      <c r="D6" s="33">
        <f t="shared" ca="1" si="1"/>
        <v>0</v>
      </c>
      <c r="E6" s="33">
        <f t="shared" ca="1" si="2"/>
        <v>0</v>
      </c>
      <c r="F6" s="33">
        <f t="shared" si="3"/>
        <v>0</v>
      </c>
      <c r="G6" s="34">
        <f t="shared" ca="1" si="4"/>
        <v>11243240.73</v>
      </c>
      <c r="I6" s="35" t="s">
        <v>31</v>
      </c>
      <c r="J6" s="36">
        <v>11908608.83</v>
      </c>
    </row>
    <row r="7" spans="1:10" ht="14.25" customHeight="1">
      <c r="A7" s="38" t="s">
        <v>32</v>
      </c>
      <c r="B7" s="33">
        <f t="shared" ca="1" si="0"/>
        <v>8139705.4300000006</v>
      </c>
      <c r="C7" s="33">
        <v>0</v>
      </c>
      <c r="D7" s="33">
        <f t="shared" ca="1" si="1"/>
        <v>0</v>
      </c>
      <c r="E7" s="33">
        <f t="shared" ca="1" si="2"/>
        <v>461628.96019200003</v>
      </c>
      <c r="F7" s="33">
        <f t="shared" si="3"/>
        <v>0</v>
      </c>
      <c r="G7" s="34">
        <f t="shared" ca="1" si="4"/>
        <v>8601334.3901920002</v>
      </c>
      <c r="I7" s="35" t="s">
        <v>28</v>
      </c>
      <c r="J7" s="36">
        <v>11544503.229999999</v>
      </c>
    </row>
    <row r="8" spans="1:10" ht="14.25" customHeight="1">
      <c r="A8" s="38" t="s">
        <v>33</v>
      </c>
      <c r="B8" s="33">
        <f t="shared" ca="1" si="0"/>
        <v>6161036.79</v>
      </c>
      <c r="C8" s="33">
        <v>0</v>
      </c>
      <c r="D8" s="33">
        <f t="shared" ca="1" si="1"/>
        <v>0</v>
      </c>
      <c r="E8" s="33">
        <f t="shared" si="2"/>
        <v>0</v>
      </c>
      <c r="F8" s="33">
        <f t="shared" si="3"/>
        <v>0</v>
      </c>
      <c r="G8" s="34">
        <f t="shared" ca="1" si="4"/>
        <v>6161036.79</v>
      </c>
      <c r="I8" s="35"/>
      <c r="J8" s="36"/>
    </row>
    <row r="9" spans="1:10" ht="14.25" customHeight="1">
      <c r="A9" s="37" t="s">
        <v>27</v>
      </c>
      <c r="B9" s="33">
        <f t="shared" ca="1" si="0"/>
        <v>18468887.039999999</v>
      </c>
      <c r="C9" s="33">
        <v>0</v>
      </c>
      <c r="D9" s="33">
        <f t="shared" ca="1" si="1"/>
        <v>0</v>
      </c>
      <c r="E9" s="33">
        <f t="shared" ca="1" si="2"/>
        <v>0</v>
      </c>
      <c r="F9" s="33">
        <f t="shared" si="3"/>
        <v>0</v>
      </c>
      <c r="G9" s="34">
        <f t="shared" ca="1" si="4"/>
        <v>18468887.039999999</v>
      </c>
      <c r="I9" s="35" t="s">
        <v>34</v>
      </c>
      <c r="J9" s="36">
        <v>9900926.8800000008</v>
      </c>
    </row>
    <row r="10" spans="1:10" ht="14.25" customHeight="1">
      <c r="A10" s="37" t="s">
        <v>34</v>
      </c>
      <c r="B10" s="33">
        <f t="shared" ca="1" si="0"/>
        <v>9663965.4100000001</v>
      </c>
      <c r="C10" s="33">
        <v>0</v>
      </c>
      <c r="D10" s="33">
        <f t="shared" ca="1" si="1"/>
        <v>0</v>
      </c>
      <c r="E10" s="33">
        <f t="shared" ca="1" si="2"/>
        <v>0</v>
      </c>
      <c r="F10" s="33">
        <f t="shared" si="3"/>
        <v>0</v>
      </c>
      <c r="G10" s="34">
        <f t="shared" ca="1" si="4"/>
        <v>9663965.4100000001</v>
      </c>
      <c r="I10" s="35" t="s">
        <v>35</v>
      </c>
      <c r="J10" s="36">
        <v>9082789.1400000006</v>
      </c>
    </row>
    <row r="11" spans="1:10" ht="14.25" customHeight="1">
      <c r="A11" s="37" t="s">
        <v>35</v>
      </c>
      <c r="B11" s="33">
        <f t="shared" ca="1" si="0"/>
        <v>8550347.0199999996</v>
      </c>
      <c r="C11" s="33">
        <v>0</v>
      </c>
      <c r="D11" s="33">
        <f t="shared" ca="1" si="1"/>
        <v>0</v>
      </c>
      <c r="E11" s="33">
        <f t="shared" ca="1" si="2"/>
        <v>615525.55000000005</v>
      </c>
      <c r="F11" s="33">
        <f t="shared" si="3"/>
        <v>0</v>
      </c>
      <c r="G11" s="34">
        <f t="shared" ca="1" si="4"/>
        <v>9165872.5700000003</v>
      </c>
      <c r="I11" s="35" t="s">
        <v>32</v>
      </c>
      <c r="J11" s="36">
        <v>7932975.6470719995</v>
      </c>
    </row>
    <row r="12" spans="1:10" ht="14.25" customHeight="1">
      <c r="A12" s="37" t="s">
        <v>36</v>
      </c>
      <c r="B12" s="33">
        <f t="shared" ca="1" si="0"/>
        <v>4807181.0600000005</v>
      </c>
      <c r="C12" s="33">
        <v>0</v>
      </c>
      <c r="D12" s="33">
        <f t="shared" ca="1" si="1"/>
        <v>0</v>
      </c>
      <c r="E12" s="33">
        <f t="shared" ca="1" si="2"/>
        <v>96099.595200000025</v>
      </c>
      <c r="F12" s="33">
        <f t="shared" si="3"/>
        <v>0</v>
      </c>
      <c r="G12" s="34">
        <f t="shared" ca="1" si="4"/>
        <v>4903280.6552000009</v>
      </c>
      <c r="I12" s="35" t="s">
        <v>36</v>
      </c>
      <c r="J12" s="36">
        <v>7580244.574</v>
      </c>
    </row>
    <row r="13" spans="1:10" ht="14.25" customHeight="1">
      <c r="A13" s="39" t="s">
        <v>29</v>
      </c>
      <c r="B13" s="33">
        <v>0</v>
      </c>
      <c r="C13" s="33">
        <f ca="1">C29+C36</f>
        <v>41076517</v>
      </c>
      <c r="D13" s="33">
        <f t="shared" ca="1" si="1"/>
        <v>0</v>
      </c>
      <c r="E13" s="33">
        <f t="shared" si="2"/>
        <v>0</v>
      </c>
      <c r="F13" s="33">
        <f t="shared" si="3"/>
        <v>0</v>
      </c>
      <c r="G13" s="34">
        <f t="shared" ca="1" si="4"/>
        <v>41076517</v>
      </c>
      <c r="I13" s="35" t="s">
        <v>37</v>
      </c>
      <c r="J13" s="36">
        <v>6720000</v>
      </c>
    </row>
    <row r="14" spans="1:10" ht="14.25" customHeight="1" thickBot="1">
      <c r="A14" s="39" t="s">
        <v>38</v>
      </c>
      <c r="B14" s="33">
        <v>0</v>
      </c>
      <c r="C14" s="33">
        <v>0</v>
      </c>
      <c r="D14" s="33">
        <f t="shared" ca="1" si="1"/>
        <v>0</v>
      </c>
      <c r="E14" s="33">
        <f t="shared" si="2"/>
        <v>0</v>
      </c>
      <c r="F14" s="33">
        <f t="shared" si="3"/>
        <v>0</v>
      </c>
      <c r="G14" s="34">
        <f ca="1">SUM(B14:F14)</f>
        <v>0</v>
      </c>
      <c r="I14" s="40" t="s">
        <v>38</v>
      </c>
      <c r="J14" s="41">
        <v>2464921.6199999992</v>
      </c>
    </row>
    <row r="15" spans="1:10" ht="14.25" customHeight="1" thickBot="1">
      <c r="A15" s="42" t="s">
        <v>39</v>
      </c>
      <c r="B15" s="33">
        <f ca="1">INDEX($N$44:$N$53,MATCH(A15,$A$44:$A$53,0),1)</f>
        <v>0</v>
      </c>
      <c r="C15" s="33">
        <v>0</v>
      </c>
      <c r="D15" s="33">
        <f t="shared" ca="1" si="1"/>
        <v>5692817.6189999981</v>
      </c>
      <c r="E15" s="33">
        <f t="shared" si="2"/>
        <v>0</v>
      </c>
      <c r="F15" s="33">
        <f t="shared" si="3"/>
        <v>0</v>
      </c>
      <c r="G15" s="34">
        <f ca="1">SUM(B15:F15)</f>
        <v>5692817.6189999981</v>
      </c>
    </row>
    <row r="16" spans="1:10" ht="14.25" customHeight="1" thickBot="1">
      <c r="A16" s="43"/>
      <c r="B16" s="44">
        <f t="shared" ref="B16:G16" ca="1" si="5">SUM(B4:B15)</f>
        <v>85676299.058600008</v>
      </c>
      <c r="C16" s="44">
        <f t="shared" ca="1" si="5"/>
        <v>41076517</v>
      </c>
      <c r="D16" s="44">
        <f t="shared" ca="1" si="5"/>
        <v>7009556.8784999978</v>
      </c>
      <c r="E16" s="44">
        <f t="shared" ca="1" si="5"/>
        <v>1173254.1053920002</v>
      </c>
      <c r="F16" s="44">
        <f t="shared" ca="1" si="5"/>
        <v>56368.2</v>
      </c>
      <c r="G16" s="45">
        <f t="shared" ca="1" si="5"/>
        <v>134991995.24249199</v>
      </c>
    </row>
    <row r="17" spans="1:9" ht="14.25" customHeight="1" thickBot="1">
      <c r="A17" s="46"/>
      <c r="B17" s="47"/>
      <c r="C17" s="47"/>
      <c r="D17" s="47"/>
      <c r="E17" s="47"/>
      <c r="F17" s="48"/>
    </row>
    <row r="18" spans="1:9" ht="14.25" customHeight="1" thickBot="1">
      <c r="A18" s="223" t="s">
        <v>40</v>
      </c>
      <c r="B18" s="224"/>
      <c r="C18" s="49">
        <f ca="1">SUM(C19:C27)</f>
        <v>56368.2</v>
      </c>
      <c r="E18" s="225" t="s">
        <v>24</v>
      </c>
      <c r="F18" s="226"/>
      <c r="G18" s="50">
        <f ca="1">SUM(G19:G40)</f>
        <v>1173254.1053920002</v>
      </c>
      <c r="H18" s="51"/>
      <c r="I18" s="52"/>
    </row>
    <row r="19" spans="1:9" ht="14.25" customHeight="1">
      <c r="A19" s="53" t="s">
        <v>41</v>
      </c>
      <c r="B19" s="54" t="s">
        <v>28</v>
      </c>
      <c r="C19" s="55" cm="1">
        <f t="array" aca="1" ref="C19" ca="1">IFERROR(INDIRECT("'" &amp; A19 &amp; "'!A1"),)</f>
        <v>21000</v>
      </c>
      <c r="E19" s="53" t="s">
        <v>42</v>
      </c>
      <c r="F19" s="54" t="s">
        <v>28</v>
      </c>
      <c r="G19" s="56" cm="1">
        <f t="array" aca="1" ref="G19" ca="1">IFERROR(INDIRECT("'" &amp; E19 &amp; " "  &amp; F19 &amp; "'!A1"),0)</f>
        <v>0</v>
      </c>
      <c r="H19" s="57"/>
      <c r="I19" s="57"/>
    </row>
    <row r="20" spans="1:9" ht="14.25" customHeight="1">
      <c r="A20" s="58" t="s">
        <v>43</v>
      </c>
      <c r="B20" s="59" t="s">
        <v>28</v>
      </c>
      <c r="C20" s="55" cm="1">
        <f t="array" aca="1" ref="C20" ca="1">IFERROR(INDIRECT("'" &amp; A20 &amp; "'!A1"),)</f>
        <v>8928</v>
      </c>
      <c r="E20" s="58" t="s">
        <v>44</v>
      </c>
      <c r="F20" s="59" t="s">
        <v>28</v>
      </c>
      <c r="G20" s="56" cm="1">
        <f t="array" aca="1" ref="G20" ca="1">IFERROR(INDIRECT("'" &amp; E20 &amp; " "  &amp; F20 &amp; "'!A1"),0)</f>
        <v>0</v>
      </c>
      <c r="H20" s="57"/>
      <c r="I20" s="57"/>
    </row>
    <row r="21" spans="1:9" ht="14.25" customHeight="1">
      <c r="A21" s="58" t="s">
        <v>45</v>
      </c>
      <c r="B21" s="59" t="s">
        <v>28</v>
      </c>
      <c r="C21" s="55" cm="1">
        <f t="array" aca="1" ref="C21" ca="1">IFERROR(INDIRECT("'" &amp; A21 &amp; "'!A1"),)</f>
        <v>15573</v>
      </c>
      <c r="E21" s="53" t="s">
        <v>46</v>
      </c>
      <c r="F21" s="54" t="s">
        <v>28</v>
      </c>
      <c r="G21" s="56" cm="1">
        <f t="array" aca="1" ref="G21" ca="1">IFERROR(INDIRECT("'" &amp; E21 &amp; " "  &amp; F21 &amp; "'!A1"),0)</f>
        <v>0</v>
      </c>
      <c r="H21" s="57"/>
      <c r="I21" s="57"/>
    </row>
    <row r="22" spans="1:9" ht="14.25" customHeight="1">
      <c r="A22" s="58" t="s">
        <v>47</v>
      </c>
      <c r="B22" s="59" t="s">
        <v>28</v>
      </c>
      <c r="C22" s="55" cm="1">
        <f t="array" aca="1" ref="C22" ca="1">IFERROR(INDIRECT("'" &amp; A22 &amp; "'!A1"),)</f>
        <v>2013.5999999999985</v>
      </c>
      <c r="E22" s="53" t="s">
        <v>48</v>
      </c>
      <c r="F22" s="54" t="s">
        <v>31</v>
      </c>
      <c r="G22" s="56" cm="1">
        <f t="array" aca="1" ref="G22" ca="1">IFERROR(INDIRECT("'" &amp; E22 &amp; " "  &amp; F22 &amp; "'!A1"),0)</f>
        <v>0</v>
      </c>
      <c r="H22" s="57"/>
      <c r="I22" s="57"/>
    </row>
    <row r="23" spans="1:9" ht="14.25" customHeight="1">
      <c r="A23" s="58" t="s">
        <v>49</v>
      </c>
      <c r="B23" s="59" t="s">
        <v>28</v>
      </c>
      <c r="C23" s="55" cm="1">
        <f t="array" aca="1" ref="C23" ca="1">IFERROR(INDIRECT("'" &amp; A23 &amp; "'!A1"),)</f>
        <v>669.60000000000036</v>
      </c>
      <c r="E23" s="58" t="s">
        <v>42</v>
      </c>
      <c r="F23" s="59" t="s">
        <v>31</v>
      </c>
      <c r="G23" s="56" cm="1">
        <f t="array" aca="1" ref="G23" ca="1">IFERROR(INDIRECT("'" &amp; E23 &amp; " "  &amp; F23 &amp; "'!A1"),0)</f>
        <v>0</v>
      </c>
      <c r="H23" s="57"/>
      <c r="I23" s="57"/>
    </row>
    <row r="24" spans="1:9" ht="14.25" customHeight="1">
      <c r="A24" s="58" t="s">
        <v>50</v>
      </c>
      <c r="B24" s="59" t="s">
        <v>37</v>
      </c>
      <c r="C24" s="55" cm="1">
        <f t="array" aca="1" ref="C24" ca="1">IFERROR(INDIRECT("'" &amp; A24 &amp; "'!A1"),)</f>
        <v>0</v>
      </c>
      <c r="E24" s="58" t="s">
        <v>44</v>
      </c>
      <c r="F24" s="59" t="s">
        <v>31</v>
      </c>
      <c r="G24" s="56" cm="1">
        <f t="array" aca="1" ref="G24" ca="1">IFERROR(INDIRECT("'" &amp; E24 &amp; " "  &amp; F24 &amp; "'!A1"),0)</f>
        <v>0</v>
      </c>
      <c r="H24" s="57"/>
      <c r="I24" s="57"/>
    </row>
    <row r="25" spans="1:9" ht="14.25" customHeight="1">
      <c r="A25" s="58" t="s">
        <v>51</v>
      </c>
      <c r="B25" s="59" t="s">
        <v>30</v>
      </c>
      <c r="C25" s="55" cm="1">
        <f t="array" aca="1" ref="C25" ca="1">IFERROR(INDIRECT("'" &amp; A25 &amp; "'!A1"),)</f>
        <v>0</v>
      </c>
      <c r="E25" s="58" t="s">
        <v>42</v>
      </c>
      <c r="F25" s="59" t="s">
        <v>35</v>
      </c>
      <c r="G25" s="56" cm="1">
        <f t="array" aca="1" ref="G25" ca="1">IFERROR(INDIRECT("'" &amp; E25 &amp; " "  &amp; F25 &amp; "'!A1"),0)</f>
        <v>0</v>
      </c>
      <c r="H25" s="57"/>
      <c r="I25" s="57"/>
    </row>
    <row r="26" spans="1:9" ht="14.25" customHeight="1">
      <c r="A26" s="58" t="s">
        <v>52</v>
      </c>
      <c r="B26" s="59" t="s">
        <v>30</v>
      </c>
      <c r="C26" s="55" cm="1">
        <f t="array" aca="1" ref="C26" ca="1">IFERROR(INDIRECT("'" &amp; A26 &amp; "'!A1"),)</f>
        <v>8184</v>
      </c>
      <c r="E26" s="58" t="s">
        <v>53</v>
      </c>
      <c r="F26" s="59" t="s">
        <v>35</v>
      </c>
      <c r="G26" s="203" cm="1">
        <f t="array" aca="1" ref="G26" ca="1">IFERROR(INDIRECT("'" &amp; E26 &amp; " "  &amp; F26 &amp; "'!t37"),0)</f>
        <v>615525.55000000005</v>
      </c>
      <c r="H26" s="57"/>
      <c r="I26" s="57"/>
    </row>
    <row r="27" spans="1:9" ht="14.25" customHeight="1">
      <c r="A27" s="58" t="s">
        <v>54</v>
      </c>
      <c r="B27" s="59" t="s">
        <v>30</v>
      </c>
      <c r="C27" s="55" cm="1">
        <f t="array" aca="1" ref="C27" ca="1">IFERROR(INDIRECT("'" &amp; A27 &amp; "'!A1"),)</f>
        <v>0</v>
      </c>
      <c r="E27" s="58" t="s">
        <v>55</v>
      </c>
      <c r="F27" s="59" t="s">
        <v>36</v>
      </c>
      <c r="G27" s="56" cm="1">
        <f t="array" aca="1" ref="G27" ca="1">IFERROR(INDIRECT("'" &amp; E27 &amp; " "  &amp; F27 &amp; "'!A1"),0)</f>
        <v>96099.595200000025</v>
      </c>
      <c r="H27" s="57"/>
      <c r="I27" s="57"/>
    </row>
    <row r="28" spans="1:9" ht="14.25" customHeight="1" thickBot="1">
      <c r="A28" s="46"/>
      <c r="B28" s="60"/>
      <c r="C28" s="57"/>
      <c r="E28" s="58" t="s">
        <v>44</v>
      </c>
      <c r="F28" s="59" t="s">
        <v>30</v>
      </c>
      <c r="G28" s="56" cm="1">
        <f t="array" aca="1" ref="G28" ca="1">IFERROR(INDIRECT("'" &amp; E28 &amp; " "  &amp; F28 &amp; "'!A1"),0)</f>
        <v>0</v>
      </c>
      <c r="H28" s="57"/>
      <c r="I28" s="57"/>
    </row>
    <row r="29" spans="1:9" ht="14.25" customHeight="1" thickBot="1">
      <c r="A29" s="223" t="s">
        <v>29</v>
      </c>
      <c r="B29" s="224"/>
      <c r="C29" s="49">
        <f ca="1">SUM(C30:C34)</f>
        <v>30944856</v>
      </c>
      <c r="E29" s="58" t="s">
        <v>48</v>
      </c>
      <c r="F29" s="59" t="s">
        <v>30</v>
      </c>
      <c r="G29" s="56" cm="1">
        <f t="array" aca="1" ref="G29" ca="1">IFERROR(INDIRECT("'" &amp; E29 &amp; " "  &amp; F29 &amp; "'!A1"),0)</f>
        <v>0</v>
      </c>
      <c r="H29" s="57"/>
      <c r="I29" s="57"/>
    </row>
    <row r="30" spans="1:9" ht="14.25" customHeight="1">
      <c r="A30" s="218" t="s">
        <v>56</v>
      </c>
      <c r="B30" s="219"/>
      <c r="C30" s="55" cm="1">
        <f t="array" aca="1" ref="C30" ca="1">INDIRECT("'" &amp; A29 &amp; "'!F17")</f>
        <v>15902450</v>
      </c>
      <c r="E30" s="58" t="s">
        <v>46</v>
      </c>
      <c r="F30" s="59" t="s">
        <v>30</v>
      </c>
      <c r="G30" s="56" cm="1">
        <f t="array" aca="1" ref="G30" ca="1">IFERROR(INDIRECT("'" &amp; E30 &amp; " "  &amp; F30 &amp; "'!A1"),0)</f>
        <v>0</v>
      </c>
      <c r="H30" s="57"/>
      <c r="I30" s="57"/>
    </row>
    <row r="31" spans="1:9" ht="14.25" customHeight="1">
      <c r="A31" s="230" t="s">
        <v>57</v>
      </c>
      <c r="B31" s="231"/>
      <c r="C31" s="56" cm="1">
        <f t="array" aca="1" ref="C31" ca="1">INDIRECT("'" &amp; A29 &amp; "'!F16")</f>
        <v>0</v>
      </c>
      <c r="E31" s="58" t="s">
        <v>42</v>
      </c>
      <c r="F31" s="59" t="s">
        <v>30</v>
      </c>
      <c r="G31" s="56" cm="1">
        <f t="array" aca="1" ref="G31" ca="1">IFERROR(INDIRECT("'" &amp; E31 &amp; " "  &amp; F31 &amp; "'!A1"),0)</f>
        <v>0</v>
      </c>
      <c r="H31" s="57"/>
      <c r="I31" s="57"/>
    </row>
    <row r="32" spans="1:9" ht="14.25" customHeight="1">
      <c r="A32" s="230" t="s">
        <v>58</v>
      </c>
      <c r="B32" s="231"/>
      <c r="C32" s="56" cm="1">
        <f t="array" aca="1" ref="C32" ca="1">INDIRECT("'" &amp; A29 &amp; "'!F18")</f>
        <v>744000</v>
      </c>
      <c r="E32" s="53" t="s">
        <v>59</v>
      </c>
      <c r="F32" s="54" t="s">
        <v>32</v>
      </c>
      <c r="G32" s="56" cm="1">
        <f t="array" aca="1" ref="G32" ca="1">IFERROR(INDIRECT("'" &amp; E32 &amp; " "  &amp; F32 &amp; "'!A1"),0)</f>
        <v>461628.96019200003</v>
      </c>
      <c r="H32" s="57"/>
      <c r="I32" s="57"/>
    </row>
    <row r="33" spans="1:14" ht="14.25" customHeight="1">
      <c r="A33" s="230" t="s">
        <v>60</v>
      </c>
      <c r="B33" s="231"/>
      <c r="C33" s="56" cm="1">
        <f t="array" aca="1" ref="C33" ca="1">INDIRECT("'" &amp; A29 &amp; "'!F19")</f>
        <v>1831976</v>
      </c>
      <c r="E33" s="53" t="s">
        <v>48</v>
      </c>
      <c r="F33" s="54" t="s">
        <v>32</v>
      </c>
      <c r="G33" s="56" cm="1">
        <f t="array" aca="1" ref="G33" ca="1">IFERROR(INDIRECT("'" &amp; E33 &amp; " "  &amp; F33 &amp; "'!A1"),0)</f>
        <v>0</v>
      </c>
      <c r="H33" s="57"/>
      <c r="I33" s="57"/>
    </row>
    <row r="34" spans="1:14" ht="14.25" customHeight="1">
      <c r="A34" s="230" t="s">
        <v>61</v>
      </c>
      <c r="B34" s="231"/>
      <c r="C34" s="56" cm="1">
        <f t="array" aca="1" ref="C34" ca="1">INDIRECT("'" &amp; A29 &amp; "'!F20")</f>
        <v>12466430</v>
      </c>
      <c r="E34" s="58" t="s">
        <v>44</v>
      </c>
      <c r="F34" s="59" t="s">
        <v>32</v>
      </c>
      <c r="G34" s="56" cm="1">
        <f t="array" aca="1" ref="G34" ca="1">IFERROR(INDIRECT("'" &amp; E34 &amp; " "  &amp; F34 &amp; "'!A1"),0)</f>
        <v>0</v>
      </c>
      <c r="H34" s="57"/>
      <c r="I34" s="57"/>
    </row>
    <row r="35" spans="1:14" ht="14.25" customHeight="1" thickBot="1">
      <c r="A35" s="61"/>
      <c r="B35" s="61"/>
      <c r="C35" s="62"/>
      <c r="E35" s="58" t="s">
        <v>46</v>
      </c>
      <c r="F35" s="59" t="s">
        <v>35</v>
      </c>
      <c r="G35" s="56" cm="1">
        <f t="array" aca="1" ref="G35" ca="1">IFERROR(INDIRECT("'" &amp; E35 &amp; " "  &amp; F35 &amp; "'!A1"),0)</f>
        <v>0</v>
      </c>
      <c r="H35" s="57"/>
      <c r="I35" s="57"/>
    </row>
    <row r="36" spans="1:14" ht="14.25" customHeight="1" thickBot="1">
      <c r="A36" s="223" t="s">
        <v>62</v>
      </c>
      <c r="B36" s="224"/>
      <c r="C36" s="49">
        <f>SUM(C37:C41)</f>
        <v>10131661</v>
      </c>
      <c r="E36" s="58" t="s">
        <v>44</v>
      </c>
      <c r="F36" s="59" t="s">
        <v>27</v>
      </c>
      <c r="G36" s="56" cm="1">
        <f t="array" aca="1" ref="G36" ca="1">IFERROR(INDIRECT("'" &amp; E36 &amp; " "  &amp; F36 &amp; "'!A1"),0)</f>
        <v>0</v>
      </c>
      <c r="H36" s="57"/>
      <c r="I36" s="57"/>
    </row>
    <row r="37" spans="1:14" ht="14.25" customHeight="1">
      <c r="A37" s="218" t="s">
        <v>63</v>
      </c>
      <c r="B37" s="219"/>
      <c r="C37" s="55">
        <f>3067441</f>
        <v>3067441</v>
      </c>
      <c r="E37" s="58" t="s">
        <v>42</v>
      </c>
      <c r="F37" s="59" t="s">
        <v>34</v>
      </c>
      <c r="G37" s="56" cm="1">
        <f t="array" aca="1" ref="G37" ca="1">IFERROR(INDIRECT("'" &amp; E37 &amp; " "  &amp; F37 &amp; "'!A1"),0)</f>
        <v>0</v>
      </c>
      <c r="H37" s="57"/>
      <c r="I37" s="57"/>
    </row>
    <row r="38" spans="1:14" ht="14.25" customHeight="1">
      <c r="A38" s="230" t="s">
        <v>36</v>
      </c>
      <c r="B38" s="231"/>
      <c r="C38" s="56">
        <v>7064220</v>
      </c>
      <c r="E38" s="58" t="s">
        <v>48</v>
      </c>
      <c r="F38" s="59" t="s">
        <v>28</v>
      </c>
      <c r="G38" s="56" cm="1">
        <f t="array" aca="1" ref="G38" ca="1">IFERROR(INDIRECT("'" &amp; E38 &amp; " "  &amp; F38 &amp; "'!A1"),0)</f>
        <v>0</v>
      </c>
      <c r="H38" s="57"/>
      <c r="I38" s="57"/>
    </row>
    <row r="39" spans="1:14" ht="14.25" customHeight="1">
      <c r="A39" s="230"/>
      <c r="B39" s="231"/>
      <c r="C39" s="56"/>
      <c r="E39" s="58" t="s">
        <v>42</v>
      </c>
      <c r="F39" s="59" t="s">
        <v>27</v>
      </c>
      <c r="G39" s="56" cm="1">
        <f t="array" aca="1" ref="G39" ca="1">IFERROR(INDIRECT("'" &amp; E39 &amp; " "  &amp; F39 &amp; "'!A1"),0)</f>
        <v>0</v>
      </c>
      <c r="H39" s="57"/>
      <c r="I39" s="57"/>
    </row>
    <row r="40" spans="1:14" ht="14.25" customHeight="1">
      <c r="A40" s="230"/>
      <c r="B40" s="231"/>
      <c r="C40" s="56"/>
      <c r="E40" s="58" t="s">
        <v>64</v>
      </c>
      <c r="F40" s="59" t="s">
        <v>36</v>
      </c>
      <c r="G40" s="56" cm="1">
        <f t="array" aca="1" ref="G40" ca="1">IFERROR(INDIRECT("'" &amp; E40 &amp; " "  &amp; F40 &amp; "'!A1"),0)</f>
        <v>0</v>
      </c>
      <c r="H40" s="57"/>
      <c r="I40" s="57"/>
    </row>
    <row r="41" spans="1:14" ht="14.25" customHeight="1" thickBot="1">
      <c r="A41" s="230"/>
      <c r="B41" s="231"/>
      <c r="C41" s="56"/>
      <c r="E41" s="46"/>
      <c r="F41" s="60"/>
      <c r="G41" s="63"/>
      <c r="H41" s="57"/>
      <c r="I41" s="57"/>
    </row>
    <row r="42" spans="1:14" ht="14.25" customHeight="1" thickBot="1">
      <c r="A42" s="223" t="s">
        <v>65</v>
      </c>
      <c r="B42" s="224"/>
      <c r="C42" s="224"/>
      <c r="D42" s="224"/>
      <c r="E42" s="224"/>
      <c r="F42" s="224"/>
      <c r="G42" s="224"/>
      <c r="H42" s="224"/>
      <c r="I42" s="224"/>
      <c r="J42" s="232"/>
      <c r="K42" s="227">
        <f ca="1">SUM(N44:N53)</f>
        <v>85676299.058600008</v>
      </c>
      <c r="L42" s="228"/>
      <c r="M42" s="229"/>
    </row>
    <row r="43" spans="1:14" ht="14.25" customHeight="1" thickBot="1">
      <c r="A43" s="64"/>
      <c r="B43" s="204"/>
      <c r="C43" s="28" t="s">
        <v>66</v>
      </c>
      <c r="D43" s="28" t="s">
        <v>67</v>
      </c>
      <c r="E43" s="28" t="s">
        <v>68</v>
      </c>
      <c r="F43" s="28" t="s">
        <v>69</v>
      </c>
      <c r="G43" s="28" t="s">
        <v>70</v>
      </c>
      <c r="H43" s="65" t="s">
        <v>71</v>
      </c>
      <c r="I43" s="65" t="s">
        <v>72</v>
      </c>
      <c r="J43" s="65" t="s">
        <v>73</v>
      </c>
      <c r="K43" s="66" t="s">
        <v>74</v>
      </c>
      <c r="L43" s="66" t="s">
        <v>75</v>
      </c>
      <c r="M43" s="66" t="s">
        <v>76</v>
      </c>
      <c r="N43" s="67" t="s">
        <v>77</v>
      </c>
    </row>
    <row r="44" spans="1:14" ht="14.25" customHeight="1">
      <c r="A44" s="68" t="s">
        <v>28</v>
      </c>
      <c r="B44" s="205">
        <v>45411</v>
      </c>
      <c r="C44" s="202" cm="1">
        <f t="array" aca="1" ref="C44" ca="1">IFERROR(INDIRECT("'" &amp; $A44 &amp; " " &amp; C$43 &amp; "'!T37"),)</f>
        <v>76521.13</v>
      </c>
      <c r="D44" s="202" cm="1">
        <f t="array" aca="1" ref="D44" ca="1">IFERROR(INDIRECT("'" &amp; $A44 &amp; " " &amp; D$43 &amp; "'!T37"),)</f>
        <v>274674.39</v>
      </c>
      <c r="E44" s="202" cm="1">
        <f t="array" aca="1" ref="E44" ca="1">IFERROR(INDIRECT("'" &amp; $A44 &amp; " " &amp; E$43 &amp; "'!T37"),)</f>
        <v>7531366.3786000023</v>
      </c>
      <c r="F44" s="206" cm="1">
        <f t="array" aca="1" ref="F44" ca="1">IFERROR(INDIRECT("'" &amp; $A44 &amp; " " &amp; F$43 &amp; "'!T37"),)</f>
        <v>0</v>
      </c>
      <c r="G44" s="206" cm="1">
        <f t="array" aca="1" ref="G44" ca="1">IFERROR(INDIRECT("'" &amp; $A44 &amp; " " &amp; G$43 &amp; "'!T37"),)</f>
        <v>0</v>
      </c>
      <c r="H44" s="206" cm="1">
        <f t="array" aca="1" ref="H44" ca="1">IFERROR(INDIRECT("'" &amp; $A44 &amp; " " &amp; H$43 &amp; "'!T37"),)</f>
        <v>0</v>
      </c>
      <c r="I44" s="206" cm="1">
        <f t="array" aca="1" ref="I44" ca="1">IFERROR(INDIRECT("'" &amp; $A44 &amp; " " &amp; I$43 &amp; "'!T37"),)</f>
        <v>0</v>
      </c>
      <c r="J44" s="206" cm="1">
        <f t="array" aca="1" ref="J44" ca="1">IFERROR(INDIRECT("'" &amp; $A44 &amp; " " &amp; J$43 &amp; "'!T37"),)</f>
        <v>0</v>
      </c>
      <c r="K44" s="206" cm="1">
        <f t="array" aca="1" ref="K44" ca="1">IFERROR(INDIRECT("'" &amp; $A44 &amp; " " &amp; K$43 &amp; "'!T37"),)</f>
        <v>0</v>
      </c>
      <c r="L44" s="69" cm="1">
        <f t="array" aca="1" ref="L44" ca="1">IFERROR(INDIRECT("'" &amp; $A44 &amp; " " &amp; L$43 &amp; "'!G12"),)</f>
        <v>8540</v>
      </c>
      <c r="M44" s="69" cm="1">
        <f t="array" aca="1" ref="M44" ca="1">IFERROR(INDIRECT("'" &amp; $A44 &amp; " " &amp; M$43 &amp; "'!F14"),)</f>
        <v>0</v>
      </c>
      <c r="N44" s="70">
        <f ca="1">SUM(C44:M44)</f>
        <v>7891101.8986000028</v>
      </c>
    </row>
    <row r="45" spans="1:14" ht="14.25" customHeight="1">
      <c r="A45" s="42" t="s">
        <v>30</v>
      </c>
      <c r="B45" s="205">
        <v>45411</v>
      </c>
      <c r="C45" s="202" cm="1">
        <f t="array" aca="1" ref="C45" ca="1">IFERROR(INDIRECT("'" &amp; $A45 &amp; " " &amp; C$43 &amp; "'!T37"),)</f>
        <v>54425.919999999998</v>
      </c>
      <c r="D45" s="202" cm="1">
        <f t="array" aca="1" ref="D45" ca="1">IFERROR(INDIRECT("'" &amp; $A45 &amp; " " &amp; D$43 &amp; "'!T37"),)</f>
        <v>26771.84</v>
      </c>
      <c r="E45" s="206" cm="1">
        <f t="array" aca="1" ref="E45" ca="1">IFERROR(INDIRECT("'" &amp; $A45 &amp; " " &amp; E$43 &amp; "'!T37"),)</f>
        <v>10669635.92</v>
      </c>
      <c r="F45" s="206" cm="1">
        <f t="array" aca="1" ref="F45" ca="1">IFERROR(INDIRECT("'" &amp; $A45 &amp; " " &amp; F$43 &amp; "'!T37"),)</f>
        <v>0</v>
      </c>
      <c r="G45" s="206" cm="1">
        <f t="array" aca="1" ref="G45" ca="1">IFERROR(INDIRECT("'" &amp; $A45 &amp; " " &amp; G$43 &amp; "'!T37"),)</f>
        <v>0</v>
      </c>
      <c r="H45" s="206" cm="1">
        <f t="array" aca="1" ref="H45" ca="1">IFERROR(INDIRECT("'" &amp; $A45 &amp; " " &amp; H$43 &amp; "'!T37"),)</f>
        <v>0</v>
      </c>
      <c r="I45" s="206" cm="1">
        <f t="array" aca="1" ref="I45" ca="1">IFERROR(INDIRECT("'" &amp; $A45 &amp; " " &amp; I$43 &amp; "'!T37"),)</f>
        <v>0</v>
      </c>
      <c r="J45" s="206" cm="1">
        <f t="array" aca="1" ref="J45" ca="1">IFERROR(INDIRECT("'" &amp; $A45 &amp; " " &amp; J$43 &amp; "'!T37"),)</f>
        <v>0</v>
      </c>
      <c r="K45" s="206" cm="1">
        <f t="array" aca="1" ref="K45" ca="1">IFERROR(INDIRECT("'" &amp; $A45 &amp; " " &amp; K$43 &amp; "'!T37"),)</f>
        <v>0</v>
      </c>
      <c r="L45" s="69" cm="1">
        <f t="array" aca="1" ref="L45" ca="1">IFERROR(INDIRECT("'" &amp; $A45 &amp; " " &amp; L$43 &amp; "'!G12"),)</f>
        <v>0</v>
      </c>
      <c r="M45" s="69" cm="1">
        <f t="array" aca="1" ref="M45" ca="1">IFERROR(INDIRECT("'" &amp; $A45 &amp; " " &amp; M$43 &amp; "'!F14"),)</f>
        <v>0</v>
      </c>
      <c r="N45" s="70">
        <f t="shared" ref="N45:N53" ca="1" si="6">SUM(C45:M45)</f>
        <v>10750833.68</v>
      </c>
    </row>
    <row r="46" spans="1:14" ht="14.25" customHeight="1">
      <c r="A46" s="42" t="s">
        <v>31</v>
      </c>
      <c r="B46" s="205">
        <v>45411</v>
      </c>
      <c r="C46" s="202" cm="1">
        <f t="array" aca="1" ref="C46" ca="1">IFERROR(INDIRECT("'" &amp; $A46 &amp; " " &amp; C$43 &amp; "'!T37"),)</f>
        <v>2339.9</v>
      </c>
      <c r="D46" s="202" cm="1">
        <f t="array" aca="1" ref="D46" ca="1">IFERROR(INDIRECT("'" &amp; $A46 &amp; " " &amp; D$43 &amp; "'!T37"),)</f>
        <v>141249.06</v>
      </c>
      <c r="E46" s="206" cm="1">
        <f t="array" aca="1" ref="E46" ca="1">IFERROR(INDIRECT("'" &amp; $A46 &amp; " " &amp; E$43 &amp; "'!T37"),)</f>
        <v>10801517.48</v>
      </c>
      <c r="F46" s="206" cm="1">
        <f t="array" aca="1" ref="F46" ca="1">IFERROR(INDIRECT("'" &amp; $A46 &amp; " " &amp; F$43 &amp; "'!T37"),)</f>
        <v>0</v>
      </c>
      <c r="G46" s="206" cm="1">
        <f t="array" aca="1" ref="G46" ca="1">IFERROR(INDIRECT("'" &amp; $A46 &amp; " " &amp; G$43 &amp; "'!T37"),)</f>
        <v>0</v>
      </c>
      <c r="H46" s="206" cm="1">
        <f t="array" aca="1" ref="H46" ca="1">IFERROR(INDIRECT("'" &amp; $A46 &amp; " " &amp; H$43 &amp; "'!T37"),)</f>
        <v>0</v>
      </c>
      <c r="I46" s="206" cm="1">
        <f t="array" aca="1" ref="I46" ca="1">IFERROR(INDIRECT("'" &amp; $A46 &amp; " " &amp; I$43 &amp; "'!T37"),)</f>
        <v>0</v>
      </c>
      <c r="J46" s="206" cm="1">
        <f t="array" aca="1" ref="J46" ca="1">IFERROR(INDIRECT("'" &amp; $A46 &amp; " " &amp; J$43 &amp; "'!T37"),)</f>
        <v>0</v>
      </c>
      <c r="K46" s="206" cm="1">
        <f t="array" aca="1" ref="K46" ca="1">IFERROR(INDIRECT("'" &amp; $A46 &amp; " " &amp; K$43 &amp; "'!T37"),)</f>
        <v>107814.29</v>
      </c>
      <c r="L46" s="202" cm="1">
        <f t="array" aca="1" ref="L46" ca="1">IFERROR(INDIRECT("'" &amp; $A46 &amp; " " &amp; L$43 &amp; "'!G12"),)</f>
        <v>190320</v>
      </c>
      <c r="M46" s="69" cm="1">
        <f t="array" aca="1" ref="M46" ca="1">IFERROR(INDIRECT("'" &amp; $A46 &amp; " " &amp; M$43 &amp; "'!F14"),)</f>
        <v>0</v>
      </c>
      <c r="N46" s="70">
        <f t="shared" ca="1" si="6"/>
        <v>11243240.73</v>
      </c>
    </row>
    <row r="47" spans="1:14" ht="14.25" customHeight="1">
      <c r="A47" s="71" t="s">
        <v>32</v>
      </c>
      <c r="B47" s="207">
        <v>45411</v>
      </c>
      <c r="C47" s="202" cm="1">
        <f t="array" aca="1" ref="C47" ca="1">IFERROR(INDIRECT("'" &amp; $A47 &amp; " " &amp; C$43 &amp; "'!T37"),)</f>
        <v>17732.810000000001</v>
      </c>
      <c r="D47" s="202" cm="1">
        <f t="array" aca="1" ref="D47" ca="1">IFERROR(INDIRECT("'" &amp; $A47 &amp; " " &amp; D$43 &amp; "'!T37"),)</f>
        <v>23583.77</v>
      </c>
      <c r="E47" s="202" cm="1">
        <f t="array" aca="1" ref="E47" ca="1">IFERROR(INDIRECT("'" &amp; $A47 &amp; " " &amp; E$43 &amp; "'!T37"),)</f>
        <v>5817472.4000000004</v>
      </c>
      <c r="F47" s="206" cm="1">
        <f t="array" aca="1" ref="F47" ca="1">IFERROR(INDIRECT("'" &amp; $A47 &amp; " " &amp; F$43 &amp; "'!T37"),)</f>
        <v>0</v>
      </c>
      <c r="G47" s="206" cm="1">
        <f t="array" aca="1" ref="G47" ca="1">IFERROR(INDIRECT("'" &amp; $A47 &amp; " " &amp; G$43 &amp; "'!T37"),)</f>
        <v>0</v>
      </c>
      <c r="H47" s="206" cm="1">
        <f t="array" aca="1" ref="H47" ca="1">IFERROR(INDIRECT("'" &amp; $A47 &amp; " " &amp; H$43 &amp; "'!T37"),)</f>
        <v>0</v>
      </c>
      <c r="I47" s="206" cm="1">
        <f t="array" aca="1" ref="I47" ca="1">IFERROR(INDIRECT("'" &amp; $A47 &amp; " " &amp; I$43 &amp; "'!T37"),)</f>
        <v>0</v>
      </c>
      <c r="J47" s="202" cm="1">
        <f t="array" aca="1" ref="J47" ca="1">IFERROR(INDIRECT("'" &amp; $A47 &amp; " " &amp; J$43 &amp; "'!T37"),)</f>
        <v>2280916.4500000002</v>
      </c>
      <c r="K47" s="206" cm="1">
        <f t="array" aca="1" ref="K47" ca="1">IFERROR(INDIRECT("'" &amp; $A47 &amp; " " &amp; K$43 &amp; "'!T37"),)</f>
        <v>0</v>
      </c>
      <c r="L47" s="69" cm="1">
        <f t="array" aca="1" ref="L47" ca="1">IFERROR(INDIRECT("'" &amp; $A47 &amp; " " &amp; L$43 &amp; "'!G12"),)</f>
        <v>0</v>
      </c>
      <c r="M47" s="69" cm="1">
        <f t="array" aca="1" ref="M47" ca="1">IFERROR(INDIRECT("'" &amp; $A47 &amp; " " &amp; M$43 &amp; "'!F14"),)</f>
        <v>0</v>
      </c>
      <c r="N47" s="70">
        <f t="shared" ca="1" si="6"/>
        <v>8139705.4300000006</v>
      </c>
    </row>
    <row r="48" spans="1:14" ht="14.25" customHeight="1">
      <c r="A48" s="71" t="s">
        <v>33</v>
      </c>
      <c r="B48" s="207">
        <v>45411</v>
      </c>
      <c r="C48" s="206" cm="1">
        <f t="array" aca="1" ref="C48" ca="1">IFERROR(INDIRECT("'" &amp; $A48 &amp; " " &amp; C$43 &amp; "'!T37"),)</f>
        <v>0</v>
      </c>
      <c r="D48" s="206" cm="1">
        <f t="array" aca="1" ref="D48" ca="1">IFERROR(INDIRECT("'" &amp; $A48 &amp; " " &amp; D$43 &amp; "'!T37"),)</f>
        <v>0</v>
      </c>
      <c r="E48" s="206" cm="1">
        <f t="array" aca="1" ref="E48" ca="1">IFERROR(INDIRECT("'" &amp; $A48 &amp; " " &amp; E$43 &amp; "'!T37"),)</f>
        <v>0</v>
      </c>
      <c r="F48" s="206" cm="1">
        <f t="array" aca="1" ref="F48" ca="1">IFERROR(INDIRECT("'" &amp; $A48 &amp; " " &amp; F$43 &amp; "'!T37"),)</f>
        <v>0</v>
      </c>
      <c r="G48" s="206" cm="1">
        <f t="array" aca="1" ref="G48" ca="1">IFERROR(INDIRECT("'" &amp; $A48 &amp; " " &amp; G$43 &amp; "'!T37"),)</f>
        <v>0</v>
      </c>
      <c r="H48" s="206" cm="1">
        <f t="array" aca="1" ref="H48" ca="1">IFERROR(INDIRECT("'" &amp; $A48 &amp; " " &amp; H$43 &amp; "'!T37"),)</f>
        <v>0</v>
      </c>
      <c r="I48" s="206" cm="1">
        <f t="array" aca="1" ref="I48" ca="1">IFERROR(INDIRECT("'" &amp; $A48 &amp; " " &amp; I$43 &amp; "'!T37"),)</f>
        <v>0</v>
      </c>
      <c r="J48" s="202" cm="1">
        <f t="array" aca="1" ref="J48" ca="1">IFERROR(INDIRECT("'" &amp; $A48 &amp; " " &amp; J$43 &amp; "'!T37"),)</f>
        <v>6161036.79</v>
      </c>
      <c r="K48" s="206" cm="1">
        <f t="array" aca="1" ref="K48" ca="1">IFERROR(INDIRECT("'" &amp; $A48 &amp; " " &amp; K$43 &amp; "'!T37"),)</f>
        <v>0</v>
      </c>
      <c r="L48" s="69" cm="1">
        <f t="array" aca="1" ref="L48" ca="1">IFERROR(INDIRECT("'" &amp; $A48 &amp; " " &amp; L$43 &amp; "'!G12"),)</f>
        <v>0</v>
      </c>
      <c r="M48" s="69" cm="1">
        <f t="array" aca="1" ref="M48" ca="1">IFERROR(INDIRECT("'" &amp; $A48 &amp; " " &amp; M$43 &amp; "'!F14"),)</f>
        <v>0</v>
      </c>
      <c r="N48" s="70">
        <f t="shared" ca="1" si="6"/>
        <v>6161036.79</v>
      </c>
    </row>
    <row r="49" spans="1:14" ht="14.25" customHeight="1">
      <c r="A49" s="42" t="s">
        <v>27</v>
      </c>
      <c r="B49" s="205">
        <v>45411</v>
      </c>
      <c r="C49" s="206" cm="1">
        <f t="array" aca="1" ref="C49" ca="1">IFERROR(INDIRECT("'" &amp; $A49 &amp; " " &amp; C$43 &amp; "'!T37"),)</f>
        <v>0</v>
      </c>
      <c r="D49" s="206" cm="1">
        <f t="array" aca="1" ref="D49" ca="1">IFERROR(INDIRECT("'" &amp; $A49 &amp; " " &amp; D$43 &amp; "'!T37"),)</f>
        <v>13569.06</v>
      </c>
      <c r="E49" s="206" cm="1">
        <f t="array" aca="1" ref="E49" ca="1">IFERROR(INDIRECT("'" &amp; $A49 &amp; " " &amp; E$43 &amp; "'!T37"),)</f>
        <v>18440677.98</v>
      </c>
      <c r="F49" s="206" cm="1">
        <f t="array" aca="1" ref="F49" ca="1">IFERROR(INDIRECT("'" &amp; $A49 &amp; " " &amp; F$43 &amp; "'!T37"),)</f>
        <v>0</v>
      </c>
      <c r="G49" s="206" cm="1">
        <f t="array" aca="1" ref="G49" ca="1">IFERROR(INDIRECT("'" &amp; $A49 &amp; " " &amp; G$43 &amp; "'!T37"),)</f>
        <v>0</v>
      </c>
      <c r="H49" s="206" cm="1">
        <f t="array" aca="1" ref="H49" ca="1">IFERROR(INDIRECT("'" &amp; $A49 &amp; " " &amp; H$43 &amp; "'!T37"),)</f>
        <v>0</v>
      </c>
      <c r="I49" s="206" cm="1">
        <f t="array" aca="1" ref="I49" ca="1">IFERROR(INDIRECT("'" &amp; $A49 &amp; " " &amp; I$43 &amp; "'!T37"),)</f>
        <v>0</v>
      </c>
      <c r="J49" s="206" cm="1">
        <f t="array" aca="1" ref="J49" ca="1">IFERROR(INDIRECT("'" &amp; $A49 &amp; " " &amp; J$43 &amp; "'!T37"),)</f>
        <v>0</v>
      </c>
      <c r="K49" s="206" cm="1">
        <f t="array" aca="1" ref="K49" ca="1">IFERROR(INDIRECT("'" &amp; $A49 &amp; " " &amp; K$43 &amp; "'!T37"),)</f>
        <v>0</v>
      </c>
      <c r="L49" s="202" cm="1">
        <f t="array" aca="1" ref="L49" ca="1">IFERROR(INDIRECT("'" &amp; $A49 &amp; " " &amp; L$43 &amp; "'!G12"),)</f>
        <v>14640</v>
      </c>
      <c r="M49" s="69" cm="1">
        <f t="array" aca="1" ref="M49" ca="1">IFERROR(INDIRECT("'" &amp; $A49 &amp; " " &amp; M$43 &amp; "'!F14"),)</f>
        <v>0</v>
      </c>
      <c r="N49" s="70">
        <f t="shared" ca="1" si="6"/>
        <v>18468887.039999999</v>
      </c>
    </row>
    <row r="50" spans="1:14" ht="14.25" customHeight="1">
      <c r="A50" s="42" t="s">
        <v>34</v>
      </c>
      <c r="B50" s="205">
        <v>45411</v>
      </c>
      <c r="C50" s="206" cm="1">
        <f t="array" aca="1" ref="C50" ca="1">IFERROR(INDIRECT("'" &amp; $A50 &amp; " " &amp; C$43 &amp; "'!T37"),)</f>
        <v>0</v>
      </c>
      <c r="D50" s="206" cm="1">
        <f t="array" aca="1" ref="D50" ca="1">IFERROR(INDIRECT("'" &amp; $A50 &amp; " " &amp; D$43 &amp; "'!T37"),)</f>
        <v>0</v>
      </c>
      <c r="E50" s="202" cm="1">
        <f t="array" aca="1" ref="E50" ca="1">IFERROR(INDIRECT("'" &amp; $A50 &amp; " " &amp; E$43 &amp; "'!T37"),)</f>
        <v>9661525.4100000001</v>
      </c>
      <c r="F50" s="206" cm="1">
        <f t="array" aca="1" ref="F50" ca="1">IFERROR(INDIRECT("'" &amp; $A50 &amp; " " &amp; F$43 &amp; "'!T37"),)</f>
        <v>0</v>
      </c>
      <c r="G50" s="206" cm="1">
        <f t="array" aca="1" ref="G50" ca="1">IFERROR(INDIRECT("'" &amp; $A50 &amp; " " &amp; G$43 &amp; "'!T37"),)</f>
        <v>0</v>
      </c>
      <c r="H50" s="206" cm="1">
        <f t="array" aca="1" ref="H50" ca="1">IFERROR(INDIRECT("'" &amp; $A50 &amp; " " &amp; H$43 &amp; "'!T37"),)</f>
        <v>0</v>
      </c>
      <c r="I50" s="206" cm="1">
        <f t="array" aca="1" ref="I50" ca="1">IFERROR(INDIRECT("'" &amp; $A50 &amp; " " &amp; I$43 &amp; "'!T37"),)</f>
        <v>0</v>
      </c>
      <c r="J50" s="206" cm="1">
        <f t="array" aca="1" ref="J50" ca="1">IFERROR(INDIRECT("'" &amp; $A50 &amp; " " &amp; J$43 &amp; "'!T37"),)</f>
        <v>0</v>
      </c>
      <c r="K50" s="206" cm="1">
        <f t="array" aca="1" ref="K50" ca="1">IFERROR(INDIRECT("'" &amp; $A50 &amp; " " &amp; K$43 &amp; "'!T37"),)</f>
        <v>0</v>
      </c>
      <c r="L50" s="202" cm="1">
        <f t="array" aca="1" ref="L50" ca="1">IFERROR(INDIRECT("'" &amp; $A50 &amp; " " &amp; L$43 &amp; "'!G12"),)</f>
        <v>2440</v>
      </c>
      <c r="M50" s="69" cm="1">
        <f t="array" aca="1" ref="M50" ca="1">IFERROR(INDIRECT("'" &amp; $A50 &amp; " " &amp; M$43 &amp; "'!F14"),)</f>
        <v>0</v>
      </c>
      <c r="N50" s="70">
        <f t="shared" ca="1" si="6"/>
        <v>9663965.4100000001</v>
      </c>
    </row>
    <row r="51" spans="1:14" ht="14.25" customHeight="1">
      <c r="A51" s="42" t="s">
        <v>35</v>
      </c>
      <c r="B51" s="205">
        <v>45411</v>
      </c>
      <c r="C51" s="206" cm="1">
        <f t="array" aca="1" ref="C51" ca="1">IFERROR(INDIRECT("'" &amp; $A51 &amp; " " &amp; C$43 &amp; "'!T37"),)</f>
        <v>0</v>
      </c>
      <c r="D51" s="206" cm="1">
        <f t="array" aca="1" ref="D51" ca="1">IFERROR(INDIRECT("'" &amp; $A51 &amp; " " &amp; D$43 &amp; "'!T37"),)</f>
        <v>0</v>
      </c>
      <c r="E51" s="202" cm="1">
        <f t="array" aca="1" ref="E51" ca="1">IFERROR(INDIRECT("'" &amp; $A51 &amp; " " &amp; E$43 &amp; "'!T37"),)</f>
        <v>8278686.5199999996</v>
      </c>
      <c r="F51" s="206" cm="1">
        <f t="array" aca="1" ref="F51" ca="1">IFERROR(INDIRECT("'" &amp; $A51 &amp; " " &amp; F$43 &amp; "'!T37"),)</f>
        <v>0</v>
      </c>
      <c r="G51" s="206" cm="1">
        <f t="array" aca="1" ref="G51" ca="1">IFERROR(INDIRECT("'" &amp; $A51 &amp; " " &amp; G$43 &amp; "'!T37"),)</f>
        <v>0</v>
      </c>
      <c r="H51" s="206" cm="1">
        <f t="array" aca="1" ref="H51" ca="1">IFERROR(INDIRECT("'" &amp; $A51 &amp; " " &amp; H$43 &amp; "'!T37"),)</f>
        <v>0</v>
      </c>
      <c r="I51" s="206" cm="1">
        <f t="array" aca="1" ref="I51" ca="1">IFERROR(INDIRECT("'" &amp; $A51 &amp; " " &amp; I$43 &amp; "'!T37"),)</f>
        <v>0</v>
      </c>
      <c r="J51" s="206" cm="1">
        <f t="array" aca="1" ref="J51" ca="1">IFERROR(INDIRECT("'" &amp; $A51 &amp; " " &amp; J$43 &amp; "'!T37"),)</f>
        <v>0</v>
      </c>
      <c r="K51" s="206" cm="1">
        <f t="array" aca="1" ref="K51" ca="1">IFERROR(INDIRECT("'" &amp; $A51 &amp; " " &amp; K$43 &amp; "'!T37"),)</f>
        <v>0</v>
      </c>
      <c r="L51" s="69" cm="1">
        <f t="array" aca="1" ref="L51" ca="1">IFERROR(INDIRECT("'" &amp; $A51 &amp; " " &amp; L$43 &amp; "'!G12"),)</f>
        <v>0</v>
      </c>
      <c r="M51" s="202" cm="1">
        <f t="array" aca="1" ref="M51" ca="1">IFERROR(INDIRECT("'" &amp; $A51 &amp; " " &amp; M$43 &amp; "'!F14"),)</f>
        <v>271660.5</v>
      </c>
      <c r="N51" s="70">
        <f t="shared" ca="1" si="6"/>
        <v>8550347.0199999996</v>
      </c>
    </row>
    <row r="52" spans="1:14" ht="14.25" customHeight="1">
      <c r="A52" s="42" t="s">
        <v>36</v>
      </c>
      <c r="B52" s="205"/>
      <c r="C52" s="206" cm="1">
        <f t="array" aca="1" ref="C52" ca="1">IFERROR(INDIRECT("'" &amp; $A52 &amp; " " &amp; C$43 &amp; "'!T37"),)</f>
        <v>0</v>
      </c>
      <c r="D52" s="206" cm="1">
        <f t="array" aca="1" ref="D52" ca="1">IFERROR(INDIRECT("'" &amp; $A52 &amp; " " &amp; D$43 &amp; "'!T37"),)</f>
        <v>0</v>
      </c>
      <c r="E52" s="206" cm="1">
        <f t="array" aca="1" ref="E52" ca="1">IFERROR(INDIRECT("'" &amp; $A52 &amp; " " &amp; E$43 &amp; "'!T37"),)</f>
        <v>0</v>
      </c>
      <c r="F52" s="202" cm="1">
        <f t="array" aca="1" ref="F52" ca="1">IFERROR(INDIRECT("'" &amp; $A52 &amp; " " &amp; F$43 &amp; "'!T37"),)</f>
        <v>2245656.42</v>
      </c>
      <c r="G52" s="202" cm="1">
        <f t="array" aca="1" ref="G52" ca="1">IFERROR(INDIRECT("'" &amp; $A52 &amp; " " &amp; G$43 &amp; "'!T37"),)</f>
        <v>2528887.89</v>
      </c>
      <c r="H52" s="206" cm="1">
        <f t="array" aca="1" ref="H52" ca="1">IFERROR(INDIRECT("'" &amp; $A52 &amp; " " &amp; H$43 &amp; "'!T37"),)</f>
        <v>0</v>
      </c>
      <c r="I52" s="202" cm="1">
        <f t="array" aca="1" ref="I52" ca="1">IFERROR(INDIRECT("'" &amp; $A52 &amp; " " &amp; I$43 &amp; "'!T37"),)</f>
        <v>53.04</v>
      </c>
      <c r="J52" s="206" cm="1">
        <f t="array" aca="1" ref="J52" ca="1">IFERROR(INDIRECT("'" &amp; $A52 &amp; " " &amp; J$43 &amp; "'!T37"),)</f>
        <v>0</v>
      </c>
      <c r="K52" s="202" cm="1">
        <f t="array" aca="1" ref="K52" ca="1">IFERROR(INDIRECT("'" &amp; $A52 &amp; " " &amp; K$43 &amp; "'!T37"),)</f>
        <v>863.71</v>
      </c>
      <c r="L52" s="202" cm="1">
        <f t="array" aca="1" ref="L52" ca="1">IFERROR(INDIRECT("'" &amp; $A52 &amp; " " &amp; L$43 &amp; "'!G12"),)</f>
        <v>31720</v>
      </c>
      <c r="M52" s="69" cm="1">
        <f t="array" aca="1" ref="M52" ca="1">IFERROR(INDIRECT("'" &amp; $A52 &amp; " " &amp; M$43 &amp; "'!F14"),)</f>
        <v>0</v>
      </c>
      <c r="N52" s="70">
        <f t="shared" ca="1" si="6"/>
        <v>4807181.0600000005</v>
      </c>
    </row>
    <row r="53" spans="1:14" ht="14.25" customHeight="1">
      <c r="A53" s="42" t="s">
        <v>39</v>
      </c>
      <c r="B53" s="68"/>
      <c r="C53" s="69" cm="1">
        <f t="array" aca="1" ref="C53" ca="1">IFERROR(INDIRECT("'" &amp; $A53 &amp; "'!F16"),) + IFERROR(INDIRECT("'" &amp; $A53 &amp; "'!F17"),)</f>
        <v>0</v>
      </c>
      <c r="D53" s="69" cm="1">
        <f t="array" aca="1" ref="D53" ca="1">IFERROR(INDIRECT("'" &amp; $A53 &amp; "'!F16"),) + IFERROR(INDIRECT("'" &amp; $A53 &amp; "'!F17"),)</f>
        <v>0</v>
      </c>
      <c r="E53" s="69" cm="1">
        <f t="array" aca="1" ref="E53" ca="1">IFERROR(INDIRECT("'" &amp; $A53 &amp; "'!F16"),) + IFERROR(INDIRECT("'" &amp; $A53 &amp; "'!F17"),)</f>
        <v>0</v>
      </c>
      <c r="F53" s="69" cm="1">
        <f t="array" aca="1" ref="F53" ca="1">IFERROR(INDIRECT("'" &amp; $A53 &amp; "'!F16"),) + IFERROR(INDIRECT("'" &amp; $A53 &amp; "'!F17"),)</f>
        <v>0</v>
      </c>
      <c r="G53" s="69" cm="1">
        <f t="array" aca="1" ref="G53" ca="1">IFERROR(INDIRECT("'" &amp; $A53 &amp; "'!F16"),) + IFERROR(INDIRECT("'" &amp; $A53 &amp; "'!F17"),)</f>
        <v>0</v>
      </c>
      <c r="H53" s="69" cm="1">
        <f t="array" aca="1" ref="H53" ca="1">IFERROR(INDIRECT("'" &amp; $A53 &amp; "'!F16"),) + IFERROR(INDIRECT("'" &amp; $A53 &amp; "'!F17"),)</f>
        <v>0</v>
      </c>
      <c r="I53" s="69" cm="1">
        <f t="array" aca="1" ref="I53" ca="1">IFERROR(INDIRECT("'" &amp; $A53 &amp; "'!F16"),) + IFERROR(INDIRECT("'" &amp; $A53 &amp; "'!F17"),)</f>
        <v>0</v>
      </c>
      <c r="J53" s="69" cm="1">
        <f t="array" aca="1" ref="J53" ca="1">IFERROR(INDIRECT("'" &amp; $A53 &amp; "'!F16"),) + IFERROR(INDIRECT("'" &amp; $A53 &amp; "'!F17"),)</f>
        <v>0</v>
      </c>
      <c r="K53" s="69" cm="1">
        <f t="array" aca="1" ref="K53" ca="1">IFERROR(INDIRECT("'" &amp; $A53 &amp; "'!F16"),) + IFERROR(INDIRECT("'" &amp; $A53 &amp; "'!F17"),)</f>
        <v>0</v>
      </c>
      <c r="L53" s="69" cm="1">
        <f t="array" aca="1" ref="L53" ca="1">IFERROR(INDIRECT("'" &amp; $A53 &amp; " " &amp; L$43 &amp; "'!G12"),)</f>
        <v>0</v>
      </c>
      <c r="M53" s="69" cm="1">
        <f t="array" aca="1" ref="M53" ca="1">IFERROR(INDIRECT("'" &amp; $A53 &amp; " " &amp; M$43 &amp; "'!F14"),)</f>
        <v>0</v>
      </c>
      <c r="N53" s="70">
        <f t="shared" ca="1" si="6"/>
        <v>0</v>
      </c>
    </row>
    <row r="54" spans="1:14" ht="14.25" customHeight="1" thickBot="1">
      <c r="A54" s="52"/>
      <c r="B54" s="72"/>
      <c r="C54" s="72"/>
      <c r="D54" s="72"/>
      <c r="E54" s="72"/>
      <c r="F54" s="72"/>
      <c r="G54" s="72"/>
      <c r="H54" s="72"/>
      <c r="I54" s="72"/>
      <c r="J54" s="73"/>
    </row>
    <row r="55" spans="1:14" ht="14.25" customHeight="1" thickBot="1">
      <c r="A55" s="74" t="s">
        <v>23</v>
      </c>
      <c r="B55" s="49">
        <f ca="1">SUM(B56:B66)</f>
        <v>7009556.8784999978</v>
      </c>
    </row>
    <row r="56" spans="1:14" ht="14.25" customHeight="1">
      <c r="A56" s="68" t="s">
        <v>28</v>
      </c>
      <c r="B56" s="33" cm="1">
        <f t="array" aca="1" ref="B56" ca="1">IFERROR(INDIRECT("'РВ " &amp; A56 &amp; "'!O38"),0)</f>
        <v>507717.02999999997</v>
      </c>
    </row>
    <row r="57" spans="1:14" ht="14.25" customHeight="1">
      <c r="A57" s="42" t="s">
        <v>30</v>
      </c>
      <c r="B57" s="33" cm="1">
        <f t="array" aca="1" ref="B57" ca="1">IFERROR(INDIRECT("'РВ " &amp; A57 &amp; "'!O38"),0)</f>
        <v>809022.22949999955</v>
      </c>
    </row>
    <row r="58" spans="1:14" ht="14.25" customHeight="1">
      <c r="A58" s="42" t="s">
        <v>38</v>
      </c>
      <c r="B58" s="33" cm="1">
        <f t="array" aca="1" ref="B58" ca="1">IFERROR(INDIRECT("'РВ " &amp; A58 &amp; "'!O38"),0)</f>
        <v>0</v>
      </c>
    </row>
    <row r="59" spans="1:14" ht="14.25" customHeight="1">
      <c r="A59" s="42" t="s">
        <v>31</v>
      </c>
      <c r="B59" s="33" cm="1">
        <f t="array" aca="1" ref="B59" ca="1">IFERROR(INDIRECT("'РВ " &amp; A59 &amp; "'!O38"),0)</f>
        <v>0</v>
      </c>
    </row>
    <row r="60" spans="1:14" ht="14.25" customHeight="1">
      <c r="A60" s="71" t="s">
        <v>32</v>
      </c>
      <c r="B60" s="33" cm="1">
        <f t="array" aca="1" ref="B60" ca="1">IFERROR(INDIRECT("'РВ " &amp; A60 &amp; "'!O38"),0)</f>
        <v>0</v>
      </c>
    </row>
    <row r="61" spans="1:14" ht="14.25" customHeight="1">
      <c r="A61" s="42" t="s">
        <v>34</v>
      </c>
      <c r="B61" s="33" cm="1">
        <f t="array" aca="1" ref="B61" ca="1">IFERROR(INDIRECT("'РВ " &amp; A61 &amp; "'!O38"),0)</f>
        <v>0</v>
      </c>
    </row>
    <row r="62" spans="1:14" ht="14.25" customHeight="1">
      <c r="A62" s="42" t="s">
        <v>27</v>
      </c>
      <c r="B62" s="33" cm="1">
        <f t="array" aca="1" ref="B62" ca="1">IFERROR(INDIRECT("'РВ " &amp; A62 &amp; "'!O38"),0)</f>
        <v>0</v>
      </c>
    </row>
    <row r="63" spans="1:14" ht="14.25" customHeight="1">
      <c r="A63" s="42" t="s">
        <v>35</v>
      </c>
      <c r="B63" s="33" cm="1">
        <f t="array" aca="1" ref="B63" ca="1">IFERROR(INDIRECT("'РВ " &amp; A63 &amp; "'!O38"),0)</f>
        <v>0</v>
      </c>
    </row>
    <row r="64" spans="1:14" ht="14.25" customHeight="1">
      <c r="A64" s="42" t="s">
        <v>36</v>
      </c>
      <c r="B64" s="33" cm="1">
        <f t="array" aca="1" ref="B64" ca="1">IFERROR(INDIRECT("'РВ " &amp; A64 &amp; "'!O38"),0)</f>
        <v>0</v>
      </c>
    </row>
    <row r="65" spans="1:2" ht="14.25" customHeight="1">
      <c r="A65" s="42" t="s">
        <v>29</v>
      </c>
      <c r="B65" s="33" cm="1">
        <f t="array" aca="1" ref="B65" ca="1">IFERROR(INDIRECT("'РВ " &amp; A65 &amp; "'!O38"),0)</f>
        <v>0</v>
      </c>
    </row>
    <row r="66" spans="1:2" ht="14.25" customHeight="1">
      <c r="A66" s="42" t="s">
        <v>39</v>
      </c>
      <c r="B66" s="33" cm="1">
        <f t="array" aca="1" ref="B66" ca="1">IFERROR(INDIRECT("'РВ " &amp; A66 &amp; "'!O38"),0)+IFERROR(INDIRECT("Резерв!i38"),0)</f>
        <v>5692817.6189999981</v>
      </c>
    </row>
    <row r="67" spans="1:2" ht="14.25" customHeight="1">
      <c r="A67" s="71" t="s">
        <v>33</v>
      </c>
      <c r="B67" s="33" cm="1">
        <f t="array" aca="1" ref="B67" ca="1">IFERROR(INDIRECT("'РВ " &amp; A67 &amp; "'!O38"),0)</f>
        <v>0</v>
      </c>
    </row>
    <row r="68" spans="1:2" ht="14.25" customHeight="1"/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</sheetData>
  <mergeCells count="18">
    <mergeCell ref="K42:M42"/>
    <mergeCell ref="A31:B31"/>
    <mergeCell ref="A32:B32"/>
    <mergeCell ref="A33:B33"/>
    <mergeCell ref="A34:B34"/>
    <mergeCell ref="A36:B36"/>
    <mergeCell ref="A37:B37"/>
    <mergeCell ref="A38:B38"/>
    <mergeCell ref="A39:B39"/>
    <mergeCell ref="A40:B40"/>
    <mergeCell ref="A41:B41"/>
    <mergeCell ref="A42:J42"/>
    <mergeCell ref="A30:B30"/>
    <mergeCell ref="A1:G1"/>
    <mergeCell ref="I2:J2"/>
    <mergeCell ref="A18:B18"/>
    <mergeCell ref="E18:F18"/>
    <mergeCell ref="A29:B29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F0A5-065D-424D-8D06-B4E39C47AD4A}">
  <sheetPr codeName="Лист4"/>
  <dimension ref="A1:F9"/>
  <sheetViews>
    <sheetView workbookViewId="0">
      <selection activeCell="A29" sqref="A29"/>
    </sheetView>
  </sheetViews>
  <sheetFormatPr defaultRowHeight="15"/>
  <cols>
    <col min="1" max="1" width="26.796875" style="2" customWidth="1"/>
    <col min="2" max="2" width="28.8984375" style="2" customWidth="1"/>
    <col min="3" max="3" width="8.796875" style="2"/>
    <col min="4" max="4" width="9.296875" style="2" customWidth="1"/>
    <col min="5" max="5" width="10.19921875" style="2" bestFit="1" customWidth="1"/>
    <col min="6" max="6" width="11.296875" style="2" customWidth="1"/>
    <col min="7" max="16384" width="8.796875" style="2"/>
  </cols>
  <sheetData>
    <row r="1" spans="1:6" ht="15.75">
      <c r="A1" s="1"/>
      <c r="B1" s="75"/>
    </row>
    <row r="3" spans="1:6" ht="21">
      <c r="A3" s="76"/>
    </row>
    <row r="4" spans="1:6">
      <c r="A4" s="21"/>
      <c r="B4" s="21"/>
      <c r="C4" s="21"/>
    </row>
    <row r="5" spans="1:6">
      <c r="A5" s="21"/>
      <c r="B5" s="21"/>
      <c r="C5" s="21"/>
    </row>
    <row r="7" spans="1:6">
      <c r="A7" s="77"/>
    </row>
    <row r="9" spans="1:6">
      <c r="E9" s="21"/>
      <c r="F9" s="21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4223-3098-48A8-9435-961A887419BB}">
  <sheetPr codeName="Лист5"/>
  <dimension ref="A3:F23"/>
  <sheetViews>
    <sheetView workbookViewId="0">
      <selection activeCell="F20" sqref="F20"/>
    </sheetView>
  </sheetViews>
  <sheetFormatPr defaultRowHeight="15"/>
  <cols>
    <col min="1" max="1" width="8.796875" style="2"/>
    <col min="2" max="2" width="28.8984375" style="2" customWidth="1"/>
    <col min="3" max="3" width="8.796875" style="2"/>
    <col min="4" max="4" width="9.296875" style="2" customWidth="1"/>
    <col min="5" max="5" width="11.8984375" style="2" customWidth="1"/>
    <col min="6" max="6" width="11.296875" style="2" customWidth="1"/>
    <col min="7" max="16384" width="8.796875" style="2"/>
  </cols>
  <sheetData>
    <row r="3" spans="1:6" ht="21">
      <c r="A3" s="76"/>
    </row>
    <row r="4" spans="1:6">
      <c r="A4" s="21"/>
      <c r="B4" s="21"/>
      <c r="C4" s="21"/>
    </row>
    <row r="5" spans="1:6">
      <c r="A5" s="21"/>
      <c r="B5" s="21"/>
      <c r="C5" s="21"/>
    </row>
    <row r="7" spans="1:6">
      <c r="A7" s="77"/>
    </row>
    <row r="9" spans="1:6">
      <c r="A9" s="78" t="s">
        <v>0</v>
      </c>
      <c r="B9" s="78" t="s">
        <v>78</v>
      </c>
      <c r="C9" s="78" t="s">
        <v>79</v>
      </c>
      <c r="D9" s="78" t="s">
        <v>80</v>
      </c>
      <c r="E9" s="78" t="s">
        <v>81</v>
      </c>
      <c r="F9" s="78" t="s">
        <v>82</v>
      </c>
    </row>
    <row r="10" spans="1:6" ht="15.75" thickBot="1">
      <c r="A10" s="79"/>
      <c r="B10" s="80"/>
      <c r="C10" s="79"/>
      <c r="D10" s="81"/>
      <c r="E10" s="82"/>
      <c r="F10" s="82"/>
    </row>
    <row r="11" spans="1:6">
      <c r="A11" s="79"/>
      <c r="B11" s="83"/>
      <c r="C11" s="79"/>
      <c r="D11" s="79"/>
      <c r="E11" s="82"/>
      <c r="F11" s="82"/>
    </row>
    <row r="12" spans="1:6">
      <c r="A12" s="79"/>
      <c r="B12" s="84"/>
      <c r="C12" s="79"/>
      <c r="D12" s="79"/>
      <c r="E12" s="82"/>
      <c r="F12" s="82"/>
    </row>
    <row r="13" spans="1:6">
      <c r="A13" s="79"/>
      <c r="B13" s="80"/>
      <c r="C13" s="79"/>
      <c r="D13" s="79"/>
      <c r="E13" s="82"/>
      <c r="F13" s="82"/>
    </row>
    <row r="14" spans="1:6" ht="15.75">
      <c r="A14" s="2" t="s">
        <v>83</v>
      </c>
      <c r="E14" s="75"/>
      <c r="F14" s="85">
        <f>SUM(F10:F13)</f>
        <v>0</v>
      </c>
    </row>
    <row r="15" spans="1:6" ht="15.75">
      <c r="A15" s="2" t="s">
        <v>84</v>
      </c>
      <c r="E15" s="75"/>
      <c r="F15" s="85">
        <f>SUM(F14)</f>
        <v>0</v>
      </c>
    </row>
    <row r="16" spans="1:6" ht="15.75">
      <c r="A16" s="2" t="s">
        <v>85</v>
      </c>
      <c r="E16" s="75"/>
      <c r="F16" s="85">
        <f>SUM(F15)*1.2</f>
        <v>0</v>
      </c>
    </row>
    <row r="17" spans="1:6">
      <c r="A17" s="2" t="s">
        <v>86</v>
      </c>
      <c r="E17" s="86" t="s">
        <v>56</v>
      </c>
      <c r="F17" s="86">
        <v>15902450</v>
      </c>
    </row>
    <row r="18" spans="1:6">
      <c r="A18" s="2" t="s">
        <v>87</v>
      </c>
      <c r="E18" s="21" t="s">
        <v>58</v>
      </c>
      <c r="F18" s="86">
        <v>744000</v>
      </c>
    </row>
    <row r="19" spans="1:6">
      <c r="E19" s="21" t="s">
        <v>88</v>
      </c>
      <c r="F19" s="86">
        <v>1831976</v>
      </c>
    </row>
    <row r="20" spans="1:6">
      <c r="E20" s="2" t="s">
        <v>61</v>
      </c>
      <c r="F20" s="87">
        <v>12466430</v>
      </c>
    </row>
    <row r="21" spans="1:6">
      <c r="A21" s="2" t="s">
        <v>89</v>
      </c>
      <c r="D21" s="2" t="s">
        <v>90</v>
      </c>
    </row>
    <row r="23" spans="1:6">
      <c r="A23" s="2" t="s">
        <v>91</v>
      </c>
      <c r="B23" s="2" t="s">
        <v>92</v>
      </c>
      <c r="D23" s="2" t="s">
        <v>93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0909-9E99-4C21-A72D-D93BDC409FC0}">
  <sheetPr codeName="Лист6"/>
  <dimension ref="A1:M40"/>
  <sheetViews>
    <sheetView workbookViewId="0">
      <selection activeCell="G36" sqref="G36"/>
    </sheetView>
  </sheetViews>
  <sheetFormatPr defaultRowHeight="15"/>
  <cols>
    <col min="1" max="2" width="8.796875" style="2"/>
    <col min="3" max="3" width="6.8984375" style="2" bestFit="1" customWidth="1"/>
    <col min="4" max="4" width="8.3984375" style="2" customWidth="1"/>
    <col min="5" max="6" width="8" style="2" customWidth="1"/>
    <col min="7" max="7" width="8.09765625" style="2" customWidth="1"/>
    <col min="8" max="8" width="11.3984375" style="2" customWidth="1"/>
    <col min="9" max="9" width="11.19921875" style="2" customWidth="1"/>
    <col min="10" max="10" width="8.796875" style="2"/>
    <col min="11" max="11" width="12.796875" style="2" customWidth="1"/>
    <col min="12" max="16384" width="8.796875" style="2"/>
  </cols>
  <sheetData>
    <row r="1" spans="1:13">
      <c r="H1" s="88"/>
      <c r="K1" s="78"/>
      <c r="L1" s="78"/>
      <c r="M1" s="78"/>
    </row>
    <row r="2" spans="1:13">
      <c r="H2" s="88"/>
      <c r="K2" s="78"/>
      <c r="L2" s="78"/>
      <c r="M2" s="78"/>
    </row>
    <row r="3" spans="1:13" ht="21">
      <c r="A3" s="76" t="str">
        <f>"Отчет по резерву хранению  товара  РВ " &amp; TEXT(A6,"ММММ ") &amp; YEAR(A6) &amp; ""</f>
        <v>Отчет по резерву хранению  товара  РВ Январь 2026</v>
      </c>
      <c r="H3" s="88"/>
      <c r="K3" s="78"/>
      <c r="L3" s="78"/>
      <c r="M3" s="78"/>
    </row>
    <row r="4" spans="1:13">
      <c r="A4" s="211" t="s">
        <v>1</v>
      </c>
      <c r="B4" s="212"/>
      <c r="C4" s="209" t="s">
        <v>101</v>
      </c>
      <c r="D4" s="209" t="s">
        <v>102</v>
      </c>
      <c r="E4" s="209" t="s">
        <v>103</v>
      </c>
      <c r="F4" s="209" t="s">
        <v>104</v>
      </c>
      <c r="G4" s="209" t="s">
        <v>94</v>
      </c>
      <c r="H4" s="235" t="s">
        <v>105</v>
      </c>
      <c r="I4" s="209" t="s">
        <v>18</v>
      </c>
    </row>
    <row r="5" spans="1:13">
      <c r="A5" s="213"/>
      <c r="B5" s="214"/>
      <c r="C5" s="210"/>
      <c r="D5" s="210"/>
      <c r="E5" s="210"/>
      <c r="F5" s="210"/>
      <c r="G5" s="210"/>
      <c r="H5" s="236"/>
      <c r="I5" s="210"/>
    </row>
    <row r="6" spans="1:13">
      <c r="A6" s="233">
        <v>46023</v>
      </c>
      <c r="B6" s="234"/>
      <c r="C6" s="97">
        <f>'[1]РВ Баумана'!G6</f>
        <v>883.22500000000002</v>
      </c>
      <c r="D6" s="98">
        <f>'[1]РВ Новикова-Прибоя'!G6</f>
        <v>190.67</v>
      </c>
      <c r="E6" s="98">
        <f>'[1]РВ Березовая Пойма'!G6</f>
        <v>786.23</v>
      </c>
      <c r="F6" s="98">
        <f>SUM(C6:E6)</f>
        <v>1860.125</v>
      </c>
      <c r="G6" s="99">
        <f>IF(8000-F6&lt;0,0,8000-F6)</f>
        <v>6139.875</v>
      </c>
      <c r="H6" s="91">
        <f>G6*15</f>
        <v>92098.125</v>
      </c>
      <c r="I6" s="91">
        <f t="shared" ref="I6:I36" si="0">SUM(H6:H6)</f>
        <v>92098.125</v>
      </c>
      <c r="J6" s="2" t="str">
        <f>IF(OR(WEEKDAY(A6)=1,WEEKDAY(A6)=7,NOT(ISERROR(MATCH(A6,[1]Праздники!A:A,0)))),"Выходной","Рабочий")</f>
        <v>Выходной</v>
      </c>
    </row>
    <row r="7" spans="1:13">
      <c r="A7" s="233">
        <v>46024</v>
      </c>
      <c r="B7" s="234"/>
      <c r="C7" s="97">
        <f>'[1]РВ Баумана'!G7</f>
        <v>883.22500000000002</v>
      </c>
      <c r="D7" s="98">
        <f>'[1]РВ Новикова-Прибоя'!G7</f>
        <v>190.67</v>
      </c>
      <c r="E7" s="98">
        <f>'[1]РВ Березовая Пойма'!G7</f>
        <v>786.23</v>
      </c>
      <c r="F7" s="98">
        <f t="shared" ref="F7:F36" si="1">SUM(C7:E7)</f>
        <v>1860.125</v>
      </c>
      <c r="G7" s="99">
        <f t="shared" ref="G7:G36" si="2">IF(8000-F7&lt;0,0,8000-F7)</f>
        <v>6139.875</v>
      </c>
      <c r="H7" s="91">
        <f t="shared" ref="H7:H36" si="3">G7*15</f>
        <v>92098.125</v>
      </c>
      <c r="I7" s="91">
        <f t="shared" si="0"/>
        <v>92098.125</v>
      </c>
      <c r="J7" s="2" t="str">
        <f>IF(OR(WEEKDAY(A7)=1,WEEKDAY(A7)=7,NOT(ISERROR(MATCH(A7,[1]Праздники!A:A,0)))),"Выходной","Рабочий")</f>
        <v>Выходной</v>
      </c>
    </row>
    <row r="8" spans="1:13">
      <c r="A8" s="233">
        <v>46025</v>
      </c>
      <c r="B8" s="234"/>
      <c r="C8" s="97">
        <f>'[1]РВ Баумана'!G8</f>
        <v>883.22500000000002</v>
      </c>
      <c r="D8" s="98">
        <f>'[1]РВ Новикова-Прибоя'!G8</f>
        <v>190.67</v>
      </c>
      <c r="E8" s="98">
        <f>'[1]РВ Березовая Пойма'!G8</f>
        <v>1516.35</v>
      </c>
      <c r="F8" s="98">
        <f t="shared" si="1"/>
        <v>2590.2449999999999</v>
      </c>
      <c r="G8" s="99">
        <f t="shared" si="2"/>
        <v>5409.7550000000001</v>
      </c>
      <c r="H8" s="91">
        <f t="shared" si="3"/>
        <v>81146.324999999997</v>
      </c>
      <c r="I8" s="91">
        <f t="shared" si="0"/>
        <v>81146.324999999997</v>
      </c>
      <c r="J8" s="2" t="str">
        <f>IF(OR(WEEKDAY(A8)=1,WEEKDAY(A8)=7,NOT(ISERROR(MATCH(A8,[1]Праздники!A:A,0)))),"Выходной","Рабочий")</f>
        <v>Выходной</v>
      </c>
    </row>
    <row r="9" spans="1:13">
      <c r="A9" s="233">
        <v>46026</v>
      </c>
      <c r="B9" s="234"/>
      <c r="C9" s="97">
        <f>'[1]РВ Баумана'!G9</f>
        <v>883.22500000000002</v>
      </c>
      <c r="D9" s="98">
        <f>'[1]РВ Новикова-Прибоя'!G9</f>
        <v>190.67</v>
      </c>
      <c r="E9" s="98">
        <f>'[1]РВ Березовая Пойма'!G9</f>
        <v>1869.04</v>
      </c>
      <c r="F9" s="98">
        <f t="shared" si="1"/>
        <v>2942.9349999999999</v>
      </c>
      <c r="G9" s="99">
        <f t="shared" si="2"/>
        <v>5057.0650000000005</v>
      </c>
      <c r="H9" s="91">
        <f t="shared" si="3"/>
        <v>75855.975000000006</v>
      </c>
      <c r="I9" s="91">
        <f t="shared" si="0"/>
        <v>75855.975000000006</v>
      </c>
      <c r="J9" s="2" t="str">
        <f>IF(OR(WEEKDAY(A9)=1,WEEKDAY(A9)=7,NOT(ISERROR(MATCH(A9,[1]Праздники!A:A,0)))),"Выходной","Рабочий")</f>
        <v>Выходной</v>
      </c>
    </row>
    <row r="10" spans="1:13">
      <c r="A10" s="233">
        <v>46027</v>
      </c>
      <c r="B10" s="234"/>
      <c r="C10" s="97">
        <f>'[1]РВ Баумана'!G10</f>
        <v>883.22500000000002</v>
      </c>
      <c r="D10" s="98">
        <f>'[1]РВ Новикова-Прибоя'!G10</f>
        <v>190.67</v>
      </c>
      <c r="E10" s="98">
        <f>'[1]РВ Березовая Пойма'!G10</f>
        <v>2376.19</v>
      </c>
      <c r="F10" s="98">
        <f t="shared" si="1"/>
        <v>3450.085</v>
      </c>
      <c r="G10" s="99">
        <f t="shared" si="2"/>
        <v>4549.915</v>
      </c>
      <c r="H10" s="91">
        <f t="shared" si="3"/>
        <v>68248.725000000006</v>
      </c>
      <c r="I10" s="91">
        <f t="shared" si="0"/>
        <v>68248.725000000006</v>
      </c>
      <c r="J10" s="2" t="str">
        <f>IF(OR(WEEKDAY(A10)=1,WEEKDAY(A10)=7,NOT(ISERROR(MATCH(A10,[1]Праздники!A:A,0)))),"Выходной","Рабочий")</f>
        <v>Выходной</v>
      </c>
    </row>
    <row r="11" spans="1:13">
      <c r="A11" s="233">
        <v>46028</v>
      </c>
      <c r="B11" s="234"/>
      <c r="C11" s="97">
        <f>'[1]РВ Баумана'!G11</f>
        <v>883.22500000000002</v>
      </c>
      <c r="D11" s="98">
        <f>'[1]РВ Новикова-Прибоя'!G11</f>
        <v>190.67</v>
      </c>
      <c r="E11" s="98">
        <f>'[1]РВ Березовая Пойма'!G11</f>
        <v>3235.57</v>
      </c>
      <c r="F11" s="98">
        <f t="shared" si="1"/>
        <v>4309.4650000000001</v>
      </c>
      <c r="G11" s="99">
        <f t="shared" si="2"/>
        <v>3690.5349999999999</v>
      </c>
      <c r="H11" s="91">
        <f t="shared" si="3"/>
        <v>55358.024999999994</v>
      </c>
      <c r="I11" s="91">
        <f t="shared" si="0"/>
        <v>55358.024999999994</v>
      </c>
      <c r="J11" s="2" t="str">
        <f>IF(OR(WEEKDAY(A11)=1,WEEKDAY(A11)=7,NOT(ISERROR(MATCH(A11,[1]Праздники!A:A,0)))),"Выходной","Рабочий")</f>
        <v>Выходной</v>
      </c>
    </row>
    <row r="12" spans="1:13">
      <c r="A12" s="233">
        <v>46029</v>
      </c>
      <c r="B12" s="234"/>
      <c r="C12" s="97">
        <f>'[1]РВ Баумана'!G12</f>
        <v>883.22500000000002</v>
      </c>
      <c r="D12" s="98">
        <f>'[1]РВ Новикова-Прибоя'!G12</f>
        <v>190.67</v>
      </c>
      <c r="E12" s="98">
        <f>'[1]РВ Березовая Пойма'!G12</f>
        <v>3985.1800000000003</v>
      </c>
      <c r="F12" s="98">
        <f t="shared" si="1"/>
        <v>5059.0750000000007</v>
      </c>
      <c r="G12" s="99">
        <f t="shared" si="2"/>
        <v>2940.9249999999993</v>
      </c>
      <c r="H12" s="91">
        <f t="shared" si="3"/>
        <v>44113.874999999985</v>
      </c>
      <c r="I12" s="91">
        <f t="shared" si="0"/>
        <v>44113.874999999985</v>
      </c>
      <c r="J12" s="2" t="str">
        <f>IF(OR(WEEKDAY(A12)=1,WEEKDAY(A12)=7,NOT(ISERROR(MATCH(A12,[1]Праздники!A:A,0)))),"Выходной","Рабочий")</f>
        <v>Выходной</v>
      </c>
    </row>
    <row r="13" spans="1:13">
      <c r="A13" s="233">
        <v>46030</v>
      </c>
      <c r="B13" s="234"/>
      <c r="C13" s="97">
        <f>'[1]РВ Баумана'!G13</f>
        <v>883.22500000000002</v>
      </c>
      <c r="D13" s="98">
        <f>'[1]РВ Новикова-Прибоя'!G13</f>
        <v>190.67</v>
      </c>
      <c r="E13" s="98">
        <f>'[1]РВ Березовая Пойма'!G13</f>
        <v>4560.4000000000005</v>
      </c>
      <c r="F13" s="98">
        <f t="shared" si="1"/>
        <v>5634.2950000000001</v>
      </c>
      <c r="G13" s="99">
        <f t="shared" si="2"/>
        <v>2365.7049999999999</v>
      </c>
      <c r="H13" s="91">
        <f t="shared" si="3"/>
        <v>35485.574999999997</v>
      </c>
      <c r="I13" s="91">
        <f t="shared" si="0"/>
        <v>35485.574999999997</v>
      </c>
      <c r="J13" s="2" t="str">
        <f>IF(OR(WEEKDAY(A13)=1,WEEKDAY(A13)=7,NOT(ISERROR(MATCH(A13,[1]Праздники!A:A,0)))),"Выходной","Рабочий")</f>
        <v>Выходной</v>
      </c>
    </row>
    <row r="14" spans="1:13">
      <c r="A14" s="233">
        <v>46031</v>
      </c>
      <c r="B14" s="234"/>
      <c r="C14" s="97">
        <f>'[1]РВ Баумана'!G14</f>
        <v>883.22500000000002</v>
      </c>
      <c r="D14" s="98">
        <f>'[1]РВ Новикова-Прибоя'!G14</f>
        <v>190.67</v>
      </c>
      <c r="E14" s="98">
        <f>'[1]РВ Березовая Пойма'!G14</f>
        <v>4974.05</v>
      </c>
      <c r="F14" s="98">
        <f t="shared" si="1"/>
        <v>6047.9449999999997</v>
      </c>
      <c r="G14" s="99">
        <f t="shared" si="2"/>
        <v>1952.0550000000003</v>
      </c>
      <c r="H14" s="91">
        <f t="shared" si="3"/>
        <v>29280.825000000004</v>
      </c>
      <c r="I14" s="91">
        <f t="shared" si="0"/>
        <v>29280.825000000004</v>
      </c>
      <c r="J14" s="2" t="str">
        <f>IF(OR(WEEKDAY(A14)=1,WEEKDAY(A14)=7,NOT(ISERROR(MATCH(A14,[1]Праздники!A:A,0)))),"Выходной","Рабочий")</f>
        <v>Выходной</v>
      </c>
    </row>
    <row r="15" spans="1:13">
      <c r="A15" s="233">
        <v>46032</v>
      </c>
      <c r="B15" s="234"/>
      <c r="C15" s="97">
        <f>'[1]РВ Баумана'!G15</f>
        <v>883.22500000000002</v>
      </c>
      <c r="D15" s="98">
        <f>'[1]РВ Новикова-Прибоя'!G15</f>
        <v>190.67</v>
      </c>
      <c r="E15" s="98">
        <f>'[1]РВ Березовая Пойма'!G15</f>
        <v>5238.74</v>
      </c>
      <c r="F15" s="98">
        <f t="shared" si="1"/>
        <v>6312.6350000000002</v>
      </c>
      <c r="G15" s="99">
        <f t="shared" si="2"/>
        <v>1687.3649999999998</v>
      </c>
      <c r="H15" s="91">
        <f t="shared" si="3"/>
        <v>25310.474999999999</v>
      </c>
      <c r="I15" s="91">
        <f t="shared" si="0"/>
        <v>25310.474999999999</v>
      </c>
      <c r="J15" s="2" t="str">
        <f>IF(OR(WEEKDAY(A15)=1,WEEKDAY(A15)=7,NOT(ISERROR(MATCH(A15,[1]Праздники!A:A,0)))),"Выходной","Рабочий")</f>
        <v>Выходной</v>
      </c>
    </row>
    <row r="16" spans="1:13">
      <c r="A16" s="233">
        <v>46033</v>
      </c>
      <c r="B16" s="234"/>
      <c r="C16" s="97">
        <f>'[1]РВ Баумана'!G16</f>
        <v>883.22500000000002</v>
      </c>
      <c r="D16" s="98">
        <f>'[1]РВ Новикова-Прибоя'!G16</f>
        <v>190.67</v>
      </c>
      <c r="E16" s="98">
        <f>'[1]РВ Березовая Пойма'!G16</f>
        <v>5439.16</v>
      </c>
      <c r="F16" s="98">
        <f t="shared" si="1"/>
        <v>6513.0550000000003</v>
      </c>
      <c r="G16" s="99">
        <f t="shared" si="2"/>
        <v>1486.9449999999997</v>
      </c>
      <c r="H16" s="91">
        <f t="shared" si="3"/>
        <v>22304.174999999996</v>
      </c>
      <c r="I16" s="91">
        <f t="shared" si="0"/>
        <v>22304.174999999996</v>
      </c>
      <c r="J16" s="2" t="str">
        <f>IF(OR(WEEKDAY(A16)=1,WEEKDAY(A16)=7,NOT(ISERROR(MATCH(A16,[1]Праздники!A:A,0)))),"Выходной","Рабочий")</f>
        <v>Выходной</v>
      </c>
    </row>
    <row r="17" spans="1:10">
      <c r="A17" s="233">
        <v>46034</v>
      </c>
      <c r="B17" s="234"/>
      <c r="C17" s="97">
        <f>'[1]РВ Баумана'!G17</f>
        <v>883.22500000000002</v>
      </c>
      <c r="D17" s="98">
        <f>'[1]РВ Новикова-Прибоя'!G17</f>
        <v>193.21499999999997</v>
      </c>
      <c r="E17" s="98">
        <f>'[1]РВ Березовая Пойма'!G17</f>
        <v>6429.67</v>
      </c>
      <c r="F17" s="98">
        <f t="shared" si="1"/>
        <v>7506.1100000000006</v>
      </c>
      <c r="G17" s="99">
        <f t="shared" si="2"/>
        <v>493.88999999999942</v>
      </c>
      <c r="H17" s="91">
        <f t="shared" si="3"/>
        <v>7408.3499999999913</v>
      </c>
      <c r="I17" s="91">
        <f t="shared" si="0"/>
        <v>7408.3499999999913</v>
      </c>
      <c r="J17" s="2" t="str">
        <f>IF(OR(WEEKDAY(A17)=1,WEEKDAY(A17)=7,NOT(ISERROR(MATCH(A17,[1]Праздники!A:A,0)))),"Выходной","Рабочий")</f>
        <v>Рабочий</v>
      </c>
    </row>
    <row r="18" spans="1:10">
      <c r="A18" s="233">
        <v>46035</v>
      </c>
      <c r="B18" s="234"/>
      <c r="C18" s="97">
        <f>'[1]РВ Баумана'!G18</f>
        <v>883.22500000000002</v>
      </c>
      <c r="D18" s="98">
        <f>'[1]РВ Новикова-Прибоя'!G18</f>
        <v>457.21499999999997</v>
      </c>
      <c r="E18" s="98">
        <f>'[1]РВ Березовая Пойма'!G18</f>
        <v>6540.36</v>
      </c>
      <c r="F18" s="98">
        <f t="shared" si="1"/>
        <v>7880.7999999999993</v>
      </c>
      <c r="G18" s="99">
        <f t="shared" si="2"/>
        <v>119.20000000000073</v>
      </c>
      <c r="H18" s="91">
        <f t="shared" si="3"/>
        <v>1788.0000000000109</v>
      </c>
      <c r="I18" s="91">
        <f t="shared" si="0"/>
        <v>1788.0000000000109</v>
      </c>
      <c r="J18" s="2" t="str">
        <f>IF(OR(WEEKDAY(A18)=1,WEEKDAY(A18)=7,NOT(ISERROR(MATCH(A18,[1]Праздники!A:A,0)))),"Выходной","Рабочий")</f>
        <v>Рабочий</v>
      </c>
    </row>
    <row r="19" spans="1:10">
      <c r="A19" s="233">
        <v>46036</v>
      </c>
      <c r="B19" s="234"/>
      <c r="C19" s="97">
        <f>'[1]РВ Баумана'!G19</f>
        <v>883.22500000000002</v>
      </c>
      <c r="D19" s="98">
        <f>'[1]РВ Новикова-Прибоя'!G19</f>
        <v>787.21499999999992</v>
      </c>
      <c r="E19" s="98">
        <f>'[1]РВ Березовая Пойма'!G19</f>
        <v>6518.36</v>
      </c>
      <c r="F19" s="98">
        <f t="shared" si="1"/>
        <v>8188.7999999999993</v>
      </c>
      <c r="G19" s="99">
        <f t="shared" si="2"/>
        <v>0</v>
      </c>
      <c r="H19" s="91">
        <f t="shared" si="3"/>
        <v>0</v>
      </c>
      <c r="I19" s="91">
        <f t="shared" si="0"/>
        <v>0</v>
      </c>
      <c r="J19" s="2" t="str">
        <f>IF(OR(WEEKDAY(A19)=1,WEEKDAY(A19)=7,NOT(ISERROR(MATCH(A19,[1]Праздники!A:A,0)))),"Выходной","Рабочий")</f>
        <v>Рабочий</v>
      </c>
    </row>
    <row r="20" spans="1:10">
      <c r="A20" s="233">
        <v>46037</v>
      </c>
      <c r="B20" s="234"/>
      <c r="C20" s="97">
        <f>'[1]РВ Баумана'!G20</f>
        <v>883.22500000000002</v>
      </c>
      <c r="D20" s="98">
        <f>'[1]РВ Новикова-Прибоя'!G20</f>
        <v>1029.2149999999999</v>
      </c>
      <c r="E20" s="98">
        <f>'[1]РВ Березовая Пойма'!G20</f>
        <v>6468.4</v>
      </c>
      <c r="F20" s="98">
        <f t="shared" si="1"/>
        <v>8380.84</v>
      </c>
      <c r="G20" s="99">
        <f t="shared" si="2"/>
        <v>0</v>
      </c>
      <c r="H20" s="91">
        <f t="shared" si="3"/>
        <v>0</v>
      </c>
      <c r="I20" s="91">
        <f t="shared" si="0"/>
        <v>0</v>
      </c>
      <c r="J20" s="2" t="str">
        <f>IF(OR(WEEKDAY(A20)=1,WEEKDAY(A20)=7,NOT(ISERROR(MATCH(A20,[1]Праздники!A:A,0)))),"Выходной","Рабочий")</f>
        <v>Рабочий</v>
      </c>
    </row>
    <row r="21" spans="1:10">
      <c r="A21" s="233">
        <v>46038</v>
      </c>
      <c r="B21" s="234"/>
      <c r="C21" s="97">
        <f>'[1]РВ Баумана'!G21</f>
        <v>883.22500000000002</v>
      </c>
      <c r="D21" s="98">
        <f>'[1]РВ Новикова-Прибоя'!G21</f>
        <v>1405.2849999999999</v>
      </c>
      <c r="E21" s="98">
        <f>'[1]РВ Березовая Пойма'!G21</f>
        <v>6424.4</v>
      </c>
      <c r="F21" s="98">
        <f t="shared" si="1"/>
        <v>8712.91</v>
      </c>
      <c r="G21" s="99">
        <f t="shared" si="2"/>
        <v>0</v>
      </c>
      <c r="H21" s="91">
        <f t="shared" si="3"/>
        <v>0</v>
      </c>
      <c r="I21" s="91">
        <f t="shared" si="0"/>
        <v>0</v>
      </c>
      <c r="J21" s="2" t="str">
        <f>IF(OR(WEEKDAY(A21)=1,WEEKDAY(A21)=7,NOT(ISERROR(MATCH(A21,[1]Праздники!A:A,0)))),"Выходной","Рабочий")</f>
        <v>Рабочий</v>
      </c>
    </row>
    <row r="22" spans="1:10">
      <c r="A22" s="233">
        <v>46039</v>
      </c>
      <c r="B22" s="234"/>
      <c r="C22" s="97">
        <f>'[1]РВ Баумана'!G22</f>
        <v>883.22500000000002</v>
      </c>
      <c r="D22" s="98">
        <f>'[1]РВ Новикова-Прибоя'!G22</f>
        <v>1515.5149999999999</v>
      </c>
      <c r="E22" s="98">
        <f>'[1]РВ Березовая Пойма'!G22</f>
        <v>6313.71</v>
      </c>
      <c r="F22" s="98">
        <f t="shared" si="1"/>
        <v>8712.4500000000007</v>
      </c>
      <c r="G22" s="99">
        <f t="shared" si="2"/>
        <v>0</v>
      </c>
      <c r="H22" s="91">
        <f t="shared" si="3"/>
        <v>0</v>
      </c>
      <c r="I22" s="91">
        <f t="shared" si="0"/>
        <v>0</v>
      </c>
      <c r="J22" s="2" t="str">
        <f>IF(OR(WEEKDAY(A22)=1,WEEKDAY(A22)=7,NOT(ISERROR(MATCH(A22,[1]Праздники!A:A,0)))),"Выходной","Рабочий")</f>
        <v>Выходной</v>
      </c>
    </row>
    <row r="23" spans="1:10">
      <c r="A23" s="233">
        <v>46040</v>
      </c>
      <c r="B23" s="234"/>
      <c r="C23" s="97">
        <f>'[1]РВ Баумана'!G23</f>
        <v>833.72500000000002</v>
      </c>
      <c r="D23" s="98">
        <f>'[1]РВ Новикова-Прибоя'!G23</f>
        <v>1499.04</v>
      </c>
      <c r="E23" s="98">
        <f>'[1]РВ Березовая Пойма'!G23</f>
        <v>5919.08</v>
      </c>
      <c r="F23" s="98">
        <f t="shared" si="1"/>
        <v>8251.8449999999993</v>
      </c>
      <c r="G23" s="99">
        <f t="shared" si="2"/>
        <v>0</v>
      </c>
      <c r="H23" s="91">
        <f t="shared" si="3"/>
        <v>0</v>
      </c>
      <c r="I23" s="91">
        <f t="shared" si="0"/>
        <v>0</v>
      </c>
      <c r="J23" s="2" t="str">
        <f>IF(OR(WEEKDAY(A23)=1,WEEKDAY(A23)=7,NOT(ISERROR(MATCH(A23,[1]Праздники!A:A,0)))),"Выходной","Рабочий")</f>
        <v>Выходной</v>
      </c>
    </row>
    <row r="24" spans="1:10">
      <c r="A24" s="233">
        <v>46041</v>
      </c>
      <c r="B24" s="234"/>
      <c r="C24" s="97">
        <f>'[1]РВ Баумана'!G24</f>
        <v>833.72500000000002</v>
      </c>
      <c r="D24" s="98">
        <f>'[1]РВ Новикова-Прибоя'!G24</f>
        <v>1499.04</v>
      </c>
      <c r="E24" s="98">
        <f>'[1]РВ Березовая Пойма'!G24</f>
        <v>5612.97</v>
      </c>
      <c r="F24" s="98">
        <f t="shared" si="1"/>
        <v>7945.7350000000006</v>
      </c>
      <c r="G24" s="99">
        <f t="shared" si="2"/>
        <v>54.264999999999418</v>
      </c>
      <c r="H24" s="91">
        <f t="shared" si="3"/>
        <v>813.97499999999127</v>
      </c>
      <c r="I24" s="91">
        <f t="shared" si="0"/>
        <v>813.97499999999127</v>
      </c>
      <c r="J24" s="2" t="str">
        <f>IF(OR(WEEKDAY(A24)=1,WEEKDAY(A24)=7,NOT(ISERROR(MATCH(A24,[1]Праздники!A:A,0)))),"Выходной","Рабочий")</f>
        <v>Рабочий</v>
      </c>
    </row>
    <row r="25" spans="1:10">
      <c r="A25" s="233">
        <v>46042</v>
      </c>
      <c r="B25" s="234"/>
      <c r="C25" s="97">
        <f>'[1]РВ Баумана'!G25</f>
        <v>833.72500000000002</v>
      </c>
      <c r="D25" s="98">
        <f>'[1]РВ Новикова-Прибоя'!G25</f>
        <v>1499.04</v>
      </c>
      <c r="E25" s="98">
        <f>'[1]РВ Березовая Пойма'!G25</f>
        <v>5347.3600000000006</v>
      </c>
      <c r="F25" s="98">
        <f t="shared" si="1"/>
        <v>7680.125</v>
      </c>
      <c r="G25" s="99">
        <f t="shared" si="2"/>
        <v>319.875</v>
      </c>
      <c r="H25" s="91">
        <f t="shared" si="3"/>
        <v>4798.125</v>
      </c>
      <c r="I25" s="91">
        <f t="shared" si="0"/>
        <v>4798.125</v>
      </c>
      <c r="J25" s="2" t="str">
        <f>IF(OR(WEEKDAY(A25)=1,WEEKDAY(A25)=7,NOT(ISERROR(MATCH(A25,[1]Праздники!A:A,0)))),"Выходной","Рабочий")</f>
        <v>Рабочий</v>
      </c>
    </row>
    <row r="26" spans="1:10">
      <c r="A26" s="233">
        <v>46043</v>
      </c>
      <c r="B26" s="234"/>
      <c r="C26" s="97">
        <f>'[1]РВ Баумана'!G26</f>
        <v>833.72500000000002</v>
      </c>
      <c r="D26" s="98">
        <f>'[1]РВ Новикова-Прибоя'!G26</f>
        <v>1499.04</v>
      </c>
      <c r="E26" s="98">
        <f>'[1]РВ Березовая Пойма'!G26</f>
        <v>5193.3600000000006</v>
      </c>
      <c r="F26" s="98">
        <f t="shared" si="1"/>
        <v>7526.125</v>
      </c>
      <c r="G26" s="99">
        <f t="shared" si="2"/>
        <v>473.875</v>
      </c>
      <c r="H26" s="91">
        <f t="shared" si="3"/>
        <v>7108.125</v>
      </c>
      <c r="I26" s="91">
        <f t="shared" si="0"/>
        <v>7108.125</v>
      </c>
      <c r="J26" s="2" t="str">
        <f>IF(OR(WEEKDAY(A26)=1,WEEKDAY(A26)=7,NOT(ISERROR(MATCH(A26,[1]Праздники!A:A,0)))),"Выходной","Рабочий")</f>
        <v>Рабочий</v>
      </c>
    </row>
    <row r="27" spans="1:10" ht="15" customHeight="1">
      <c r="A27" s="233">
        <v>46044</v>
      </c>
      <c r="B27" s="234"/>
      <c r="C27" s="97">
        <f>'[1]РВ Баумана'!G27</f>
        <v>833.72500000000002</v>
      </c>
      <c r="D27" s="98">
        <f>'[1]РВ Новикова-Прибоя'!G27</f>
        <v>1499.04</v>
      </c>
      <c r="E27" s="98">
        <f>'[1]РВ Березовая Пойма'!G27</f>
        <v>5083.3600000000006</v>
      </c>
      <c r="F27" s="98">
        <f t="shared" si="1"/>
        <v>7416.125</v>
      </c>
      <c r="G27" s="99">
        <f t="shared" si="2"/>
        <v>583.875</v>
      </c>
      <c r="H27" s="91">
        <f t="shared" si="3"/>
        <v>8758.125</v>
      </c>
      <c r="I27" s="91">
        <f t="shared" si="0"/>
        <v>8758.125</v>
      </c>
      <c r="J27" s="2" t="str">
        <f>IF(OR(WEEKDAY(A27)=1,WEEKDAY(A27)=7,NOT(ISERROR(MATCH(A27,[1]Праздники!A:A,0)))),"Выходной","Рабочий")</f>
        <v>Рабочий</v>
      </c>
    </row>
    <row r="28" spans="1:10">
      <c r="A28" s="233">
        <v>46045</v>
      </c>
      <c r="B28" s="234"/>
      <c r="C28" s="97">
        <f>'[1]РВ Баумана'!G28</f>
        <v>833.72500000000002</v>
      </c>
      <c r="D28" s="98">
        <f>'[1]РВ Новикова-Прибоя'!G28</f>
        <v>1499.04</v>
      </c>
      <c r="E28" s="98">
        <f>'[1]РВ Березовая Пойма'!G28</f>
        <v>4957.7750000000005</v>
      </c>
      <c r="F28" s="98">
        <f t="shared" si="1"/>
        <v>7290.5400000000009</v>
      </c>
      <c r="G28" s="99">
        <f t="shared" si="2"/>
        <v>709.45999999999913</v>
      </c>
      <c r="H28" s="91">
        <f t="shared" si="3"/>
        <v>10641.899999999987</v>
      </c>
      <c r="I28" s="91">
        <f t="shared" si="0"/>
        <v>10641.899999999987</v>
      </c>
      <c r="J28" s="2" t="str">
        <f>IF(OR(WEEKDAY(A28)=1,WEEKDAY(A28)=7,NOT(ISERROR(MATCH(A28,[1]Праздники!A:A,0)))),"Выходной","Рабочий")</f>
        <v>Рабочий</v>
      </c>
    </row>
    <row r="29" spans="1:10">
      <c r="A29" s="233">
        <v>46046</v>
      </c>
      <c r="B29" s="234"/>
      <c r="C29" s="97">
        <f>'[1]РВ Баумана'!G29</f>
        <v>833.72500000000002</v>
      </c>
      <c r="D29" s="98">
        <f>'[1]РВ Новикова-Прибоя'!G29</f>
        <v>1499.04</v>
      </c>
      <c r="E29" s="98">
        <f>'[1]РВ Березовая Пойма'!G29</f>
        <v>4913.545000000001</v>
      </c>
      <c r="F29" s="98">
        <f t="shared" si="1"/>
        <v>7246.3100000000013</v>
      </c>
      <c r="G29" s="99">
        <f t="shared" si="2"/>
        <v>753.68999999999869</v>
      </c>
      <c r="H29" s="91">
        <f t="shared" si="3"/>
        <v>11305.34999999998</v>
      </c>
      <c r="I29" s="91">
        <f t="shared" si="0"/>
        <v>11305.34999999998</v>
      </c>
      <c r="J29" s="2" t="str">
        <f>IF(OR(WEEKDAY(A29)=1,WEEKDAY(A29)=7,NOT(ISERROR(MATCH(A29,[1]Праздники!A:A,0)))),"Выходной","Рабочий")</f>
        <v>Выходной</v>
      </c>
    </row>
    <row r="30" spans="1:10">
      <c r="A30" s="233">
        <v>46047</v>
      </c>
      <c r="B30" s="234"/>
      <c r="C30" s="97">
        <f>'[1]РВ Баумана'!G30</f>
        <v>833.72500000000002</v>
      </c>
      <c r="D30" s="98">
        <f>'[1]РВ Новикова-Прибоя'!G30</f>
        <v>1499.04</v>
      </c>
      <c r="E30" s="98">
        <f>'[1]РВ Березовая Пойма'!G30</f>
        <v>4913.545000000001</v>
      </c>
      <c r="F30" s="98">
        <f t="shared" si="1"/>
        <v>7246.3100000000013</v>
      </c>
      <c r="G30" s="99">
        <f t="shared" si="2"/>
        <v>753.68999999999869</v>
      </c>
      <c r="H30" s="91">
        <f t="shared" si="3"/>
        <v>11305.34999999998</v>
      </c>
      <c r="I30" s="91">
        <f t="shared" si="0"/>
        <v>11305.34999999998</v>
      </c>
      <c r="J30" s="2" t="str">
        <f>IF(OR(WEEKDAY(A30)=1,WEEKDAY(A30)=7,NOT(ISERROR(MATCH(A30,[1]Праздники!A:A,0)))),"Выходной","Рабочий")</f>
        <v>Выходной</v>
      </c>
    </row>
    <row r="31" spans="1:10">
      <c r="A31" s="233">
        <v>46048</v>
      </c>
      <c r="B31" s="234"/>
      <c r="C31" s="97">
        <f>'[1]РВ Баумана'!G31</f>
        <v>833.72500000000002</v>
      </c>
      <c r="D31" s="98">
        <f>'[1]РВ Новикова-Прибоя'!G31</f>
        <v>1499.04</v>
      </c>
      <c r="E31" s="98">
        <f>'[1]РВ Березовая Пойма'!G31</f>
        <v>4847.0850000000009</v>
      </c>
      <c r="F31" s="98">
        <f t="shared" si="1"/>
        <v>7179.85</v>
      </c>
      <c r="G31" s="99">
        <f t="shared" si="2"/>
        <v>820.14999999999964</v>
      </c>
      <c r="H31" s="91">
        <f t="shared" si="3"/>
        <v>12302.249999999995</v>
      </c>
      <c r="I31" s="91">
        <f t="shared" si="0"/>
        <v>12302.249999999995</v>
      </c>
      <c r="J31" s="2" t="str">
        <f>IF(OR(WEEKDAY(A31)=1,WEEKDAY(A31)=7,NOT(ISERROR(MATCH(A31,[1]Праздники!A:A,0)))),"Выходной","Рабочий")</f>
        <v>Рабочий</v>
      </c>
    </row>
    <row r="32" spans="1:10">
      <c r="A32" s="233">
        <v>46049</v>
      </c>
      <c r="B32" s="234"/>
      <c r="C32" s="97">
        <f>'[1]РВ Баумана'!G32</f>
        <v>833.72500000000002</v>
      </c>
      <c r="D32" s="98">
        <f>'[1]РВ Новикова-Прибоя'!G32</f>
        <v>1499.04</v>
      </c>
      <c r="E32" s="98">
        <f>'[1]РВ Березовая Пойма'!G32</f>
        <v>4758.8550000000014</v>
      </c>
      <c r="F32" s="98">
        <f t="shared" si="1"/>
        <v>7091.6200000000008</v>
      </c>
      <c r="G32" s="99">
        <f t="shared" si="2"/>
        <v>908.3799999999992</v>
      </c>
      <c r="H32" s="91">
        <f t="shared" si="3"/>
        <v>13625.699999999988</v>
      </c>
      <c r="I32" s="91">
        <f t="shared" si="0"/>
        <v>13625.699999999988</v>
      </c>
      <c r="J32" s="2" t="str">
        <f>IF(OR(WEEKDAY(A32)=1,WEEKDAY(A32)=7,NOT(ISERROR(MATCH(A32,[1]Праздники!A:A,0)))),"Выходной","Рабочий")</f>
        <v>Рабочий</v>
      </c>
    </row>
    <row r="33" spans="1:11">
      <c r="A33" s="233">
        <v>46050</v>
      </c>
      <c r="B33" s="234"/>
      <c r="C33" s="97">
        <f>'[1]РВ Баумана'!G33</f>
        <v>833.72500000000002</v>
      </c>
      <c r="D33" s="98">
        <f>'[1]РВ Новикова-Прибоя'!G33</f>
        <v>1499.04</v>
      </c>
      <c r="E33" s="98">
        <f>'[1]РВ Березовая Пойма'!G33</f>
        <v>4692.8550000000014</v>
      </c>
      <c r="F33" s="98">
        <f t="shared" si="1"/>
        <v>7025.6200000000008</v>
      </c>
      <c r="G33" s="99">
        <f t="shared" si="2"/>
        <v>974.3799999999992</v>
      </c>
      <c r="H33" s="91">
        <f t="shared" si="3"/>
        <v>14615.699999999988</v>
      </c>
      <c r="I33" s="91">
        <f t="shared" si="0"/>
        <v>14615.699999999988</v>
      </c>
      <c r="J33" s="2" t="str">
        <f>IF(OR(WEEKDAY(A33)=1,WEEKDAY(A33)=7,NOT(ISERROR(MATCH(A33,[1]Праздники!A:A,0)))),"Выходной","Рабочий")</f>
        <v>Рабочий</v>
      </c>
    </row>
    <row r="34" spans="1:11">
      <c r="A34" s="233">
        <v>46051</v>
      </c>
      <c r="B34" s="234"/>
      <c r="C34" s="97">
        <f>'[1]РВ Баумана'!G34</f>
        <v>812.35</v>
      </c>
      <c r="D34" s="98">
        <f>'[1]РВ Новикова-Прибоя'!G34</f>
        <v>1499.04</v>
      </c>
      <c r="E34" s="98">
        <f>'[1]РВ Березовая Пойма'!G34</f>
        <v>4539.7700000000013</v>
      </c>
      <c r="F34" s="98">
        <f t="shared" si="1"/>
        <v>6851.1600000000017</v>
      </c>
      <c r="G34" s="99">
        <f t="shared" si="2"/>
        <v>1148.8399999999983</v>
      </c>
      <c r="H34" s="91">
        <f t="shared" si="3"/>
        <v>17232.599999999977</v>
      </c>
      <c r="I34" s="91">
        <f t="shared" si="0"/>
        <v>17232.599999999977</v>
      </c>
      <c r="J34" s="2" t="str">
        <f>IF(OR(WEEKDAY(A34)=1,WEEKDAY(A34)=7,NOT(ISERROR(MATCH(A34,[1]Праздники!A:A,0)))),"Выходной","Рабочий")</f>
        <v>Рабочий</v>
      </c>
    </row>
    <row r="35" spans="1:11">
      <c r="A35" s="233">
        <v>46052</v>
      </c>
      <c r="B35" s="234"/>
      <c r="C35" s="97">
        <f>'[1]РВ Баумана'!G35</f>
        <v>812.35</v>
      </c>
      <c r="D35" s="98">
        <f>'[1]РВ Новикова-Прибоя'!G35</f>
        <v>1433.04</v>
      </c>
      <c r="E35" s="98">
        <f>'[1]РВ Березовая Пойма'!G35</f>
        <v>4629.3800000000019</v>
      </c>
      <c r="F35" s="98">
        <f t="shared" si="1"/>
        <v>6874.7700000000023</v>
      </c>
      <c r="G35" s="99">
        <f t="shared" si="2"/>
        <v>1125.2299999999977</v>
      </c>
      <c r="H35" s="91">
        <f t="shared" si="3"/>
        <v>16878.449999999968</v>
      </c>
      <c r="I35" s="91">
        <f t="shared" si="0"/>
        <v>16878.449999999968</v>
      </c>
      <c r="J35" s="2" t="str">
        <f>IF(OR(WEEKDAY(A35)=1,WEEKDAY(A35)=7,NOT(ISERROR(MATCH(A35,[1]Праздники!A:A,0)))),"Выходной","Рабочий")</f>
        <v>Рабочий</v>
      </c>
    </row>
    <row r="36" spans="1:11" ht="15.75" thickBot="1">
      <c r="A36" s="233">
        <v>46053</v>
      </c>
      <c r="B36" s="234"/>
      <c r="C36" s="97">
        <f>'[1]РВ Баумана'!G36</f>
        <v>812.35</v>
      </c>
      <c r="D36" s="98">
        <f>'[1]РВ Новикова-Прибоя'!G36</f>
        <v>1411.04</v>
      </c>
      <c r="E36" s="98">
        <f>'[1]РВ Березовая Пойма'!G36</f>
        <v>4829.6800000000021</v>
      </c>
      <c r="F36" s="98">
        <f t="shared" si="1"/>
        <v>7053.0700000000015</v>
      </c>
      <c r="G36" s="99">
        <f t="shared" si="2"/>
        <v>946.92999999999847</v>
      </c>
      <c r="H36" s="91">
        <f t="shared" si="3"/>
        <v>14203.949999999977</v>
      </c>
      <c r="I36" s="91">
        <f t="shared" si="0"/>
        <v>14203.949999999977</v>
      </c>
      <c r="J36" s="2" t="str">
        <f>IF(OR(WEEKDAY(A36)=1,WEEKDAY(A36)=7,NOT(ISERROR(MATCH(A36,[1]Праздники!A:A,0)))),"Выходной","Рабочий")</f>
        <v>Выходной</v>
      </c>
    </row>
    <row r="37" spans="1:11" ht="15.75" thickBot="1">
      <c r="C37" s="92">
        <f>SUM(C6:C36)</f>
        <v>26622.849999999988</v>
      </c>
      <c r="D37" s="92">
        <f t="shared" ref="D37:I37" si="4">SUM(D6:D36)</f>
        <v>28317.590000000011</v>
      </c>
      <c r="E37" s="92">
        <f t="shared" si="4"/>
        <v>143700.66</v>
      </c>
      <c r="F37" s="92"/>
      <c r="G37" s="92">
        <f t="shared" si="4"/>
        <v>51605.744999999981</v>
      </c>
      <c r="H37" s="93">
        <f t="shared" si="4"/>
        <v>774086.1749999997</v>
      </c>
      <c r="I37" s="94">
        <f t="shared" si="4"/>
        <v>774086.1749999997</v>
      </c>
    </row>
    <row r="38" spans="1:11" ht="15.75" thickBot="1">
      <c r="H38" s="88"/>
      <c r="I38" s="95">
        <f>I37*1.22</f>
        <v>944385.13349999965</v>
      </c>
      <c r="K38" s="96"/>
    </row>
    <row r="39" spans="1:11">
      <c r="H39" s="88"/>
    </row>
    <row r="40" spans="1:11">
      <c r="H40" s="88"/>
    </row>
  </sheetData>
  <mergeCells count="39">
    <mergeCell ref="A34:B34"/>
    <mergeCell ref="A35:B35"/>
    <mergeCell ref="A36:B36"/>
    <mergeCell ref="A28:B28"/>
    <mergeCell ref="A29:B29"/>
    <mergeCell ref="A30:B30"/>
    <mergeCell ref="A31:B31"/>
    <mergeCell ref="A32:B32"/>
    <mergeCell ref="A33:B33"/>
    <mergeCell ref="A13:B13"/>
    <mergeCell ref="A14:B14"/>
    <mergeCell ref="A27:B27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15:B15"/>
    <mergeCell ref="H4:H5"/>
    <mergeCell ref="I4:I5"/>
    <mergeCell ref="A6:B6"/>
    <mergeCell ref="A7:B7"/>
    <mergeCell ref="A8:B8"/>
    <mergeCell ref="A9:B9"/>
    <mergeCell ref="A4:B5"/>
    <mergeCell ref="C4:C5"/>
    <mergeCell ref="D4:D5"/>
    <mergeCell ref="E4:E5"/>
    <mergeCell ref="F4:F5"/>
    <mergeCell ref="G4:G5"/>
    <mergeCell ref="A10:B10"/>
    <mergeCell ref="A11:B11"/>
    <mergeCell ref="A12:B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1545-9466-4E2F-BE68-287246E0B44D}">
  <sheetPr codeName="Лист7"/>
  <dimension ref="A1:S40"/>
  <sheetViews>
    <sheetView topLeftCell="A4" workbookViewId="0">
      <selection activeCell="C6" sqref="C6:D36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9.6992187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8"/>
      <c r="Q1" s="78"/>
      <c r="R1" s="78" t="s">
        <v>106</v>
      </c>
      <c r="S1" s="78" t="s">
        <v>107</v>
      </c>
    </row>
    <row r="2" spans="1:19">
      <c r="M2" s="88"/>
      <c r="Q2" s="78" t="s">
        <v>108</v>
      </c>
      <c r="R2" s="78">
        <f>SUMIF($P$6:$P$36,R$1,$C6:$C36)</f>
        <v>0</v>
      </c>
      <c r="S2" s="78">
        <f>SUMIF($P$6:$P$36,S$1,$C6:$C36)</f>
        <v>0</v>
      </c>
    </row>
    <row r="3" spans="1:19" ht="21">
      <c r="A3" s="76" t="str">
        <f>"Отчет по хранению  товара  РВ " &amp; TEXT(A6,"ММММ ") &amp; YEAR(A6) &amp; " Баумана"</f>
        <v>Отчет по хранению  товара  РВ Январь 2026 Баумана</v>
      </c>
      <c r="G3" s="88"/>
      <c r="M3" s="88"/>
      <c r="Q3" s="78" t="s">
        <v>96</v>
      </c>
      <c r="R3" s="78">
        <f>SUMIF($P$6:$P$36,R$1,$D6:$D36)</f>
        <v>60.5</v>
      </c>
      <c r="S3" s="78">
        <f>SUMIF($P$6:$P$36,S$1,$D6:$D36)</f>
        <v>21.375</v>
      </c>
    </row>
    <row r="4" spans="1:19">
      <c r="A4" s="211" t="s">
        <v>1</v>
      </c>
      <c r="B4" s="212"/>
      <c r="C4" s="209" t="s">
        <v>109</v>
      </c>
      <c r="D4" s="209" t="s">
        <v>110</v>
      </c>
      <c r="E4" s="209" t="s">
        <v>111</v>
      </c>
      <c r="F4" s="209" t="s">
        <v>112</v>
      </c>
      <c r="G4" s="100" t="s">
        <v>4</v>
      </c>
      <c r="H4" s="209" t="s">
        <v>7</v>
      </c>
      <c r="I4" s="209" t="s">
        <v>11</v>
      </c>
      <c r="J4" s="209" t="s">
        <v>12</v>
      </c>
      <c r="K4" s="209" t="s">
        <v>113</v>
      </c>
      <c r="L4" s="209" t="s">
        <v>114</v>
      </c>
      <c r="M4" s="235" t="s">
        <v>13</v>
      </c>
      <c r="N4" s="209" t="s">
        <v>16</v>
      </c>
      <c r="O4" s="209" t="s">
        <v>18</v>
      </c>
    </row>
    <row r="5" spans="1:19" ht="30">
      <c r="A5" s="213"/>
      <c r="B5" s="214"/>
      <c r="C5" s="210"/>
      <c r="D5" s="210"/>
      <c r="E5" s="210"/>
      <c r="F5" s="210"/>
      <c r="G5" s="101" t="s">
        <v>115</v>
      </c>
      <c r="H5" s="210"/>
      <c r="I5" s="210"/>
      <c r="J5" s="210"/>
      <c r="K5" s="210"/>
      <c r="L5" s="210"/>
      <c r="M5" s="236"/>
      <c r="N5" s="210"/>
      <c r="O5" s="210"/>
    </row>
    <row r="6" spans="1:19">
      <c r="A6" s="233">
        <v>46023</v>
      </c>
      <c r="B6" s="234"/>
      <c r="C6" s="97">
        <v>0</v>
      </c>
      <c r="D6" s="98">
        <v>0</v>
      </c>
      <c r="E6" s="98"/>
      <c r="F6" s="99"/>
      <c r="G6" s="89">
        <v>883.22500000000002</v>
      </c>
      <c r="H6" s="90"/>
      <c r="I6" s="91">
        <f>IF(P6="Выходной",SUM(C6*150)*1.5,SUM(C6*150))</f>
        <v>0</v>
      </c>
      <c r="J6" s="91">
        <f>IF(P6="Выходной",SUM(D6*150)*1.5,SUM(D6*150))</f>
        <v>0</v>
      </c>
      <c r="K6" s="91">
        <f>IF(OR(WEEKDAY(A6)=1,WEEKDAY(A6)=7,NOT(ISERROR(MATCH(A6,[1]Праздники!A:A,0)))),SUM(E6*225)*1.5,SUM(E6*225))</f>
        <v>0</v>
      </c>
      <c r="L6" s="91">
        <f>IF(OR(WEEKDAY(A6)=1,WEEKDAY(A6)=7,NOT(ISERROR(MATCH(A6,[1]Праздники!A:A,0)))),SUM(F6*225)*1.5,SUM(F6*225))</f>
        <v>0</v>
      </c>
      <c r="M6" s="91">
        <f>SUM(G6*15)</f>
        <v>13248.375</v>
      </c>
      <c r="N6" s="91">
        <f>SUM(H6)*750</f>
        <v>0</v>
      </c>
      <c r="O6" s="91">
        <f>SUM(I6:N6)</f>
        <v>13248.375</v>
      </c>
      <c r="P6" s="2" t="str">
        <f>IF(OR(WEEKDAY(A6)=1,WEEKDAY(A6)=7,NOT(ISERROR(MATCH(A6,[1]Праздники!A:A,0)))),"Выходной","Рабочий")</f>
        <v>Выходной</v>
      </c>
    </row>
    <row r="7" spans="1:19">
      <c r="A7" s="233">
        <v>46024</v>
      </c>
      <c r="B7" s="234"/>
      <c r="C7" s="97">
        <v>0</v>
      </c>
      <c r="D7" s="98">
        <v>0</v>
      </c>
      <c r="E7" s="98"/>
      <c r="F7" s="99"/>
      <c r="G7" s="89">
        <f>IF(A7 ="",0,G6+C7+E7-D6-F6)</f>
        <v>883.22500000000002</v>
      </c>
      <c r="H7" s="90"/>
      <c r="I7" s="91">
        <f t="shared" ref="I7:I36" si="0">IF(P7="Выходной",SUM(C7*150)*1.5,SUM(C7*150))</f>
        <v>0</v>
      </c>
      <c r="J7" s="91">
        <f t="shared" ref="J7:J36" si="1">IF(P7="Выходной",SUM(D7*150)*1.5,SUM(D7*150))</f>
        <v>0</v>
      </c>
      <c r="K7" s="91">
        <f>IF(OR(WEEKDAY(A7)=1,WEEKDAY(A7)=7,NOT(ISERROR(MATCH(A7,[1]Праздники!A:A,0)))),SUM(E7*225)*1.5,SUM(E7*225))</f>
        <v>0</v>
      </c>
      <c r="L7" s="91">
        <f>IF(OR(WEEKDAY(A7)=1,WEEKDAY(A7)=7,NOT(ISERROR(MATCH(A7,[1]Праздники!A:A,0)))),SUM(F7*225)*1.5,SUM(F7*225))</f>
        <v>0</v>
      </c>
      <c r="M7" s="91">
        <f t="shared" ref="M7:M36" si="2">SUM(G7*15)</f>
        <v>13248.375</v>
      </c>
      <c r="N7" s="91">
        <f t="shared" ref="N7:N36" si="3">SUM(H7)*750</f>
        <v>0</v>
      </c>
      <c r="O7" s="91">
        <f t="shared" ref="O7:O35" si="4">SUM(I7:N7)</f>
        <v>13248.375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33">
        <v>46025</v>
      </c>
      <c r="B8" s="234"/>
      <c r="C8" s="97">
        <v>0</v>
      </c>
      <c r="D8" s="98">
        <v>0</v>
      </c>
      <c r="E8" s="98"/>
      <c r="F8" s="99"/>
      <c r="G8" s="89">
        <f t="shared" ref="G8:G36" si="5">IF(A8 ="",0,G7+C8+E8-D7-F7)</f>
        <v>883.22500000000002</v>
      </c>
      <c r="H8" s="90"/>
      <c r="I8" s="91">
        <f t="shared" si="0"/>
        <v>0</v>
      </c>
      <c r="J8" s="91">
        <f t="shared" si="1"/>
        <v>0</v>
      </c>
      <c r="K8" s="91">
        <f>IF(OR(WEEKDAY(A8)=1,WEEKDAY(A8)=7,NOT(ISERROR(MATCH(A8,[1]Праздники!A:A,0)))),SUM(E8*225)*1.5,SUM(E8*225))</f>
        <v>0</v>
      </c>
      <c r="L8" s="91">
        <f>IF(OR(WEEKDAY(A8)=1,WEEKDAY(A8)=7,NOT(ISERROR(MATCH(A8,[1]Праздники!A:A,0)))),SUM(F8*225)*1.5,SUM(F8*225))</f>
        <v>0</v>
      </c>
      <c r="M8" s="91">
        <f t="shared" si="2"/>
        <v>13248.375</v>
      </c>
      <c r="N8" s="91">
        <f t="shared" si="3"/>
        <v>0</v>
      </c>
      <c r="O8" s="91">
        <f t="shared" si="4"/>
        <v>13248.375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33">
        <v>46026</v>
      </c>
      <c r="B9" s="234"/>
      <c r="C9" s="97">
        <v>0</v>
      </c>
      <c r="D9" s="98">
        <v>0</v>
      </c>
      <c r="E9" s="98"/>
      <c r="F9" s="99"/>
      <c r="G9" s="89">
        <f t="shared" si="5"/>
        <v>883.22500000000002</v>
      </c>
      <c r="H9" s="90"/>
      <c r="I9" s="91">
        <f t="shared" si="0"/>
        <v>0</v>
      </c>
      <c r="J9" s="91">
        <f t="shared" si="1"/>
        <v>0</v>
      </c>
      <c r="K9" s="91">
        <f>IF(OR(WEEKDAY(A9)=1,WEEKDAY(A9)=7,NOT(ISERROR(MATCH(A9,[1]Праздники!A:A,0)))),SUM(E9*225)*1.5,SUM(E9*225))</f>
        <v>0</v>
      </c>
      <c r="L9" s="91">
        <f>IF(OR(WEEKDAY(A9)=1,WEEKDAY(A9)=7,NOT(ISERROR(MATCH(A9,[1]Праздники!A:A,0)))),SUM(F9*225)*1.5,SUM(F9*225))</f>
        <v>0</v>
      </c>
      <c r="M9" s="91">
        <f t="shared" si="2"/>
        <v>13248.375</v>
      </c>
      <c r="N9" s="91">
        <f t="shared" si="3"/>
        <v>0</v>
      </c>
      <c r="O9" s="91">
        <f t="shared" si="4"/>
        <v>13248.375</v>
      </c>
      <c r="P9" s="2" t="str">
        <f>IF(OR(WEEKDAY(A9)=1,WEEKDAY(A9)=7,NOT(ISERROR(MATCH(A9,[1]Праздники!A:A,0)))),"Выходной","Рабочий")</f>
        <v>Выходной</v>
      </c>
    </row>
    <row r="10" spans="1:19">
      <c r="A10" s="233">
        <v>46027</v>
      </c>
      <c r="B10" s="234"/>
      <c r="C10" s="97">
        <v>0</v>
      </c>
      <c r="D10" s="98">
        <v>0</v>
      </c>
      <c r="E10" s="98"/>
      <c r="F10" s="99"/>
      <c r="G10" s="89">
        <f t="shared" si="5"/>
        <v>883.22500000000002</v>
      </c>
      <c r="H10" s="90"/>
      <c r="I10" s="91">
        <f t="shared" si="0"/>
        <v>0</v>
      </c>
      <c r="J10" s="91">
        <f t="shared" si="1"/>
        <v>0</v>
      </c>
      <c r="K10" s="91">
        <f>IF(OR(WEEKDAY(A10)=1,WEEKDAY(A10)=7,NOT(ISERROR(MATCH(A10,[1]Праздники!A:A,0)))),SUM(E10*225)*1.5,SUM(E10*225))</f>
        <v>0</v>
      </c>
      <c r="L10" s="91">
        <f>IF(OR(WEEKDAY(A10)=1,WEEKDAY(A10)=7,NOT(ISERROR(MATCH(A10,[1]Праздники!A:A,0)))),SUM(F10*225)*1.5,SUM(F10*225))</f>
        <v>0</v>
      </c>
      <c r="M10" s="91">
        <f t="shared" si="2"/>
        <v>13248.375</v>
      </c>
      <c r="N10" s="91">
        <f t="shared" si="3"/>
        <v>0</v>
      </c>
      <c r="O10" s="91">
        <f t="shared" si="4"/>
        <v>13248.375</v>
      </c>
      <c r="P10" s="2" t="str">
        <f>IF(OR(WEEKDAY(A10)=1,WEEKDAY(A10)=7,NOT(ISERROR(MATCH(A10,[1]Праздники!A:A,0)))),"Выходной","Рабочий")</f>
        <v>Выходной</v>
      </c>
    </row>
    <row r="11" spans="1:19">
      <c r="A11" s="233">
        <v>46028</v>
      </c>
      <c r="B11" s="234"/>
      <c r="C11" s="97">
        <v>0</v>
      </c>
      <c r="D11" s="98">
        <v>0</v>
      </c>
      <c r="E11" s="98"/>
      <c r="F11" s="99"/>
      <c r="G11" s="89">
        <f t="shared" si="5"/>
        <v>883.22500000000002</v>
      </c>
      <c r="H11" s="90"/>
      <c r="I11" s="91">
        <f t="shared" si="0"/>
        <v>0</v>
      </c>
      <c r="J11" s="91">
        <f t="shared" si="1"/>
        <v>0</v>
      </c>
      <c r="K11" s="91">
        <f>IF(OR(WEEKDAY(A11)=1,WEEKDAY(A11)=7,NOT(ISERROR(MATCH(A11,[1]Праздники!A:A,0)))),SUM(E11*225)*1.5,SUM(E11*225))</f>
        <v>0</v>
      </c>
      <c r="L11" s="91">
        <f>IF(OR(WEEKDAY(A11)=1,WEEKDAY(A11)=7,NOT(ISERROR(MATCH(A11,[1]Праздники!A:A,0)))),SUM(F11*225)*1.5,SUM(F11*225))</f>
        <v>0</v>
      </c>
      <c r="M11" s="91">
        <f t="shared" si="2"/>
        <v>13248.375</v>
      </c>
      <c r="N11" s="91">
        <f t="shared" si="3"/>
        <v>0</v>
      </c>
      <c r="O11" s="91">
        <f t="shared" si="4"/>
        <v>13248.375</v>
      </c>
      <c r="P11" s="2" t="str">
        <f>IF(OR(WEEKDAY(A11)=1,WEEKDAY(A11)=7,NOT(ISERROR(MATCH(A11,[1]Праздники!A:A,0)))),"Выходной","Рабочий")</f>
        <v>Выходной</v>
      </c>
    </row>
    <row r="12" spans="1:19">
      <c r="A12" s="233">
        <v>46029</v>
      </c>
      <c r="B12" s="234"/>
      <c r="C12" s="97">
        <v>0</v>
      </c>
      <c r="D12" s="98">
        <v>0</v>
      </c>
      <c r="E12" s="98"/>
      <c r="F12" s="99"/>
      <c r="G12" s="89">
        <f t="shared" si="5"/>
        <v>883.22500000000002</v>
      </c>
      <c r="H12" s="90"/>
      <c r="I12" s="91">
        <f t="shared" si="0"/>
        <v>0</v>
      </c>
      <c r="J12" s="91">
        <f t="shared" si="1"/>
        <v>0</v>
      </c>
      <c r="K12" s="91">
        <f>IF(OR(WEEKDAY(A12)=1,WEEKDAY(A12)=7,NOT(ISERROR(MATCH(A12,[1]Праздники!A:A,0)))),SUM(E12*225)*1.5,SUM(E12*225))</f>
        <v>0</v>
      </c>
      <c r="L12" s="91">
        <f>IF(OR(WEEKDAY(A12)=1,WEEKDAY(A12)=7,NOT(ISERROR(MATCH(A12,[1]Праздники!A:A,0)))),SUM(F12*225)*1.5,SUM(F12*225))</f>
        <v>0</v>
      </c>
      <c r="M12" s="91">
        <f t="shared" si="2"/>
        <v>13248.375</v>
      </c>
      <c r="N12" s="91">
        <f t="shared" si="3"/>
        <v>0</v>
      </c>
      <c r="O12" s="91">
        <f t="shared" si="4"/>
        <v>13248.375</v>
      </c>
      <c r="P12" s="2" t="str">
        <f>IF(OR(WEEKDAY(A12)=1,WEEKDAY(A12)=7,NOT(ISERROR(MATCH(A12,[1]Праздники!A:A,0)))),"Выходной","Рабочий")</f>
        <v>Выходной</v>
      </c>
    </row>
    <row r="13" spans="1:19">
      <c r="A13" s="233">
        <v>46030</v>
      </c>
      <c r="B13" s="234"/>
      <c r="C13" s="97">
        <v>0</v>
      </c>
      <c r="D13" s="98">
        <v>0</v>
      </c>
      <c r="E13" s="98"/>
      <c r="F13" s="102"/>
      <c r="G13" s="89">
        <f t="shared" si="5"/>
        <v>883.22500000000002</v>
      </c>
      <c r="H13" s="90"/>
      <c r="I13" s="91">
        <f t="shared" si="0"/>
        <v>0</v>
      </c>
      <c r="J13" s="91">
        <f t="shared" si="1"/>
        <v>0</v>
      </c>
      <c r="K13" s="91">
        <f>IF(OR(WEEKDAY(A13)=1,WEEKDAY(A13)=7,NOT(ISERROR(MATCH(A13,[1]Праздники!A:A,0)))),SUM(E13*225)*1.5,SUM(E13*225))</f>
        <v>0</v>
      </c>
      <c r="L13" s="91">
        <f>IF(OR(WEEKDAY(A13)=1,WEEKDAY(A13)=7,NOT(ISERROR(MATCH(A13,[1]Праздники!A:A,0)))),SUM(F13*225)*1.5,SUM(F13*225))</f>
        <v>0</v>
      </c>
      <c r="M13" s="91">
        <f t="shared" si="2"/>
        <v>13248.375</v>
      </c>
      <c r="N13" s="91">
        <f t="shared" si="3"/>
        <v>0</v>
      </c>
      <c r="O13" s="91">
        <f t="shared" si="4"/>
        <v>13248.375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33">
        <v>46031</v>
      </c>
      <c r="B14" s="234"/>
      <c r="C14" s="97">
        <v>0</v>
      </c>
      <c r="D14" s="98">
        <v>0</v>
      </c>
      <c r="E14" s="98"/>
      <c r="F14" s="102"/>
      <c r="G14" s="89">
        <f t="shared" si="5"/>
        <v>883.22500000000002</v>
      </c>
      <c r="H14" s="90"/>
      <c r="I14" s="91">
        <f t="shared" si="0"/>
        <v>0</v>
      </c>
      <c r="J14" s="91">
        <f t="shared" si="1"/>
        <v>0</v>
      </c>
      <c r="K14" s="91">
        <f>IF(OR(WEEKDAY(A14)=1,WEEKDAY(A14)=7,NOT(ISERROR(MATCH(A14,[1]Праздники!A:A,0)))),SUM(E14*225)*1.5,SUM(E14*225))</f>
        <v>0</v>
      </c>
      <c r="L14" s="91">
        <f>IF(OR(WEEKDAY(A14)=1,WEEKDAY(A14)=7,NOT(ISERROR(MATCH(A14,[1]Праздники!A:A,0)))),SUM(F14*225)*1.5,SUM(F14*225))</f>
        <v>0</v>
      </c>
      <c r="M14" s="91">
        <f t="shared" si="2"/>
        <v>13248.375</v>
      </c>
      <c r="N14" s="91">
        <f t="shared" si="3"/>
        <v>0</v>
      </c>
      <c r="O14" s="91">
        <f t="shared" si="4"/>
        <v>13248.375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33">
        <v>46032</v>
      </c>
      <c r="B15" s="234"/>
      <c r="C15" s="97">
        <v>0</v>
      </c>
      <c r="D15" s="98">
        <v>0</v>
      </c>
      <c r="E15" s="98"/>
      <c r="F15" s="99"/>
      <c r="G15" s="89">
        <f t="shared" si="5"/>
        <v>883.22500000000002</v>
      </c>
      <c r="H15" s="90"/>
      <c r="I15" s="91">
        <f t="shared" si="0"/>
        <v>0</v>
      </c>
      <c r="J15" s="91">
        <f t="shared" si="1"/>
        <v>0</v>
      </c>
      <c r="K15" s="91">
        <f>IF(OR(WEEKDAY(A15)=1,WEEKDAY(A15)=7,NOT(ISERROR(MATCH(A15,[1]Праздники!A:A,0)))),SUM(E15*225)*1.5,SUM(E15*225))</f>
        <v>0</v>
      </c>
      <c r="L15" s="91">
        <f>IF(OR(WEEKDAY(A15)=1,WEEKDAY(A15)=7,NOT(ISERROR(MATCH(A15,[1]Праздники!A:A,0)))),SUM(F15*225)*1.5,SUM(F15*225))</f>
        <v>0</v>
      </c>
      <c r="M15" s="91">
        <f t="shared" si="2"/>
        <v>13248.375</v>
      </c>
      <c r="N15" s="91">
        <f t="shared" si="3"/>
        <v>0</v>
      </c>
      <c r="O15" s="91">
        <f t="shared" si="4"/>
        <v>13248.375</v>
      </c>
      <c r="P15" s="2" t="str">
        <f>IF(OR(WEEKDAY(A15)=1,WEEKDAY(A15)=7,NOT(ISERROR(MATCH(A15,[1]Праздники!A:A,0)))),"Выходной","Рабочий")</f>
        <v>Выходной</v>
      </c>
    </row>
    <row r="16" spans="1:19">
      <c r="A16" s="233">
        <v>46033</v>
      </c>
      <c r="B16" s="234"/>
      <c r="C16" s="97">
        <v>0</v>
      </c>
      <c r="D16" s="98">
        <v>0</v>
      </c>
      <c r="E16" s="98"/>
      <c r="F16" s="99"/>
      <c r="G16" s="89">
        <f t="shared" si="5"/>
        <v>883.22500000000002</v>
      </c>
      <c r="H16" s="90"/>
      <c r="I16" s="91">
        <f t="shared" si="0"/>
        <v>0</v>
      </c>
      <c r="J16" s="91">
        <f t="shared" si="1"/>
        <v>0</v>
      </c>
      <c r="K16" s="91">
        <f>IF(OR(WEEKDAY(A16)=1,WEEKDAY(A16)=7,NOT(ISERROR(MATCH(A16,[1]Праздники!A:A,0)))),SUM(E16*225)*1.5,SUM(E16*225))</f>
        <v>0</v>
      </c>
      <c r="L16" s="91">
        <f>IF(OR(WEEKDAY(A16)=1,WEEKDAY(A16)=7,NOT(ISERROR(MATCH(A16,[1]Праздники!A:A,0)))),SUM(F16*225)*1.5,SUM(F16*225))</f>
        <v>0</v>
      </c>
      <c r="M16" s="91">
        <f t="shared" si="2"/>
        <v>13248.375</v>
      </c>
      <c r="N16" s="91">
        <f t="shared" si="3"/>
        <v>0</v>
      </c>
      <c r="O16" s="91">
        <f t="shared" si="4"/>
        <v>13248.375</v>
      </c>
      <c r="P16" s="2" t="str">
        <f>IF(OR(WEEKDAY(A16)=1,WEEKDAY(A16)=7,NOT(ISERROR(MATCH(A16,[1]Праздники!A:A,0)))),"Выходной","Рабочий")</f>
        <v>Выходной</v>
      </c>
    </row>
    <row r="17" spans="1:16">
      <c r="A17" s="233">
        <v>46034</v>
      </c>
      <c r="B17" s="234"/>
      <c r="C17" s="97">
        <v>0</v>
      </c>
      <c r="D17" s="98">
        <v>0</v>
      </c>
      <c r="E17" s="98"/>
      <c r="F17" s="99"/>
      <c r="G17" s="89">
        <f t="shared" si="5"/>
        <v>883.22500000000002</v>
      </c>
      <c r="H17" s="90"/>
      <c r="I17" s="91">
        <f t="shared" si="0"/>
        <v>0</v>
      </c>
      <c r="J17" s="91">
        <f t="shared" si="1"/>
        <v>0</v>
      </c>
      <c r="K17" s="91">
        <f>IF(OR(WEEKDAY(A17)=1,WEEKDAY(A17)=7,NOT(ISERROR(MATCH(A17,[1]Праздники!A:A,0)))),SUM(E17*225)*1.5,SUM(E17*225))</f>
        <v>0</v>
      </c>
      <c r="L17" s="91">
        <f>IF(OR(WEEKDAY(A17)=1,WEEKDAY(A17)=7,NOT(ISERROR(MATCH(A17,[1]Праздники!A:A,0)))),SUM(F17*225)*1.5,SUM(F17*225))</f>
        <v>0</v>
      </c>
      <c r="M17" s="91">
        <f t="shared" si="2"/>
        <v>13248.375</v>
      </c>
      <c r="N17" s="91">
        <f t="shared" si="3"/>
        <v>0</v>
      </c>
      <c r="O17" s="91">
        <f t="shared" si="4"/>
        <v>13248.375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33">
        <v>46035</v>
      </c>
      <c r="B18" s="234"/>
      <c r="C18" s="97">
        <v>0</v>
      </c>
      <c r="D18" s="98">
        <v>0</v>
      </c>
      <c r="E18" s="98"/>
      <c r="F18" s="99"/>
      <c r="G18" s="89">
        <f t="shared" si="5"/>
        <v>883.22500000000002</v>
      </c>
      <c r="H18" s="90"/>
      <c r="I18" s="91">
        <f t="shared" si="0"/>
        <v>0</v>
      </c>
      <c r="J18" s="91">
        <f t="shared" si="1"/>
        <v>0</v>
      </c>
      <c r="K18" s="91">
        <f>IF(OR(WEEKDAY(A18)=1,WEEKDAY(A18)=7,NOT(ISERROR(MATCH(A18,[1]Праздники!A:A,0)))),SUM(E18*225)*1.5,SUM(E18*225))</f>
        <v>0</v>
      </c>
      <c r="L18" s="91">
        <f>IF(OR(WEEKDAY(A18)=1,WEEKDAY(A18)=7,NOT(ISERROR(MATCH(A18,[1]Праздники!A:A,0)))),SUM(F18*225)*1.5,SUM(F18*225))</f>
        <v>0</v>
      </c>
      <c r="M18" s="91">
        <f t="shared" si="2"/>
        <v>13248.375</v>
      </c>
      <c r="N18" s="91">
        <f t="shared" si="3"/>
        <v>0</v>
      </c>
      <c r="O18" s="91">
        <f t="shared" si="4"/>
        <v>13248.375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33">
        <v>46036</v>
      </c>
      <c r="B19" s="234"/>
      <c r="C19" s="97">
        <v>0</v>
      </c>
      <c r="D19" s="98">
        <v>0</v>
      </c>
      <c r="E19" s="98"/>
      <c r="F19" s="99"/>
      <c r="G19" s="89">
        <f t="shared" si="5"/>
        <v>883.22500000000002</v>
      </c>
      <c r="H19" s="90"/>
      <c r="I19" s="91">
        <f t="shared" si="0"/>
        <v>0</v>
      </c>
      <c r="J19" s="91">
        <f t="shared" si="1"/>
        <v>0</v>
      </c>
      <c r="K19" s="91">
        <f>IF(OR(WEEKDAY(A19)=1,WEEKDAY(A19)=7,NOT(ISERROR(MATCH(A19,[1]Праздники!A:A,0)))),SUM(E19*225)*1.5,SUM(E19*225))</f>
        <v>0</v>
      </c>
      <c r="L19" s="91">
        <f>IF(OR(WEEKDAY(A19)=1,WEEKDAY(A19)=7,NOT(ISERROR(MATCH(A19,[1]Праздники!A:A,0)))),SUM(F19*225)*1.5,SUM(F19*225))</f>
        <v>0</v>
      </c>
      <c r="M19" s="91">
        <f t="shared" si="2"/>
        <v>13248.375</v>
      </c>
      <c r="N19" s="91">
        <f t="shared" si="3"/>
        <v>0</v>
      </c>
      <c r="O19" s="91">
        <f t="shared" si="4"/>
        <v>13248.375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33">
        <v>46037</v>
      </c>
      <c r="B20" s="234"/>
      <c r="C20" s="97">
        <v>0</v>
      </c>
      <c r="D20" s="98">
        <v>0</v>
      </c>
      <c r="E20" s="98"/>
      <c r="F20" s="99"/>
      <c r="G20" s="89">
        <f t="shared" si="5"/>
        <v>883.22500000000002</v>
      </c>
      <c r="H20" s="90"/>
      <c r="I20" s="91">
        <f t="shared" si="0"/>
        <v>0</v>
      </c>
      <c r="J20" s="91">
        <f t="shared" si="1"/>
        <v>0</v>
      </c>
      <c r="K20" s="91">
        <f>IF(OR(WEEKDAY(A20)=1,WEEKDAY(A20)=7,NOT(ISERROR(MATCH(A20,[1]Праздники!A:A,0)))),SUM(E20*225)*1.5,SUM(E20*225))</f>
        <v>0</v>
      </c>
      <c r="L20" s="91">
        <f>IF(OR(WEEKDAY(A20)=1,WEEKDAY(A20)=7,NOT(ISERROR(MATCH(A20,[1]Праздники!A:A,0)))),SUM(F20*225)*1.5,SUM(F20*225))</f>
        <v>0</v>
      </c>
      <c r="M20" s="91">
        <f t="shared" si="2"/>
        <v>13248.375</v>
      </c>
      <c r="N20" s="91">
        <f t="shared" si="3"/>
        <v>0</v>
      </c>
      <c r="O20" s="91">
        <f t="shared" si="4"/>
        <v>13248.375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33">
        <v>46038</v>
      </c>
      <c r="B21" s="234"/>
      <c r="C21" s="97">
        <v>0</v>
      </c>
      <c r="D21" s="98">
        <v>0</v>
      </c>
      <c r="E21" s="98"/>
      <c r="F21" s="99"/>
      <c r="G21" s="89">
        <f t="shared" si="5"/>
        <v>883.22500000000002</v>
      </c>
      <c r="H21" s="90"/>
      <c r="I21" s="91">
        <f t="shared" si="0"/>
        <v>0</v>
      </c>
      <c r="J21" s="91">
        <f t="shared" si="1"/>
        <v>0</v>
      </c>
      <c r="K21" s="91">
        <f>IF(OR(WEEKDAY(A21)=1,WEEKDAY(A21)=7,NOT(ISERROR(MATCH(A21,[1]Праздники!A:A,0)))),SUM(E21*225)*1.5,SUM(E21*225))</f>
        <v>0</v>
      </c>
      <c r="L21" s="91">
        <f>IF(OR(WEEKDAY(A21)=1,WEEKDAY(A21)=7,NOT(ISERROR(MATCH(A21,[1]Праздники!A:A,0)))),SUM(F21*225)*1.5,SUM(F21*225))</f>
        <v>0</v>
      </c>
      <c r="M21" s="91">
        <f t="shared" si="2"/>
        <v>13248.375</v>
      </c>
      <c r="N21" s="91">
        <f t="shared" si="3"/>
        <v>0</v>
      </c>
      <c r="O21" s="91">
        <f t="shared" si="4"/>
        <v>13248.375</v>
      </c>
      <c r="P21" s="2" t="str">
        <f>IF(OR(WEEKDAY(A21)=1,WEEKDAY(A21)=7,NOT(ISERROR(MATCH(A21,[1]Праздники!A:A,0)))),"Выходной","Рабочий")</f>
        <v>Рабочий</v>
      </c>
    </row>
    <row r="22" spans="1:16">
      <c r="A22" s="233">
        <v>46039</v>
      </c>
      <c r="B22" s="234"/>
      <c r="C22" s="97">
        <v>0</v>
      </c>
      <c r="D22" s="98">
        <v>49.5</v>
      </c>
      <c r="E22" s="98"/>
      <c r="F22" s="99"/>
      <c r="G22" s="89">
        <f t="shared" si="5"/>
        <v>883.22500000000002</v>
      </c>
      <c r="H22" s="90"/>
      <c r="I22" s="91">
        <f t="shared" si="0"/>
        <v>0</v>
      </c>
      <c r="J22" s="91">
        <f t="shared" si="1"/>
        <v>11137.5</v>
      </c>
      <c r="K22" s="91">
        <f>IF(OR(WEEKDAY(A22)=1,WEEKDAY(A22)=7,NOT(ISERROR(MATCH(A22,[1]Праздники!A:A,0)))),SUM(E22*225)*1.5,SUM(E22*225))</f>
        <v>0</v>
      </c>
      <c r="L22" s="91">
        <f>IF(OR(WEEKDAY(A22)=1,WEEKDAY(A22)=7,NOT(ISERROR(MATCH(A22,[1]Праздники!A:A,0)))),SUM(F22*225)*1.5,SUM(F22*225))</f>
        <v>0</v>
      </c>
      <c r="M22" s="91">
        <f t="shared" si="2"/>
        <v>13248.375</v>
      </c>
      <c r="N22" s="91">
        <f t="shared" si="3"/>
        <v>0</v>
      </c>
      <c r="O22" s="91">
        <f t="shared" si="4"/>
        <v>24385.875</v>
      </c>
      <c r="P22" s="2" t="str">
        <f>IF(OR(WEEKDAY(A22)=1,WEEKDAY(A22)=7,NOT(ISERROR(MATCH(A22,[1]Праздники!A:A,0)))),"Выходной","Рабочий")</f>
        <v>Выходной</v>
      </c>
    </row>
    <row r="23" spans="1:16">
      <c r="A23" s="233">
        <v>46040</v>
      </c>
      <c r="B23" s="234"/>
      <c r="C23" s="97">
        <v>0</v>
      </c>
      <c r="D23" s="98">
        <v>0</v>
      </c>
      <c r="E23" s="98"/>
      <c r="F23" s="99"/>
      <c r="G23" s="89">
        <f t="shared" si="5"/>
        <v>833.72500000000002</v>
      </c>
      <c r="H23" s="90"/>
      <c r="I23" s="91">
        <f t="shared" si="0"/>
        <v>0</v>
      </c>
      <c r="J23" s="91">
        <f t="shared" si="1"/>
        <v>0</v>
      </c>
      <c r="K23" s="91">
        <f>IF(OR(WEEKDAY(A23)=1,WEEKDAY(A23)=7,NOT(ISERROR(MATCH(A23,[1]Праздники!A:A,0)))),SUM(E23*225)*1.5,SUM(E23*225))</f>
        <v>0</v>
      </c>
      <c r="L23" s="91">
        <f>IF(OR(WEEKDAY(A23)=1,WEEKDAY(A23)=7,NOT(ISERROR(MATCH(A23,[1]Праздники!A:A,0)))),SUM(F23*225)*1.5,SUM(F23*225))</f>
        <v>0</v>
      </c>
      <c r="M23" s="91">
        <f t="shared" si="2"/>
        <v>12505.875</v>
      </c>
      <c r="N23" s="91">
        <f t="shared" si="3"/>
        <v>0</v>
      </c>
      <c r="O23" s="91">
        <f t="shared" si="4"/>
        <v>12505.875</v>
      </c>
      <c r="P23" s="2" t="str">
        <f>IF(OR(WEEKDAY(A23)=1,WEEKDAY(A23)=7,NOT(ISERROR(MATCH(A23,[1]Праздники!A:A,0)))),"Выходной","Рабочий")</f>
        <v>Выходной</v>
      </c>
    </row>
    <row r="24" spans="1:16">
      <c r="A24" s="233">
        <v>46041</v>
      </c>
      <c r="B24" s="234"/>
      <c r="C24" s="97">
        <v>0</v>
      </c>
      <c r="D24" s="98">
        <v>0</v>
      </c>
      <c r="E24" s="98"/>
      <c r="F24" s="99"/>
      <c r="G24" s="89">
        <f t="shared" si="5"/>
        <v>833.72500000000002</v>
      </c>
      <c r="H24" s="90"/>
      <c r="I24" s="91">
        <f t="shared" si="0"/>
        <v>0</v>
      </c>
      <c r="J24" s="91">
        <f t="shared" si="1"/>
        <v>0</v>
      </c>
      <c r="K24" s="91">
        <f>IF(OR(WEEKDAY(A24)=1,WEEKDAY(A24)=7,NOT(ISERROR(MATCH(A24,[1]Праздники!A:A,0)))),SUM(E24*225)*1.5,SUM(E24*225))</f>
        <v>0</v>
      </c>
      <c r="L24" s="91">
        <f>IF(OR(WEEKDAY(A24)=1,WEEKDAY(A24)=7,NOT(ISERROR(MATCH(A24,[1]Праздники!A:A,0)))),SUM(F24*225)*1.5,SUM(F24*225))</f>
        <v>0</v>
      </c>
      <c r="M24" s="91">
        <f t="shared" si="2"/>
        <v>12505.875</v>
      </c>
      <c r="N24" s="91">
        <f t="shared" si="3"/>
        <v>0</v>
      </c>
      <c r="O24" s="91">
        <f t="shared" si="4"/>
        <v>12505.875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33">
        <v>46042</v>
      </c>
      <c r="B25" s="234"/>
      <c r="C25" s="97">
        <v>0</v>
      </c>
      <c r="D25" s="98">
        <v>0</v>
      </c>
      <c r="E25" s="98"/>
      <c r="F25" s="99"/>
      <c r="G25" s="89">
        <f t="shared" si="5"/>
        <v>833.72500000000002</v>
      </c>
      <c r="H25" s="90"/>
      <c r="I25" s="91">
        <f t="shared" si="0"/>
        <v>0</v>
      </c>
      <c r="J25" s="91">
        <f t="shared" si="1"/>
        <v>0</v>
      </c>
      <c r="K25" s="91">
        <f>IF(OR(WEEKDAY(A25)=1,WEEKDAY(A25)=7,NOT(ISERROR(MATCH(A25,[1]Праздники!A:A,0)))),SUM(E25*225)*1.5,SUM(E25*225))</f>
        <v>0</v>
      </c>
      <c r="L25" s="91">
        <f>IF(OR(WEEKDAY(A25)=1,WEEKDAY(A25)=7,NOT(ISERROR(MATCH(A25,[1]Праздники!A:A,0)))),SUM(F25*225)*1.5,SUM(F25*225))</f>
        <v>0</v>
      </c>
      <c r="M25" s="91">
        <f t="shared" si="2"/>
        <v>12505.875</v>
      </c>
      <c r="N25" s="91">
        <f t="shared" si="3"/>
        <v>0</v>
      </c>
      <c r="O25" s="91">
        <f t="shared" si="4"/>
        <v>12505.875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33">
        <v>46043</v>
      </c>
      <c r="B26" s="234"/>
      <c r="C26" s="97">
        <v>0</v>
      </c>
      <c r="D26" s="98">
        <v>0</v>
      </c>
      <c r="E26" s="103"/>
      <c r="F26" s="99"/>
      <c r="G26" s="89">
        <f t="shared" si="5"/>
        <v>833.72500000000002</v>
      </c>
      <c r="H26" s="90"/>
      <c r="I26" s="91">
        <f t="shared" si="0"/>
        <v>0</v>
      </c>
      <c r="J26" s="91">
        <f t="shared" si="1"/>
        <v>0</v>
      </c>
      <c r="K26" s="91">
        <f>IF(OR(WEEKDAY(A26)=1,WEEKDAY(A26)=7,NOT(ISERROR(MATCH(A26,[1]Праздники!A:A,0)))),SUM(E26*225)*1.5,SUM(E26*225))</f>
        <v>0</v>
      </c>
      <c r="L26" s="91">
        <f>IF(OR(WEEKDAY(A26)=1,WEEKDAY(A26)=7,NOT(ISERROR(MATCH(A26,[1]Праздники!A:A,0)))),SUM(F26*225)*1.5,SUM(F26*225))</f>
        <v>0</v>
      </c>
      <c r="M26" s="91">
        <f t="shared" si="2"/>
        <v>12505.875</v>
      </c>
      <c r="N26" s="91">
        <f t="shared" si="3"/>
        <v>0</v>
      </c>
      <c r="O26" s="91">
        <f t="shared" si="4"/>
        <v>12505.875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33">
        <v>46044</v>
      </c>
      <c r="B27" s="234"/>
      <c r="C27" s="97">
        <v>0</v>
      </c>
      <c r="D27" s="98">
        <v>0</v>
      </c>
      <c r="E27" s="98"/>
      <c r="F27" s="102"/>
      <c r="G27" s="89">
        <f t="shared" si="5"/>
        <v>833.72500000000002</v>
      </c>
      <c r="H27" s="90"/>
      <c r="I27" s="91">
        <f t="shared" si="0"/>
        <v>0</v>
      </c>
      <c r="J27" s="91">
        <f t="shared" si="1"/>
        <v>0</v>
      </c>
      <c r="K27" s="91">
        <f>IF(OR(WEEKDAY(A27)=1,WEEKDAY(A27)=7,NOT(ISERROR(MATCH(A27,[1]Праздники!A:A,0)))),SUM(E27*225)*1.5,SUM(E27*225))</f>
        <v>0</v>
      </c>
      <c r="L27" s="91">
        <f>IF(OR(WEEKDAY(A27)=1,WEEKDAY(A27)=7,NOT(ISERROR(MATCH(A27,[1]Праздники!A:A,0)))),SUM(F27*225)*1.5,SUM(F27*225))</f>
        <v>0</v>
      </c>
      <c r="M27" s="91">
        <f t="shared" si="2"/>
        <v>12505.875</v>
      </c>
      <c r="N27" s="91">
        <f t="shared" si="3"/>
        <v>0</v>
      </c>
      <c r="O27" s="91">
        <f t="shared" si="4"/>
        <v>12505.875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33">
        <v>46045</v>
      </c>
      <c r="B28" s="234"/>
      <c r="C28" s="97">
        <v>0</v>
      </c>
      <c r="D28" s="98">
        <v>0</v>
      </c>
      <c r="E28" s="98"/>
      <c r="F28" s="99"/>
      <c r="G28" s="89">
        <f t="shared" si="5"/>
        <v>833.72500000000002</v>
      </c>
      <c r="H28" s="90"/>
      <c r="I28" s="91">
        <f t="shared" si="0"/>
        <v>0</v>
      </c>
      <c r="J28" s="91">
        <f t="shared" si="1"/>
        <v>0</v>
      </c>
      <c r="K28" s="91">
        <f>IF(OR(WEEKDAY(A28)=1,WEEKDAY(A28)=7,NOT(ISERROR(MATCH(A28,[1]Праздники!A:A,0)))),SUM(E28*225)*1.5,SUM(E28*225))</f>
        <v>0</v>
      </c>
      <c r="L28" s="91">
        <f>IF(OR(WEEKDAY(A28)=1,WEEKDAY(A28)=7,NOT(ISERROR(MATCH(A28,[1]Праздники!A:A,0)))),SUM(F28*225)*1.5,SUM(F28*225))</f>
        <v>0</v>
      </c>
      <c r="M28" s="91">
        <f t="shared" si="2"/>
        <v>12505.875</v>
      </c>
      <c r="N28" s="91">
        <f t="shared" si="3"/>
        <v>0</v>
      </c>
      <c r="O28" s="91">
        <f t="shared" si="4"/>
        <v>12505.875</v>
      </c>
      <c r="P28" s="2" t="str">
        <f>IF(OR(WEEKDAY(A28)=1,WEEKDAY(A28)=7,NOT(ISERROR(MATCH(A28,[1]Праздники!A:A,0)))),"Выходной","Рабочий")</f>
        <v>Рабочий</v>
      </c>
    </row>
    <row r="29" spans="1:16">
      <c r="A29" s="233">
        <v>46046</v>
      </c>
      <c r="B29" s="234"/>
      <c r="C29" s="97">
        <v>0</v>
      </c>
      <c r="D29" s="98">
        <v>0</v>
      </c>
      <c r="E29" s="98"/>
      <c r="F29" s="99"/>
      <c r="G29" s="89">
        <f t="shared" si="5"/>
        <v>833.72500000000002</v>
      </c>
      <c r="H29" s="90"/>
      <c r="I29" s="91">
        <f t="shared" si="0"/>
        <v>0</v>
      </c>
      <c r="J29" s="91">
        <f t="shared" si="1"/>
        <v>0</v>
      </c>
      <c r="K29" s="91">
        <f>IF(OR(WEEKDAY(A29)=1,WEEKDAY(A29)=7,NOT(ISERROR(MATCH(A29,[1]Праздники!A:A,0)))),SUM(E29*225)*1.5,SUM(E29*225))</f>
        <v>0</v>
      </c>
      <c r="L29" s="91">
        <f>IF(OR(WEEKDAY(A29)=1,WEEKDAY(A29)=7,NOT(ISERROR(MATCH(A29,[1]Праздники!A:A,0)))),SUM(F29*225)*1.5,SUM(F29*225))</f>
        <v>0</v>
      </c>
      <c r="M29" s="91">
        <f t="shared" si="2"/>
        <v>12505.875</v>
      </c>
      <c r="N29" s="91">
        <f t="shared" si="3"/>
        <v>0</v>
      </c>
      <c r="O29" s="91">
        <f t="shared" si="4"/>
        <v>12505.875</v>
      </c>
      <c r="P29" s="2" t="str">
        <f>IF(OR(WEEKDAY(A29)=1,WEEKDAY(A29)=7,NOT(ISERROR(MATCH(A29,[1]Праздники!A:A,0)))),"Выходной","Рабочий")</f>
        <v>Выходной</v>
      </c>
    </row>
    <row r="30" spans="1:16">
      <c r="A30" s="233">
        <v>46047</v>
      </c>
      <c r="B30" s="234"/>
      <c r="C30" s="97">
        <v>0</v>
      </c>
      <c r="D30" s="98">
        <v>0</v>
      </c>
      <c r="E30" s="98"/>
      <c r="F30" s="99"/>
      <c r="G30" s="89">
        <f t="shared" si="5"/>
        <v>833.72500000000002</v>
      </c>
      <c r="H30" s="90"/>
      <c r="I30" s="91">
        <f t="shared" si="0"/>
        <v>0</v>
      </c>
      <c r="J30" s="91">
        <f t="shared" si="1"/>
        <v>0</v>
      </c>
      <c r="K30" s="91">
        <f>IF(OR(WEEKDAY(A30)=1,WEEKDAY(A30)=7,NOT(ISERROR(MATCH(A30,[1]Праздники!A:A,0)))),SUM(E30*225)*1.5,SUM(E30*225))</f>
        <v>0</v>
      </c>
      <c r="L30" s="91">
        <f>IF(OR(WEEKDAY(A30)=1,WEEKDAY(A30)=7,NOT(ISERROR(MATCH(A30,[1]Праздники!A:A,0)))),SUM(F30*225)*1.5,SUM(F30*225))</f>
        <v>0</v>
      </c>
      <c r="M30" s="91">
        <f t="shared" si="2"/>
        <v>12505.875</v>
      </c>
      <c r="N30" s="91">
        <f t="shared" si="3"/>
        <v>0</v>
      </c>
      <c r="O30" s="91">
        <f t="shared" si="4"/>
        <v>12505.875</v>
      </c>
      <c r="P30" s="2" t="str">
        <f>IF(OR(WEEKDAY(A30)=1,WEEKDAY(A30)=7,NOT(ISERROR(MATCH(A30,[1]Праздники!A:A,0)))),"Выходной","Рабочий")</f>
        <v>Выходной</v>
      </c>
    </row>
    <row r="31" spans="1:16">
      <c r="A31" s="233">
        <v>46048</v>
      </c>
      <c r="B31" s="234"/>
      <c r="C31" s="97">
        <v>0</v>
      </c>
      <c r="D31" s="98">
        <v>0</v>
      </c>
      <c r="E31" s="98"/>
      <c r="F31" s="99"/>
      <c r="G31" s="89">
        <f t="shared" si="5"/>
        <v>833.72500000000002</v>
      </c>
      <c r="H31" s="90"/>
      <c r="I31" s="91">
        <f t="shared" si="0"/>
        <v>0</v>
      </c>
      <c r="J31" s="91">
        <f t="shared" si="1"/>
        <v>0</v>
      </c>
      <c r="K31" s="91">
        <f>IF(OR(WEEKDAY(A31)=1,WEEKDAY(A31)=7,NOT(ISERROR(MATCH(A31,[1]Праздники!A:A,0)))),SUM(E31*225)*1.5,SUM(E31*225))</f>
        <v>0</v>
      </c>
      <c r="L31" s="91">
        <f>IF(OR(WEEKDAY(A31)=1,WEEKDAY(A31)=7,NOT(ISERROR(MATCH(A31,[1]Праздники!A:A,0)))),SUM(F31*225)*1.5,SUM(F31*225))</f>
        <v>0</v>
      </c>
      <c r="M31" s="91">
        <f t="shared" si="2"/>
        <v>12505.875</v>
      </c>
      <c r="N31" s="91">
        <f t="shared" si="3"/>
        <v>0</v>
      </c>
      <c r="O31" s="91">
        <f t="shared" si="4"/>
        <v>12505.875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33">
        <v>46049</v>
      </c>
      <c r="B32" s="234"/>
      <c r="C32" s="97">
        <v>0</v>
      </c>
      <c r="D32" s="98">
        <v>0</v>
      </c>
      <c r="E32" s="98"/>
      <c r="F32" s="99"/>
      <c r="G32" s="89">
        <f t="shared" si="5"/>
        <v>833.72500000000002</v>
      </c>
      <c r="H32" s="90"/>
      <c r="I32" s="91">
        <f t="shared" si="0"/>
        <v>0</v>
      </c>
      <c r="J32" s="91">
        <f t="shared" si="1"/>
        <v>0</v>
      </c>
      <c r="K32" s="91">
        <f>IF(OR(WEEKDAY(A32)=1,WEEKDAY(A32)=7,NOT(ISERROR(MATCH(A32,[1]Праздники!A:A,0)))),SUM(E32*225)*1.5,SUM(E32*225))</f>
        <v>0</v>
      </c>
      <c r="L32" s="91">
        <f>IF(OR(WEEKDAY(A32)=1,WEEKDAY(A32)=7,NOT(ISERROR(MATCH(A32,[1]Праздники!A:A,0)))),SUM(F32*225)*1.5,SUM(F32*225))</f>
        <v>0</v>
      </c>
      <c r="M32" s="91">
        <f t="shared" si="2"/>
        <v>12505.875</v>
      </c>
      <c r="N32" s="91">
        <f t="shared" si="3"/>
        <v>0</v>
      </c>
      <c r="O32" s="91">
        <f t="shared" si="4"/>
        <v>12505.875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33">
        <v>46050</v>
      </c>
      <c r="B33" s="234"/>
      <c r="C33" s="97">
        <v>0</v>
      </c>
      <c r="D33" s="98">
        <v>21.375</v>
      </c>
      <c r="E33" s="98"/>
      <c r="F33" s="99"/>
      <c r="G33" s="89">
        <f t="shared" si="5"/>
        <v>833.72500000000002</v>
      </c>
      <c r="H33" s="90"/>
      <c r="I33" s="91">
        <f t="shared" si="0"/>
        <v>0</v>
      </c>
      <c r="J33" s="91">
        <f t="shared" si="1"/>
        <v>3206.25</v>
      </c>
      <c r="K33" s="91">
        <f>IF(OR(WEEKDAY(A33)=1,WEEKDAY(A33)=7,NOT(ISERROR(MATCH(A33,[1]Праздники!A:A,0)))),SUM(E33*225)*1.5,SUM(E33*225))</f>
        <v>0</v>
      </c>
      <c r="L33" s="91">
        <f>IF(OR(WEEKDAY(A33)=1,WEEKDAY(A33)=7,NOT(ISERROR(MATCH(A33,[1]Праздники!A:A,0)))),SUM(F33*225)*1.5,SUM(F33*225))</f>
        <v>0</v>
      </c>
      <c r="M33" s="91">
        <f t="shared" si="2"/>
        <v>12505.875</v>
      </c>
      <c r="N33" s="91">
        <f t="shared" si="3"/>
        <v>0</v>
      </c>
      <c r="O33" s="91">
        <f t="shared" si="4"/>
        <v>15712.125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33">
        <v>46051</v>
      </c>
      <c r="B34" s="234"/>
      <c r="C34" s="97">
        <v>0</v>
      </c>
      <c r="D34" s="98">
        <v>0</v>
      </c>
      <c r="E34" s="98"/>
      <c r="F34" s="99"/>
      <c r="G34" s="89">
        <f t="shared" si="5"/>
        <v>812.35</v>
      </c>
      <c r="H34" s="90"/>
      <c r="I34" s="91">
        <f t="shared" si="0"/>
        <v>0</v>
      </c>
      <c r="J34" s="91">
        <f t="shared" si="1"/>
        <v>0</v>
      </c>
      <c r="K34" s="91">
        <f>IF(OR(WEEKDAY(A34)=1,WEEKDAY(A34)=7,NOT(ISERROR(MATCH(A34,[1]Праздники!A:A,0)))),SUM(E34*225)*1.5,SUM(E34*225))</f>
        <v>0</v>
      </c>
      <c r="L34" s="91">
        <f>IF(OR(WEEKDAY(A34)=1,WEEKDAY(A34)=7,NOT(ISERROR(MATCH(A34,[1]Праздники!A:A,0)))),SUM(F34*225)*1.5,SUM(F34*225))</f>
        <v>0</v>
      </c>
      <c r="M34" s="91">
        <f t="shared" si="2"/>
        <v>12185.25</v>
      </c>
      <c r="N34" s="91">
        <f t="shared" si="3"/>
        <v>0</v>
      </c>
      <c r="O34" s="91">
        <f t="shared" si="4"/>
        <v>12185.25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33">
        <v>46052</v>
      </c>
      <c r="B35" s="234"/>
      <c r="C35" s="97">
        <v>0</v>
      </c>
      <c r="D35" s="98">
        <v>0</v>
      </c>
      <c r="E35" s="89"/>
      <c r="F35" s="99"/>
      <c r="G35" s="89">
        <f t="shared" si="5"/>
        <v>812.35</v>
      </c>
      <c r="H35" s="90"/>
      <c r="I35" s="91">
        <f t="shared" si="0"/>
        <v>0</v>
      </c>
      <c r="J35" s="91">
        <f t="shared" si="1"/>
        <v>0</v>
      </c>
      <c r="K35" s="91">
        <f>IF(OR(WEEKDAY(A35)=1,WEEKDAY(A35)=7,NOT(ISERROR(MATCH(A35,[1]Праздники!A:A,0)))),SUM(E35*225)*1.5,SUM(E35*225))</f>
        <v>0</v>
      </c>
      <c r="L35" s="91">
        <f>IF(OR(WEEKDAY(A35)=1,WEEKDAY(A35)=7,NOT(ISERROR(MATCH(A35,[1]Праздники!A:A,0)))),SUM(F35*225)*1.5,SUM(F35*225))</f>
        <v>0</v>
      </c>
      <c r="M35" s="91">
        <f t="shared" si="2"/>
        <v>12185.25</v>
      </c>
      <c r="N35" s="91">
        <f t="shared" si="3"/>
        <v>0</v>
      </c>
      <c r="O35" s="91">
        <f t="shared" si="4"/>
        <v>12185.25</v>
      </c>
      <c r="P35" s="2" t="str">
        <f>IF(OR(WEEKDAY(A35)=1,WEEKDAY(A35)=7,NOT(ISERROR(MATCH(A35,[1]Праздники!A:A,0)))),"Выходной","Рабочий")</f>
        <v>Рабочий</v>
      </c>
    </row>
    <row r="36" spans="1:17" ht="15.75" thickBot="1">
      <c r="A36" s="233">
        <v>46053</v>
      </c>
      <c r="B36" s="234"/>
      <c r="C36" s="97">
        <v>0</v>
      </c>
      <c r="D36" s="98">
        <v>11</v>
      </c>
      <c r="E36" s="89"/>
      <c r="F36" s="99"/>
      <c r="G36" s="89">
        <f t="shared" si="5"/>
        <v>812.35</v>
      </c>
      <c r="H36" s="90"/>
      <c r="I36" s="91">
        <f t="shared" si="0"/>
        <v>0</v>
      </c>
      <c r="J36" s="91">
        <f t="shared" si="1"/>
        <v>2475</v>
      </c>
      <c r="K36" s="91">
        <f>IF(OR(WEEKDAY(A36)=1,WEEKDAY(A36)=7,NOT(ISERROR(MATCH(A36,[1]Праздники!A:A,0)))),SUM(E36*225)*1.5,SUM(E36*225))</f>
        <v>0</v>
      </c>
      <c r="L36" s="91">
        <f>IF(OR(WEEKDAY(A36)=1,WEEKDAY(A36)=7,NOT(ISERROR(MATCH(A36,[1]Праздники!A:A,0)))),SUM(F36*225)*1.5,SUM(F36*225))</f>
        <v>0</v>
      </c>
      <c r="M36" s="91">
        <f t="shared" si="2"/>
        <v>12185.25</v>
      </c>
      <c r="N36" s="91">
        <f t="shared" si="3"/>
        <v>0</v>
      </c>
      <c r="O36" s="91">
        <f t="shared" ref="O36" si="6">SUM(I36:N36)</f>
        <v>14660.25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2">
        <f>SUM(C6:C36)</f>
        <v>0</v>
      </c>
      <c r="D37" s="92">
        <f t="shared" ref="D37:O37" si="7">SUM(D6:D36)</f>
        <v>81.875</v>
      </c>
      <c r="E37" s="92">
        <f t="shared" si="7"/>
        <v>0</v>
      </c>
      <c r="F37" s="92">
        <f t="shared" si="7"/>
        <v>0</v>
      </c>
      <c r="G37" s="92">
        <f t="shared" si="7"/>
        <v>26622.849999999988</v>
      </c>
      <c r="H37" s="104">
        <f t="shared" si="7"/>
        <v>0</v>
      </c>
      <c r="I37" s="93">
        <f t="shared" si="7"/>
        <v>0</v>
      </c>
      <c r="J37" s="93">
        <f t="shared" si="7"/>
        <v>16818.75</v>
      </c>
      <c r="K37" s="93">
        <f t="shared" si="7"/>
        <v>0</v>
      </c>
      <c r="L37" s="93">
        <f t="shared" si="7"/>
        <v>0</v>
      </c>
      <c r="M37" s="93">
        <f t="shared" si="7"/>
        <v>399342.75</v>
      </c>
      <c r="N37" s="93">
        <f t="shared" si="7"/>
        <v>0</v>
      </c>
      <c r="O37" s="94">
        <f t="shared" si="7"/>
        <v>416161.5</v>
      </c>
    </row>
    <row r="38" spans="1:17" ht="15.75" thickBot="1">
      <c r="G38" s="88"/>
      <c r="L38" s="16"/>
      <c r="M38" s="88"/>
      <c r="N38" s="104" t="s">
        <v>116</v>
      </c>
      <c r="O38" s="95">
        <f>O37*1.22</f>
        <v>507717.02999999997</v>
      </c>
      <c r="Q38" s="96"/>
    </row>
    <row r="39" spans="1:17">
      <c r="G39" s="88"/>
      <c r="M39" s="88"/>
    </row>
    <row r="40" spans="1:17">
      <c r="G40" s="88"/>
      <c r="M40" s="88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:B5"/>
    <mergeCell ref="C4:C5"/>
    <mergeCell ref="D4:D5"/>
    <mergeCell ref="A11:B11"/>
    <mergeCell ref="A12:B12"/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9437-C0DE-410F-A660-D2C900AF4DF4}">
  <sheetPr codeName="Лист8"/>
  <dimension ref="A1:S40"/>
  <sheetViews>
    <sheetView topLeftCell="A16" workbookViewId="0">
      <selection activeCell="G36" sqref="G36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10.3984375" style="2" customWidth="1"/>
    <col min="10" max="10" width="9.19921875" style="2" bestFit="1" customWidth="1"/>
    <col min="11" max="12" width="6.5" style="2" bestFit="1" customWidth="1"/>
    <col min="13" max="13" width="10.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8"/>
      <c r="Q1" s="78"/>
      <c r="R1" s="78" t="s">
        <v>106</v>
      </c>
      <c r="S1" s="78" t="s">
        <v>107</v>
      </c>
    </row>
    <row r="2" spans="1:19">
      <c r="M2" s="88"/>
      <c r="Q2" s="78" t="s">
        <v>108</v>
      </c>
      <c r="R2" s="78">
        <f>SUMIF($P$6:$P$36,R$1,$C6:$C36)</f>
        <v>4919.6899999999996</v>
      </c>
      <c r="S2" s="78">
        <f>SUMIF($P$6:$P$36,S$1,$C6:$C36)</f>
        <v>1279.04</v>
      </c>
    </row>
    <row r="3" spans="1:19" ht="21">
      <c r="A3" s="76" t="str">
        <f>"Отчет по хранению  товара  РВ " &amp; TEXT(A6,"ММММ ") &amp; YEAR(A6) &amp; " Березовая Пойма"</f>
        <v>Отчет по хранению  товара  РВ Январь 2026 Березовая Пойма</v>
      </c>
      <c r="G3" s="88"/>
      <c r="M3" s="88"/>
      <c r="Q3" s="78" t="s">
        <v>96</v>
      </c>
      <c r="R3" s="78">
        <f>SUMIF($P$6:$P$36,R$1,$D6:$D36)</f>
        <v>1020.6650000000001</v>
      </c>
      <c r="S3" s="78">
        <f>SUMIF($P$6:$P$36,S$1,$D6:$D36)</f>
        <v>1388.0800000000002</v>
      </c>
    </row>
    <row r="4" spans="1:19">
      <c r="A4" s="211" t="s">
        <v>1</v>
      </c>
      <c r="B4" s="212"/>
      <c r="C4" s="209" t="s">
        <v>109</v>
      </c>
      <c r="D4" s="209" t="s">
        <v>110</v>
      </c>
      <c r="E4" s="209" t="s">
        <v>111</v>
      </c>
      <c r="F4" s="209" t="s">
        <v>112</v>
      </c>
      <c r="G4" s="100" t="s">
        <v>4</v>
      </c>
      <c r="H4" s="209" t="s">
        <v>7</v>
      </c>
      <c r="I4" s="209" t="s">
        <v>11</v>
      </c>
      <c r="J4" s="209" t="s">
        <v>12</v>
      </c>
      <c r="K4" s="209" t="s">
        <v>113</v>
      </c>
      <c r="L4" s="209" t="s">
        <v>114</v>
      </c>
      <c r="M4" s="235" t="s">
        <v>13</v>
      </c>
      <c r="N4" s="209" t="s">
        <v>16</v>
      </c>
      <c r="O4" s="209" t="s">
        <v>18</v>
      </c>
    </row>
    <row r="5" spans="1:19" ht="30">
      <c r="A5" s="213"/>
      <c r="B5" s="214"/>
      <c r="C5" s="210"/>
      <c r="D5" s="210"/>
      <c r="E5" s="210"/>
      <c r="F5" s="210"/>
      <c r="G5" s="101" t="s">
        <v>115</v>
      </c>
      <c r="H5" s="210"/>
      <c r="I5" s="210"/>
      <c r="J5" s="210"/>
      <c r="K5" s="210"/>
      <c r="L5" s="210"/>
      <c r="M5" s="236"/>
      <c r="N5" s="210"/>
      <c r="O5" s="210"/>
    </row>
    <row r="6" spans="1:19">
      <c r="A6" s="233">
        <v>46023</v>
      </c>
      <c r="B6" s="234"/>
      <c r="C6" s="97">
        <v>0</v>
      </c>
      <c r="D6" s="98">
        <v>0</v>
      </c>
      <c r="E6" s="98"/>
      <c r="F6" s="99"/>
      <c r="G6" s="89">
        <v>786.23</v>
      </c>
      <c r="H6" s="90"/>
      <c r="I6" s="91">
        <f>IF(P6="Выходной",SUM(C6*150)*1.5,SUM(C6*150))</f>
        <v>0</v>
      </c>
      <c r="J6" s="91">
        <f>IF(P6="Выходной",SUM(D6*150)*1.5,SUM(D6*150))</f>
        <v>0</v>
      </c>
      <c r="K6" s="91">
        <f>IF(OR(WEEKDAY(A6)=1,WEEKDAY(A6)=7,NOT(ISERROR(MATCH(A6,[1]Праздники!A:A,0)))),SUM(E6*225)*1.5,SUM(E6*225))</f>
        <v>0</v>
      </c>
      <c r="L6" s="91">
        <f>IF(OR(WEEKDAY(A6)=1,WEEKDAY(A6)=7,NOT(ISERROR(MATCH(A6,[1]Праздники!A:A,0)))),SUM(F6*225)*1.5,SUM(F6*225))</f>
        <v>0</v>
      </c>
      <c r="M6" s="91">
        <f>SUM(G6*15)</f>
        <v>11793.45</v>
      </c>
      <c r="N6" s="91">
        <f>SUM(H6)*750</f>
        <v>0</v>
      </c>
      <c r="O6" s="91">
        <f>SUM(I6:N6)</f>
        <v>11793.45</v>
      </c>
      <c r="P6" s="2" t="str">
        <f>IF(OR(WEEKDAY(A6)=1,WEEKDAY(A6)=7,NOT(ISERROR(MATCH(A6,[1]Праздники!A:A,0)))),"Выходной","Рабочий")</f>
        <v>Выходной</v>
      </c>
    </row>
    <row r="7" spans="1:19">
      <c r="A7" s="233">
        <v>46024</v>
      </c>
      <c r="B7" s="234"/>
      <c r="C7" s="97">
        <v>0</v>
      </c>
      <c r="D7" s="98">
        <v>0</v>
      </c>
      <c r="E7" s="98"/>
      <c r="F7" s="99"/>
      <c r="G7" s="89">
        <f>IF(A7 ="",0,G6+C7+E7-D6-F6)</f>
        <v>786.23</v>
      </c>
      <c r="H7" s="90"/>
      <c r="I7" s="91">
        <f t="shared" ref="I7:I36" si="0">IF(P7="Выходной",SUM(C7*150)*1.5,SUM(C7*150))</f>
        <v>0</v>
      </c>
      <c r="J7" s="91">
        <f t="shared" ref="J7:J36" si="1">IF(P7="Выходной",SUM(D7*150)*1.5,SUM(D7*150))</f>
        <v>0</v>
      </c>
      <c r="K7" s="91">
        <f>IF(OR(WEEKDAY(A7)=1,WEEKDAY(A7)=7,NOT(ISERROR(MATCH(A7,[1]Праздники!A:A,0)))),SUM(E7*225)*1.5,SUM(E7*225))</f>
        <v>0</v>
      </c>
      <c r="L7" s="91">
        <f>IF(OR(WEEKDAY(A7)=1,WEEKDAY(A7)=7,NOT(ISERROR(MATCH(A7,[1]Праздники!A:A,0)))),SUM(F7*225)*1.5,SUM(F7*225))</f>
        <v>0</v>
      </c>
      <c r="M7" s="91">
        <f t="shared" ref="M7:M36" si="2">SUM(G7*15)</f>
        <v>11793.45</v>
      </c>
      <c r="N7" s="91">
        <f t="shared" ref="N7:N36" si="3">SUM(H7)*750</f>
        <v>0</v>
      </c>
      <c r="O7" s="91">
        <f t="shared" ref="O7:O35" si="4">SUM(I7:N7)</f>
        <v>11793.45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33">
        <v>46025</v>
      </c>
      <c r="B8" s="234"/>
      <c r="C8" s="97">
        <v>730.12</v>
      </c>
      <c r="D8" s="98">
        <v>0</v>
      </c>
      <c r="E8" s="98"/>
      <c r="F8" s="99"/>
      <c r="G8" s="89">
        <f t="shared" ref="G8:G36" si="5">IF(A8 ="",0,G7+C8+E8-D7-F7)</f>
        <v>1516.35</v>
      </c>
      <c r="H8" s="90"/>
      <c r="I8" s="91">
        <f t="shared" si="0"/>
        <v>164277</v>
      </c>
      <c r="J8" s="91">
        <f t="shared" si="1"/>
        <v>0</v>
      </c>
      <c r="K8" s="91">
        <f>IF(OR(WEEKDAY(A8)=1,WEEKDAY(A8)=7,NOT(ISERROR(MATCH(A8,[1]Праздники!A:A,0)))),SUM(E8*225)*1.5,SUM(E8*225))</f>
        <v>0</v>
      </c>
      <c r="L8" s="91">
        <f>IF(OR(WEEKDAY(A8)=1,WEEKDAY(A8)=7,NOT(ISERROR(MATCH(A8,[1]Праздники!A:A,0)))),SUM(F8*225)*1.5,SUM(F8*225))</f>
        <v>0</v>
      </c>
      <c r="M8" s="91">
        <f t="shared" si="2"/>
        <v>22745.25</v>
      </c>
      <c r="N8" s="91">
        <f t="shared" si="3"/>
        <v>0</v>
      </c>
      <c r="O8" s="91">
        <f t="shared" si="4"/>
        <v>187022.25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33">
        <v>46026</v>
      </c>
      <c r="B9" s="234"/>
      <c r="C9" s="97">
        <v>352.69</v>
      </c>
      <c r="D9" s="98">
        <v>0</v>
      </c>
      <c r="E9" s="98"/>
      <c r="F9" s="99"/>
      <c r="G9" s="89">
        <f t="shared" si="5"/>
        <v>1869.04</v>
      </c>
      <c r="H9" s="90"/>
      <c r="I9" s="91">
        <f t="shared" si="0"/>
        <v>79355.25</v>
      </c>
      <c r="J9" s="91">
        <f t="shared" si="1"/>
        <v>0</v>
      </c>
      <c r="K9" s="91">
        <f>IF(OR(WEEKDAY(A9)=1,WEEKDAY(A9)=7,NOT(ISERROR(MATCH(A9,[1]Праздники!A:A,0)))),SUM(E9*225)*1.5,SUM(E9*225))</f>
        <v>0</v>
      </c>
      <c r="L9" s="91">
        <f>IF(OR(WEEKDAY(A9)=1,WEEKDAY(A9)=7,NOT(ISERROR(MATCH(A9,[1]Праздники!A:A,0)))),SUM(F9*225)*1.5,SUM(F9*225))</f>
        <v>0</v>
      </c>
      <c r="M9" s="91">
        <f t="shared" si="2"/>
        <v>28035.599999999999</v>
      </c>
      <c r="N9" s="91">
        <f t="shared" si="3"/>
        <v>0</v>
      </c>
      <c r="O9" s="91">
        <f t="shared" si="4"/>
        <v>107390.85</v>
      </c>
      <c r="P9" s="2" t="str">
        <f>IF(OR(WEEKDAY(A9)=1,WEEKDAY(A9)=7,NOT(ISERROR(MATCH(A9,[1]Праздники!A:A,0)))),"Выходной","Рабочий")</f>
        <v>Выходной</v>
      </c>
    </row>
    <row r="10" spans="1:19">
      <c r="A10" s="233">
        <v>46027</v>
      </c>
      <c r="B10" s="234"/>
      <c r="C10" s="97">
        <v>507.15</v>
      </c>
      <c r="D10" s="98">
        <v>0</v>
      </c>
      <c r="E10" s="98"/>
      <c r="F10" s="99"/>
      <c r="G10" s="89">
        <f t="shared" si="5"/>
        <v>2376.19</v>
      </c>
      <c r="H10" s="90"/>
      <c r="I10" s="91">
        <f t="shared" si="0"/>
        <v>114108.75</v>
      </c>
      <c r="J10" s="91">
        <f t="shared" si="1"/>
        <v>0</v>
      </c>
      <c r="K10" s="91">
        <f>IF(OR(WEEKDAY(A10)=1,WEEKDAY(A10)=7,NOT(ISERROR(MATCH(A10,[1]Праздники!A:A,0)))),SUM(E10*225)*1.5,SUM(E10*225))</f>
        <v>0</v>
      </c>
      <c r="L10" s="91">
        <f>IF(OR(WEEKDAY(A10)=1,WEEKDAY(A10)=7,NOT(ISERROR(MATCH(A10,[1]Праздники!A:A,0)))),SUM(F10*225)*1.5,SUM(F10*225))</f>
        <v>0</v>
      </c>
      <c r="M10" s="91">
        <f t="shared" si="2"/>
        <v>35642.85</v>
      </c>
      <c r="N10" s="91">
        <f t="shared" si="3"/>
        <v>0</v>
      </c>
      <c r="O10" s="91">
        <f t="shared" si="4"/>
        <v>149751.6</v>
      </c>
      <c r="P10" s="2" t="str">
        <f>IF(OR(WEEKDAY(A10)=1,WEEKDAY(A10)=7,NOT(ISERROR(MATCH(A10,[1]Праздники!A:A,0)))),"Выходной","Рабочий")</f>
        <v>Выходной</v>
      </c>
    </row>
    <row r="11" spans="1:19">
      <c r="A11" s="233">
        <v>46028</v>
      </c>
      <c r="B11" s="234"/>
      <c r="C11" s="97">
        <v>859.38</v>
      </c>
      <c r="D11" s="98">
        <v>0</v>
      </c>
      <c r="E11" s="98"/>
      <c r="F11" s="99"/>
      <c r="G11" s="89">
        <f t="shared" si="5"/>
        <v>3235.57</v>
      </c>
      <c r="H11" s="90"/>
      <c r="I11" s="91">
        <f t="shared" si="0"/>
        <v>193360.5</v>
      </c>
      <c r="J11" s="91">
        <f t="shared" si="1"/>
        <v>0</v>
      </c>
      <c r="K11" s="91">
        <f>IF(OR(WEEKDAY(A11)=1,WEEKDAY(A11)=7,NOT(ISERROR(MATCH(A11,[1]Праздники!A:A,0)))),SUM(E11*225)*1.5,SUM(E11*225))</f>
        <v>0</v>
      </c>
      <c r="L11" s="91">
        <f>IF(OR(WEEKDAY(A11)=1,WEEKDAY(A11)=7,NOT(ISERROR(MATCH(A11,[1]Праздники!A:A,0)))),SUM(F11*225)*1.5,SUM(F11*225))</f>
        <v>0</v>
      </c>
      <c r="M11" s="91">
        <f t="shared" si="2"/>
        <v>48533.55</v>
      </c>
      <c r="N11" s="91">
        <f t="shared" si="3"/>
        <v>0</v>
      </c>
      <c r="O11" s="91">
        <f t="shared" si="4"/>
        <v>241894.05</v>
      </c>
      <c r="P11" s="2" t="str">
        <f>IF(OR(WEEKDAY(A11)=1,WEEKDAY(A11)=7,NOT(ISERROR(MATCH(A11,[1]Праздники!A:A,0)))),"Выходной","Рабочий")</f>
        <v>Выходной</v>
      </c>
    </row>
    <row r="12" spans="1:19">
      <c r="A12" s="233">
        <v>46029</v>
      </c>
      <c r="B12" s="234"/>
      <c r="C12" s="97">
        <v>749.61</v>
      </c>
      <c r="D12" s="98">
        <v>0</v>
      </c>
      <c r="E12" s="98"/>
      <c r="F12" s="99"/>
      <c r="G12" s="89">
        <f t="shared" si="5"/>
        <v>3985.1800000000003</v>
      </c>
      <c r="H12" s="90"/>
      <c r="I12" s="91">
        <f t="shared" si="0"/>
        <v>168662.25</v>
      </c>
      <c r="J12" s="91">
        <f t="shared" si="1"/>
        <v>0</v>
      </c>
      <c r="K12" s="91">
        <f>IF(OR(WEEKDAY(A12)=1,WEEKDAY(A12)=7,NOT(ISERROR(MATCH(A12,[1]Праздники!A:A,0)))),SUM(E12*225)*1.5,SUM(E12*225))</f>
        <v>0</v>
      </c>
      <c r="L12" s="91">
        <f>IF(OR(WEEKDAY(A12)=1,WEEKDAY(A12)=7,NOT(ISERROR(MATCH(A12,[1]Праздники!A:A,0)))),SUM(F12*225)*1.5,SUM(F12*225))</f>
        <v>0</v>
      </c>
      <c r="M12" s="91">
        <f t="shared" si="2"/>
        <v>59777.700000000004</v>
      </c>
      <c r="N12" s="91">
        <f t="shared" si="3"/>
        <v>0</v>
      </c>
      <c r="O12" s="91">
        <f t="shared" si="4"/>
        <v>228439.95</v>
      </c>
      <c r="P12" s="2" t="str">
        <f>IF(OR(WEEKDAY(A12)=1,WEEKDAY(A12)=7,NOT(ISERROR(MATCH(A12,[1]Праздники!A:A,0)))),"Выходной","Рабочий")</f>
        <v>Выходной</v>
      </c>
    </row>
    <row r="13" spans="1:19">
      <c r="A13" s="233">
        <v>46030</v>
      </c>
      <c r="B13" s="234"/>
      <c r="C13" s="97">
        <v>575.22</v>
      </c>
      <c r="D13" s="98">
        <v>0</v>
      </c>
      <c r="E13" s="98"/>
      <c r="F13" s="102"/>
      <c r="G13" s="89">
        <f t="shared" si="5"/>
        <v>4560.4000000000005</v>
      </c>
      <c r="H13" s="90"/>
      <c r="I13" s="91">
        <f t="shared" si="0"/>
        <v>129424.5</v>
      </c>
      <c r="J13" s="91">
        <f t="shared" si="1"/>
        <v>0</v>
      </c>
      <c r="K13" s="91">
        <f>IF(OR(WEEKDAY(A13)=1,WEEKDAY(A13)=7,NOT(ISERROR(MATCH(A13,[1]Праздники!A:A,0)))),SUM(E13*225)*1.5,SUM(E13*225))</f>
        <v>0</v>
      </c>
      <c r="L13" s="91">
        <f>IF(OR(WEEKDAY(A13)=1,WEEKDAY(A13)=7,NOT(ISERROR(MATCH(A13,[1]Праздники!A:A,0)))),SUM(F13*225)*1.5,SUM(F13*225))</f>
        <v>0</v>
      </c>
      <c r="M13" s="91">
        <f t="shared" si="2"/>
        <v>68406.000000000015</v>
      </c>
      <c r="N13" s="91">
        <f t="shared" si="3"/>
        <v>0</v>
      </c>
      <c r="O13" s="91">
        <f t="shared" si="4"/>
        <v>197830.5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33">
        <v>46031</v>
      </c>
      <c r="B14" s="234"/>
      <c r="C14" s="97">
        <v>413.65</v>
      </c>
      <c r="D14" s="98">
        <v>0</v>
      </c>
      <c r="E14" s="98"/>
      <c r="F14" s="102"/>
      <c r="G14" s="89">
        <f t="shared" si="5"/>
        <v>4974.05</v>
      </c>
      <c r="H14" s="90"/>
      <c r="I14" s="91">
        <f t="shared" si="0"/>
        <v>93071.25</v>
      </c>
      <c r="J14" s="91">
        <f t="shared" si="1"/>
        <v>0</v>
      </c>
      <c r="K14" s="91">
        <f>IF(OR(WEEKDAY(A14)=1,WEEKDAY(A14)=7,NOT(ISERROR(MATCH(A14,[1]Праздники!A:A,0)))),SUM(E14*225)*1.5,SUM(E14*225))</f>
        <v>0</v>
      </c>
      <c r="L14" s="91">
        <f>IF(OR(WEEKDAY(A14)=1,WEEKDAY(A14)=7,NOT(ISERROR(MATCH(A14,[1]Праздники!A:A,0)))),SUM(F14*225)*1.5,SUM(F14*225))</f>
        <v>0</v>
      </c>
      <c r="M14" s="91">
        <f t="shared" si="2"/>
        <v>74610.75</v>
      </c>
      <c r="N14" s="91">
        <f t="shared" si="3"/>
        <v>0</v>
      </c>
      <c r="O14" s="91">
        <f t="shared" si="4"/>
        <v>167682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33">
        <v>46032</v>
      </c>
      <c r="B15" s="234"/>
      <c r="C15" s="97">
        <v>264.69</v>
      </c>
      <c r="D15" s="98">
        <v>0</v>
      </c>
      <c r="E15" s="98"/>
      <c r="F15" s="99"/>
      <c r="G15" s="89">
        <f t="shared" si="5"/>
        <v>5238.74</v>
      </c>
      <c r="H15" s="90"/>
      <c r="I15" s="91">
        <f t="shared" si="0"/>
        <v>59555.25</v>
      </c>
      <c r="J15" s="91">
        <f t="shared" si="1"/>
        <v>0</v>
      </c>
      <c r="K15" s="91">
        <f>IF(OR(WEEKDAY(A15)=1,WEEKDAY(A15)=7,NOT(ISERROR(MATCH(A15,[1]Праздники!A:A,0)))),SUM(E15*225)*1.5,SUM(E15*225))</f>
        <v>0</v>
      </c>
      <c r="L15" s="91">
        <f>IF(OR(WEEKDAY(A15)=1,WEEKDAY(A15)=7,NOT(ISERROR(MATCH(A15,[1]Праздники!A:A,0)))),SUM(F15*225)*1.5,SUM(F15*225))</f>
        <v>0</v>
      </c>
      <c r="M15" s="91">
        <f t="shared" si="2"/>
        <v>78581.099999999991</v>
      </c>
      <c r="N15" s="91">
        <f t="shared" si="3"/>
        <v>0</v>
      </c>
      <c r="O15" s="91">
        <f t="shared" si="4"/>
        <v>138136.34999999998</v>
      </c>
      <c r="P15" s="2" t="str">
        <f>IF(OR(WEEKDAY(A15)=1,WEEKDAY(A15)=7,NOT(ISERROR(MATCH(A15,[1]Праздники!A:A,0)))),"Выходной","Рабочий")</f>
        <v>Выходной</v>
      </c>
    </row>
    <row r="16" spans="1:19">
      <c r="A16" s="233">
        <v>46033</v>
      </c>
      <c r="B16" s="234"/>
      <c r="C16" s="97">
        <v>200.42</v>
      </c>
      <c r="D16" s="98">
        <v>0</v>
      </c>
      <c r="E16" s="98"/>
      <c r="F16" s="99"/>
      <c r="G16" s="89">
        <f t="shared" si="5"/>
        <v>5439.16</v>
      </c>
      <c r="H16" s="90"/>
      <c r="I16" s="91">
        <f t="shared" si="0"/>
        <v>45094.499999999993</v>
      </c>
      <c r="J16" s="91">
        <f t="shared" si="1"/>
        <v>0</v>
      </c>
      <c r="K16" s="91">
        <f>IF(OR(WEEKDAY(A16)=1,WEEKDAY(A16)=7,NOT(ISERROR(MATCH(A16,[1]Праздники!A:A,0)))),SUM(E16*225)*1.5,SUM(E16*225))</f>
        <v>0</v>
      </c>
      <c r="L16" s="91">
        <f>IF(OR(WEEKDAY(A16)=1,WEEKDAY(A16)=7,NOT(ISERROR(MATCH(A16,[1]Праздники!A:A,0)))),SUM(F16*225)*1.5,SUM(F16*225))</f>
        <v>0</v>
      </c>
      <c r="M16" s="91">
        <f t="shared" si="2"/>
        <v>81587.399999999994</v>
      </c>
      <c r="N16" s="91">
        <f t="shared" si="3"/>
        <v>0</v>
      </c>
      <c r="O16" s="91">
        <f t="shared" si="4"/>
        <v>126681.9</v>
      </c>
      <c r="P16" s="2" t="str">
        <f>IF(OR(WEEKDAY(A16)=1,WEEKDAY(A16)=7,NOT(ISERROR(MATCH(A16,[1]Праздники!A:A,0)))),"Выходной","Рабочий")</f>
        <v>Выходной</v>
      </c>
    </row>
    <row r="17" spans="1:16">
      <c r="A17" s="233">
        <v>46034</v>
      </c>
      <c r="B17" s="234"/>
      <c r="C17" s="97">
        <v>990.51</v>
      </c>
      <c r="D17" s="98">
        <v>0</v>
      </c>
      <c r="E17" s="98"/>
      <c r="F17" s="99"/>
      <c r="G17" s="89">
        <f t="shared" si="5"/>
        <v>6429.67</v>
      </c>
      <c r="H17" s="90"/>
      <c r="I17" s="91">
        <f t="shared" si="0"/>
        <v>148576.5</v>
      </c>
      <c r="J17" s="91">
        <f t="shared" si="1"/>
        <v>0</v>
      </c>
      <c r="K17" s="91">
        <f>IF(OR(WEEKDAY(A17)=1,WEEKDAY(A17)=7,NOT(ISERROR(MATCH(A17,[1]Праздники!A:A,0)))),SUM(E17*225)*1.5,SUM(E17*225))</f>
        <v>0</v>
      </c>
      <c r="L17" s="91">
        <f>IF(OR(WEEKDAY(A17)=1,WEEKDAY(A17)=7,NOT(ISERROR(MATCH(A17,[1]Праздники!A:A,0)))),SUM(F17*225)*1.5,SUM(F17*225))</f>
        <v>0</v>
      </c>
      <c r="M17" s="91">
        <f t="shared" si="2"/>
        <v>96445.05</v>
      </c>
      <c r="N17" s="91">
        <f t="shared" si="3"/>
        <v>0</v>
      </c>
      <c r="O17" s="91">
        <f t="shared" si="4"/>
        <v>245021.55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33">
        <v>46035</v>
      </c>
      <c r="B18" s="234"/>
      <c r="C18" s="97">
        <v>110.69</v>
      </c>
      <c r="D18" s="98">
        <v>22</v>
      </c>
      <c r="E18" s="98"/>
      <c r="F18" s="99"/>
      <c r="G18" s="89">
        <f t="shared" si="5"/>
        <v>6540.36</v>
      </c>
      <c r="H18" s="90"/>
      <c r="I18" s="91">
        <f t="shared" si="0"/>
        <v>16603.5</v>
      </c>
      <c r="J18" s="91">
        <f t="shared" si="1"/>
        <v>3300</v>
      </c>
      <c r="K18" s="91">
        <f>IF(OR(WEEKDAY(A18)=1,WEEKDAY(A18)=7,NOT(ISERROR(MATCH(A18,[1]Праздники!A:A,0)))),SUM(E18*225)*1.5,SUM(E18*225))</f>
        <v>0</v>
      </c>
      <c r="L18" s="91">
        <f>IF(OR(WEEKDAY(A18)=1,WEEKDAY(A18)=7,NOT(ISERROR(MATCH(A18,[1]Праздники!A:A,0)))),SUM(F18*225)*1.5,SUM(F18*225))</f>
        <v>0</v>
      </c>
      <c r="M18" s="91">
        <f t="shared" si="2"/>
        <v>98105.4</v>
      </c>
      <c r="N18" s="91">
        <f t="shared" si="3"/>
        <v>0</v>
      </c>
      <c r="O18" s="91">
        <f t="shared" si="4"/>
        <v>118008.9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33">
        <v>46036</v>
      </c>
      <c r="B19" s="234"/>
      <c r="C19" s="97">
        <v>0</v>
      </c>
      <c r="D19" s="98">
        <v>49.96</v>
      </c>
      <c r="E19" s="98"/>
      <c r="F19" s="99"/>
      <c r="G19" s="89">
        <f t="shared" si="5"/>
        <v>6518.36</v>
      </c>
      <c r="H19" s="90"/>
      <c r="I19" s="91">
        <f t="shared" si="0"/>
        <v>0</v>
      </c>
      <c r="J19" s="91">
        <f t="shared" si="1"/>
        <v>7494</v>
      </c>
      <c r="K19" s="91">
        <f>IF(OR(WEEKDAY(A19)=1,WEEKDAY(A19)=7,NOT(ISERROR(MATCH(A19,[1]Праздники!A:A,0)))),SUM(E19*225)*1.5,SUM(E19*225))</f>
        <v>0</v>
      </c>
      <c r="L19" s="91">
        <f>IF(OR(WEEKDAY(A19)=1,WEEKDAY(A19)=7,NOT(ISERROR(MATCH(A19,[1]Праздники!A:A,0)))),SUM(F19*225)*1.5,SUM(F19*225))</f>
        <v>0</v>
      </c>
      <c r="M19" s="91">
        <f t="shared" si="2"/>
        <v>97775.4</v>
      </c>
      <c r="N19" s="91">
        <f t="shared" si="3"/>
        <v>0</v>
      </c>
      <c r="O19" s="91">
        <f t="shared" si="4"/>
        <v>105269.4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33">
        <v>46037</v>
      </c>
      <c r="B20" s="234"/>
      <c r="C20" s="97">
        <v>0</v>
      </c>
      <c r="D20" s="98">
        <v>44</v>
      </c>
      <c r="E20" s="98"/>
      <c r="F20" s="99"/>
      <c r="G20" s="89">
        <f t="shared" si="5"/>
        <v>6468.4</v>
      </c>
      <c r="H20" s="90"/>
      <c r="I20" s="91">
        <f t="shared" si="0"/>
        <v>0</v>
      </c>
      <c r="J20" s="91">
        <f t="shared" si="1"/>
        <v>6600</v>
      </c>
      <c r="K20" s="91">
        <f>IF(OR(WEEKDAY(A20)=1,WEEKDAY(A20)=7,NOT(ISERROR(MATCH(A20,[1]Праздники!A:A,0)))),SUM(E20*225)*1.5,SUM(E20*225))</f>
        <v>0</v>
      </c>
      <c r="L20" s="91">
        <f>IF(OR(WEEKDAY(A20)=1,WEEKDAY(A20)=7,NOT(ISERROR(MATCH(A20,[1]Праздники!A:A,0)))),SUM(F20*225)*1.5,SUM(F20*225))</f>
        <v>0</v>
      </c>
      <c r="M20" s="91">
        <f t="shared" si="2"/>
        <v>97026</v>
      </c>
      <c r="N20" s="91">
        <f t="shared" si="3"/>
        <v>0</v>
      </c>
      <c r="O20" s="91">
        <f t="shared" si="4"/>
        <v>103626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33">
        <v>46038</v>
      </c>
      <c r="B21" s="234"/>
      <c r="C21" s="97">
        <v>0</v>
      </c>
      <c r="D21" s="98">
        <v>110.69</v>
      </c>
      <c r="E21" s="98"/>
      <c r="F21" s="99"/>
      <c r="G21" s="89">
        <f t="shared" si="5"/>
        <v>6424.4</v>
      </c>
      <c r="H21" s="90"/>
      <c r="I21" s="91">
        <f t="shared" si="0"/>
        <v>0</v>
      </c>
      <c r="J21" s="91">
        <f t="shared" si="1"/>
        <v>16603.5</v>
      </c>
      <c r="K21" s="91">
        <f>IF(OR(WEEKDAY(A21)=1,WEEKDAY(A21)=7,NOT(ISERROR(MATCH(A21,[1]Праздники!A:A,0)))),SUM(E21*225)*1.5,SUM(E21*225))</f>
        <v>0</v>
      </c>
      <c r="L21" s="91">
        <f>IF(OR(WEEKDAY(A21)=1,WEEKDAY(A21)=7,NOT(ISERROR(MATCH(A21,[1]Праздники!A:A,0)))),SUM(F21*225)*1.5,SUM(F21*225))</f>
        <v>0</v>
      </c>
      <c r="M21" s="91">
        <f t="shared" si="2"/>
        <v>96366</v>
      </c>
      <c r="N21" s="91">
        <f t="shared" si="3"/>
        <v>0</v>
      </c>
      <c r="O21" s="91">
        <f t="shared" si="4"/>
        <v>112969.5</v>
      </c>
      <c r="P21" s="2" t="str">
        <f>IF(OR(WEEKDAY(A21)=1,WEEKDAY(A21)=7,NOT(ISERROR(MATCH(A21,[1]Праздники!A:A,0)))),"Выходной","Рабочий")</f>
        <v>Рабочий</v>
      </c>
    </row>
    <row r="22" spans="1:16">
      <c r="A22" s="233">
        <v>46039</v>
      </c>
      <c r="B22" s="234"/>
      <c r="C22" s="97">
        <v>0</v>
      </c>
      <c r="D22" s="98">
        <v>394.63</v>
      </c>
      <c r="E22" s="98"/>
      <c r="F22" s="99"/>
      <c r="G22" s="89">
        <f t="shared" si="5"/>
        <v>6313.71</v>
      </c>
      <c r="H22" s="90"/>
      <c r="I22" s="91">
        <f t="shared" si="0"/>
        <v>0</v>
      </c>
      <c r="J22" s="91">
        <f t="shared" si="1"/>
        <v>88791.75</v>
      </c>
      <c r="K22" s="91">
        <f>IF(OR(WEEKDAY(A22)=1,WEEKDAY(A22)=7,NOT(ISERROR(MATCH(A22,[1]Праздники!A:A,0)))),SUM(E22*225)*1.5,SUM(E22*225))</f>
        <v>0</v>
      </c>
      <c r="L22" s="91">
        <f>IF(OR(WEEKDAY(A22)=1,WEEKDAY(A22)=7,NOT(ISERROR(MATCH(A22,[1]Праздники!A:A,0)))),SUM(F22*225)*1.5,SUM(F22*225))</f>
        <v>0</v>
      </c>
      <c r="M22" s="91">
        <f t="shared" si="2"/>
        <v>94705.65</v>
      </c>
      <c r="N22" s="91">
        <f t="shared" si="3"/>
        <v>0</v>
      </c>
      <c r="O22" s="91">
        <f t="shared" si="4"/>
        <v>183497.4</v>
      </c>
      <c r="P22" s="2" t="str">
        <f>IF(OR(WEEKDAY(A22)=1,WEEKDAY(A22)=7,NOT(ISERROR(MATCH(A22,[1]Праздники!A:A,0)))),"Выходной","Рабочий")</f>
        <v>Выходной</v>
      </c>
    </row>
    <row r="23" spans="1:16">
      <c r="A23" s="233">
        <v>46040</v>
      </c>
      <c r="B23" s="234"/>
      <c r="C23" s="97">
        <v>0</v>
      </c>
      <c r="D23" s="98">
        <v>306.11</v>
      </c>
      <c r="E23" s="98"/>
      <c r="F23" s="99"/>
      <c r="G23" s="89">
        <f t="shared" si="5"/>
        <v>5919.08</v>
      </c>
      <c r="H23" s="90"/>
      <c r="I23" s="91">
        <f t="shared" si="0"/>
        <v>0</v>
      </c>
      <c r="J23" s="91">
        <f t="shared" si="1"/>
        <v>68874.75</v>
      </c>
      <c r="K23" s="91">
        <f>IF(OR(WEEKDAY(A23)=1,WEEKDAY(A23)=7,NOT(ISERROR(MATCH(A23,[1]Праздники!A:A,0)))),SUM(E23*225)*1.5,SUM(E23*225))</f>
        <v>0</v>
      </c>
      <c r="L23" s="91">
        <f>IF(OR(WEEKDAY(A23)=1,WEEKDAY(A23)=7,NOT(ISERROR(MATCH(A23,[1]Праздники!A:A,0)))),SUM(F23*225)*1.5,SUM(F23*225))</f>
        <v>0</v>
      </c>
      <c r="M23" s="91">
        <f t="shared" si="2"/>
        <v>88786.2</v>
      </c>
      <c r="N23" s="91">
        <f t="shared" si="3"/>
        <v>0</v>
      </c>
      <c r="O23" s="91">
        <f t="shared" si="4"/>
        <v>157660.95000000001</v>
      </c>
      <c r="P23" s="2" t="str">
        <f>IF(OR(WEEKDAY(A23)=1,WEEKDAY(A23)=7,NOT(ISERROR(MATCH(A23,[1]Праздники!A:A,0)))),"Выходной","Рабочий")</f>
        <v>Выходной</v>
      </c>
    </row>
    <row r="24" spans="1:16">
      <c r="A24" s="233">
        <v>46041</v>
      </c>
      <c r="B24" s="234"/>
      <c r="C24" s="97">
        <v>0</v>
      </c>
      <c r="D24" s="98">
        <v>265.61</v>
      </c>
      <c r="E24" s="98"/>
      <c r="F24" s="99"/>
      <c r="G24" s="89">
        <f t="shared" si="5"/>
        <v>5612.97</v>
      </c>
      <c r="H24" s="90"/>
      <c r="I24" s="91">
        <f t="shared" si="0"/>
        <v>0</v>
      </c>
      <c r="J24" s="91">
        <f t="shared" si="1"/>
        <v>39841.5</v>
      </c>
      <c r="K24" s="91">
        <f>IF(OR(WEEKDAY(A24)=1,WEEKDAY(A24)=7,NOT(ISERROR(MATCH(A24,[1]Праздники!A:A,0)))),SUM(E24*225)*1.5,SUM(E24*225))</f>
        <v>0</v>
      </c>
      <c r="L24" s="91">
        <f>IF(OR(WEEKDAY(A24)=1,WEEKDAY(A24)=7,NOT(ISERROR(MATCH(A24,[1]Праздники!A:A,0)))),SUM(F24*225)*1.5,SUM(F24*225))</f>
        <v>0</v>
      </c>
      <c r="M24" s="91">
        <f t="shared" si="2"/>
        <v>84194.55</v>
      </c>
      <c r="N24" s="91">
        <f t="shared" si="3"/>
        <v>0</v>
      </c>
      <c r="O24" s="91">
        <f t="shared" si="4"/>
        <v>124036.05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33">
        <v>46042</v>
      </c>
      <c r="B25" s="234"/>
      <c r="C25" s="97">
        <v>0</v>
      </c>
      <c r="D25" s="98">
        <v>154</v>
      </c>
      <c r="E25" s="98"/>
      <c r="F25" s="99"/>
      <c r="G25" s="89">
        <f t="shared" si="5"/>
        <v>5347.3600000000006</v>
      </c>
      <c r="H25" s="90"/>
      <c r="I25" s="91">
        <f t="shared" si="0"/>
        <v>0</v>
      </c>
      <c r="J25" s="91">
        <f t="shared" si="1"/>
        <v>23100</v>
      </c>
      <c r="K25" s="91">
        <f>IF(OR(WEEKDAY(A25)=1,WEEKDAY(A25)=7,NOT(ISERROR(MATCH(A25,[1]Праздники!A:A,0)))),SUM(E25*225)*1.5,SUM(E25*225))</f>
        <v>0</v>
      </c>
      <c r="L25" s="91">
        <f>IF(OR(WEEKDAY(A25)=1,WEEKDAY(A25)=7,NOT(ISERROR(MATCH(A25,[1]Праздники!A:A,0)))),SUM(F25*225)*1.5,SUM(F25*225))</f>
        <v>0</v>
      </c>
      <c r="M25" s="91">
        <f t="shared" si="2"/>
        <v>80210.400000000009</v>
      </c>
      <c r="N25" s="91">
        <f t="shared" si="3"/>
        <v>0</v>
      </c>
      <c r="O25" s="91">
        <f t="shared" si="4"/>
        <v>103310.40000000001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33">
        <v>46043</v>
      </c>
      <c r="B26" s="234"/>
      <c r="C26" s="97">
        <v>0</v>
      </c>
      <c r="D26" s="98">
        <v>110</v>
      </c>
      <c r="E26" s="103"/>
      <c r="F26" s="99"/>
      <c r="G26" s="89">
        <f t="shared" si="5"/>
        <v>5193.3600000000006</v>
      </c>
      <c r="H26" s="90"/>
      <c r="I26" s="91">
        <f t="shared" si="0"/>
        <v>0</v>
      </c>
      <c r="J26" s="91">
        <f t="shared" si="1"/>
        <v>16500</v>
      </c>
      <c r="K26" s="91">
        <f>IF(OR(WEEKDAY(A26)=1,WEEKDAY(A26)=7,NOT(ISERROR(MATCH(A26,[1]Праздники!A:A,0)))),SUM(E26*225)*1.5,SUM(E26*225))</f>
        <v>0</v>
      </c>
      <c r="L26" s="91">
        <f>IF(OR(WEEKDAY(A26)=1,WEEKDAY(A26)=7,NOT(ISERROR(MATCH(A26,[1]Праздники!A:A,0)))),SUM(F26*225)*1.5,SUM(F26*225))</f>
        <v>0</v>
      </c>
      <c r="M26" s="91">
        <f t="shared" si="2"/>
        <v>77900.400000000009</v>
      </c>
      <c r="N26" s="91">
        <f t="shared" si="3"/>
        <v>0</v>
      </c>
      <c r="O26" s="91">
        <f t="shared" si="4"/>
        <v>94400.400000000009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33">
        <v>46044</v>
      </c>
      <c r="B27" s="234"/>
      <c r="C27" s="97">
        <v>0</v>
      </c>
      <c r="D27" s="98">
        <v>125.58499999999999</v>
      </c>
      <c r="E27" s="98"/>
      <c r="F27" s="102"/>
      <c r="G27" s="89">
        <f t="shared" si="5"/>
        <v>5083.3600000000006</v>
      </c>
      <c r="H27" s="90"/>
      <c r="I27" s="91">
        <f t="shared" si="0"/>
        <v>0</v>
      </c>
      <c r="J27" s="91">
        <f t="shared" si="1"/>
        <v>18837.75</v>
      </c>
      <c r="K27" s="91">
        <f>IF(OR(WEEKDAY(A27)=1,WEEKDAY(A27)=7,NOT(ISERROR(MATCH(A27,[1]Праздники!A:A,0)))),SUM(E27*225)*1.5,SUM(E27*225))</f>
        <v>0</v>
      </c>
      <c r="L27" s="91">
        <f>IF(OR(WEEKDAY(A27)=1,WEEKDAY(A27)=7,NOT(ISERROR(MATCH(A27,[1]Праздники!A:A,0)))),SUM(F27*225)*1.5,SUM(F27*225))</f>
        <v>0</v>
      </c>
      <c r="M27" s="91">
        <f t="shared" si="2"/>
        <v>76250.400000000009</v>
      </c>
      <c r="N27" s="91">
        <f t="shared" si="3"/>
        <v>0</v>
      </c>
      <c r="O27" s="91">
        <f t="shared" si="4"/>
        <v>95088.150000000009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33">
        <v>46045</v>
      </c>
      <c r="B28" s="234"/>
      <c r="C28" s="97">
        <v>0</v>
      </c>
      <c r="D28" s="98">
        <v>44.23</v>
      </c>
      <c r="E28" s="98"/>
      <c r="F28" s="99"/>
      <c r="G28" s="89">
        <f t="shared" si="5"/>
        <v>4957.7750000000005</v>
      </c>
      <c r="H28" s="90"/>
      <c r="I28" s="91">
        <f t="shared" si="0"/>
        <v>0</v>
      </c>
      <c r="J28" s="91">
        <f t="shared" si="1"/>
        <v>6634.4999999999991</v>
      </c>
      <c r="K28" s="91">
        <f>IF(OR(WEEKDAY(A28)=1,WEEKDAY(A28)=7,NOT(ISERROR(MATCH(A28,[1]Праздники!A:A,0)))),SUM(E28*225)*1.5,SUM(E28*225))</f>
        <v>0</v>
      </c>
      <c r="L28" s="91">
        <f>IF(OR(WEEKDAY(A28)=1,WEEKDAY(A28)=7,NOT(ISERROR(MATCH(A28,[1]Праздники!A:A,0)))),SUM(F28*225)*1.5,SUM(F28*225))</f>
        <v>0</v>
      </c>
      <c r="M28" s="91">
        <f t="shared" si="2"/>
        <v>74366.625000000015</v>
      </c>
      <c r="N28" s="91">
        <f t="shared" si="3"/>
        <v>0</v>
      </c>
      <c r="O28" s="91">
        <f t="shared" si="4"/>
        <v>81001.125000000015</v>
      </c>
      <c r="P28" s="2" t="str">
        <f>IF(OR(WEEKDAY(A28)=1,WEEKDAY(A28)=7,NOT(ISERROR(MATCH(A28,[1]Праздники!A:A,0)))),"Выходной","Рабочий")</f>
        <v>Рабочий</v>
      </c>
    </row>
    <row r="29" spans="1:16">
      <c r="A29" s="233">
        <v>46046</v>
      </c>
      <c r="B29" s="234"/>
      <c r="C29" s="97">
        <v>0</v>
      </c>
      <c r="D29" s="98">
        <v>0</v>
      </c>
      <c r="E29" s="98"/>
      <c r="F29" s="99"/>
      <c r="G29" s="89">
        <f t="shared" si="5"/>
        <v>4913.545000000001</v>
      </c>
      <c r="H29" s="90"/>
      <c r="I29" s="91">
        <f t="shared" si="0"/>
        <v>0</v>
      </c>
      <c r="J29" s="91">
        <f t="shared" si="1"/>
        <v>0</v>
      </c>
      <c r="K29" s="91">
        <f>IF(OR(WEEKDAY(A29)=1,WEEKDAY(A29)=7,NOT(ISERROR(MATCH(A29,[1]Праздники!A:A,0)))),SUM(E29*225)*1.5,SUM(E29*225))</f>
        <v>0</v>
      </c>
      <c r="L29" s="91">
        <f>IF(OR(WEEKDAY(A29)=1,WEEKDAY(A29)=7,NOT(ISERROR(MATCH(A29,[1]Праздники!A:A,0)))),SUM(F29*225)*1.5,SUM(F29*225))</f>
        <v>0</v>
      </c>
      <c r="M29" s="91">
        <f t="shared" si="2"/>
        <v>73703.175000000017</v>
      </c>
      <c r="N29" s="91">
        <f t="shared" si="3"/>
        <v>0</v>
      </c>
      <c r="O29" s="91">
        <f t="shared" si="4"/>
        <v>73703.175000000017</v>
      </c>
      <c r="P29" s="2" t="str">
        <f>IF(OR(WEEKDAY(A29)=1,WEEKDAY(A29)=7,NOT(ISERROR(MATCH(A29,[1]Праздники!A:A,0)))),"Выходной","Рабочий")</f>
        <v>Выходной</v>
      </c>
    </row>
    <row r="30" spans="1:16">
      <c r="A30" s="233">
        <v>46047</v>
      </c>
      <c r="B30" s="234"/>
      <c r="C30" s="97">
        <v>0</v>
      </c>
      <c r="D30" s="98">
        <v>66.459999999999994</v>
      </c>
      <c r="E30" s="98"/>
      <c r="F30" s="99"/>
      <c r="G30" s="89">
        <f t="shared" si="5"/>
        <v>4913.545000000001</v>
      </c>
      <c r="H30" s="90"/>
      <c r="I30" s="91">
        <f t="shared" si="0"/>
        <v>0</v>
      </c>
      <c r="J30" s="91">
        <f t="shared" si="1"/>
        <v>14953.499999999996</v>
      </c>
      <c r="K30" s="91">
        <f>IF(OR(WEEKDAY(A30)=1,WEEKDAY(A30)=7,NOT(ISERROR(MATCH(A30,[1]Праздники!A:A,0)))),SUM(E30*225)*1.5,SUM(E30*225))</f>
        <v>0</v>
      </c>
      <c r="L30" s="91">
        <f>IF(OR(WEEKDAY(A30)=1,WEEKDAY(A30)=7,NOT(ISERROR(MATCH(A30,[1]Праздники!A:A,0)))),SUM(F30*225)*1.5,SUM(F30*225))</f>
        <v>0</v>
      </c>
      <c r="M30" s="91">
        <f t="shared" si="2"/>
        <v>73703.175000000017</v>
      </c>
      <c r="N30" s="91">
        <f t="shared" si="3"/>
        <v>0</v>
      </c>
      <c r="O30" s="91">
        <f t="shared" si="4"/>
        <v>88656.675000000017</v>
      </c>
      <c r="P30" s="2" t="str">
        <f>IF(OR(WEEKDAY(A30)=1,WEEKDAY(A30)=7,NOT(ISERROR(MATCH(A30,[1]Праздники!A:A,0)))),"Выходной","Рабочий")</f>
        <v>Выходной</v>
      </c>
    </row>
    <row r="31" spans="1:16">
      <c r="A31" s="233">
        <v>46048</v>
      </c>
      <c r="B31" s="234"/>
      <c r="C31" s="97">
        <v>0</v>
      </c>
      <c r="D31" s="98">
        <v>88.23</v>
      </c>
      <c r="E31" s="98"/>
      <c r="F31" s="99"/>
      <c r="G31" s="89">
        <f t="shared" si="5"/>
        <v>4847.0850000000009</v>
      </c>
      <c r="H31" s="90"/>
      <c r="I31" s="91">
        <f t="shared" si="0"/>
        <v>0</v>
      </c>
      <c r="J31" s="91">
        <f t="shared" si="1"/>
        <v>13234.5</v>
      </c>
      <c r="K31" s="91">
        <f>IF(OR(WEEKDAY(A31)=1,WEEKDAY(A31)=7,NOT(ISERROR(MATCH(A31,[1]Праздники!A:A,0)))),SUM(E31*225)*1.5,SUM(E31*225))</f>
        <v>0</v>
      </c>
      <c r="L31" s="91">
        <f>IF(OR(WEEKDAY(A31)=1,WEEKDAY(A31)=7,NOT(ISERROR(MATCH(A31,[1]Праздники!A:A,0)))),SUM(F31*225)*1.5,SUM(F31*225))</f>
        <v>0</v>
      </c>
      <c r="M31" s="91">
        <f t="shared" si="2"/>
        <v>72706.275000000009</v>
      </c>
      <c r="N31" s="91">
        <f t="shared" si="3"/>
        <v>0</v>
      </c>
      <c r="O31" s="91">
        <f t="shared" si="4"/>
        <v>85940.775000000009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33">
        <v>46049</v>
      </c>
      <c r="B32" s="234"/>
      <c r="C32" s="97">
        <v>0</v>
      </c>
      <c r="D32" s="98">
        <v>66</v>
      </c>
      <c r="E32" s="98"/>
      <c r="F32" s="99"/>
      <c r="G32" s="89">
        <f t="shared" si="5"/>
        <v>4758.8550000000014</v>
      </c>
      <c r="H32" s="90"/>
      <c r="I32" s="91">
        <f t="shared" si="0"/>
        <v>0</v>
      </c>
      <c r="J32" s="91">
        <f t="shared" si="1"/>
        <v>9900</v>
      </c>
      <c r="K32" s="91">
        <f>IF(OR(WEEKDAY(A32)=1,WEEKDAY(A32)=7,NOT(ISERROR(MATCH(A32,[1]Праздники!A:A,0)))),SUM(E32*225)*1.5,SUM(E32*225))</f>
        <v>0</v>
      </c>
      <c r="L32" s="91">
        <f>IF(OR(WEEKDAY(A32)=1,WEEKDAY(A32)=7,NOT(ISERROR(MATCH(A32,[1]Праздники!A:A,0)))),SUM(F32*225)*1.5,SUM(F32*225))</f>
        <v>0</v>
      </c>
      <c r="M32" s="91">
        <f t="shared" si="2"/>
        <v>71382.825000000026</v>
      </c>
      <c r="N32" s="91">
        <f t="shared" si="3"/>
        <v>0</v>
      </c>
      <c r="O32" s="91">
        <f t="shared" si="4"/>
        <v>81282.825000000026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33">
        <v>46050</v>
      </c>
      <c r="B33" s="234"/>
      <c r="C33" s="97">
        <v>0</v>
      </c>
      <c r="D33" s="98">
        <v>153.08500000000001</v>
      </c>
      <c r="E33" s="98"/>
      <c r="F33" s="99"/>
      <c r="G33" s="89">
        <f t="shared" si="5"/>
        <v>4692.8550000000014</v>
      </c>
      <c r="H33" s="90"/>
      <c r="I33" s="91">
        <f t="shared" si="0"/>
        <v>0</v>
      </c>
      <c r="J33" s="91">
        <f t="shared" si="1"/>
        <v>22962.75</v>
      </c>
      <c r="K33" s="91">
        <f>IF(OR(WEEKDAY(A33)=1,WEEKDAY(A33)=7,NOT(ISERROR(MATCH(A33,[1]Праздники!A:A,0)))),SUM(E33*225)*1.5,SUM(E33*225))</f>
        <v>0</v>
      </c>
      <c r="L33" s="91">
        <f>IF(OR(WEEKDAY(A33)=1,WEEKDAY(A33)=7,NOT(ISERROR(MATCH(A33,[1]Праздники!A:A,0)))),SUM(F33*225)*1.5,SUM(F33*225))</f>
        <v>0</v>
      </c>
      <c r="M33" s="91">
        <f t="shared" si="2"/>
        <v>70392.825000000026</v>
      </c>
      <c r="N33" s="91">
        <f t="shared" si="3"/>
        <v>0</v>
      </c>
      <c r="O33" s="91">
        <f t="shared" si="4"/>
        <v>93355.575000000026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33">
        <v>46051</v>
      </c>
      <c r="B34" s="234"/>
      <c r="C34" s="97">
        <v>0</v>
      </c>
      <c r="D34" s="98">
        <v>88.23</v>
      </c>
      <c r="E34" s="98"/>
      <c r="F34" s="99"/>
      <c r="G34" s="89">
        <f t="shared" si="5"/>
        <v>4539.7700000000013</v>
      </c>
      <c r="H34" s="90"/>
      <c r="I34" s="91">
        <f t="shared" si="0"/>
        <v>0</v>
      </c>
      <c r="J34" s="91">
        <f t="shared" si="1"/>
        <v>13234.5</v>
      </c>
      <c r="K34" s="91">
        <f>IF(OR(WEEKDAY(A34)=1,WEEKDAY(A34)=7,NOT(ISERROR(MATCH(A34,[1]Праздники!A:A,0)))),SUM(E34*225)*1.5,SUM(E34*225))</f>
        <v>0</v>
      </c>
      <c r="L34" s="91">
        <f>IF(OR(WEEKDAY(A34)=1,WEEKDAY(A34)=7,NOT(ISERROR(MATCH(A34,[1]Праздники!A:A,0)))),SUM(F34*225)*1.5,SUM(F34*225))</f>
        <v>0</v>
      </c>
      <c r="M34" s="91">
        <f t="shared" si="2"/>
        <v>68096.550000000017</v>
      </c>
      <c r="N34" s="91">
        <f t="shared" si="3"/>
        <v>0</v>
      </c>
      <c r="O34" s="91">
        <f t="shared" si="4"/>
        <v>81331.050000000017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33">
        <v>46052</v>
      </c>
      <c r="B35" s="234"/>
      <c r="C35" s="97">
        <v>177.84</v>
      </c>
      <c r="D35" s="98">
        <v>66.459999999999994</v>
      </c>
      <c r="E35" s="89"/>
      <c r="F35" s="99"/>
      <c r="G35" s="89">
        <f t="shared" si="5"/>
        <v>4629.3800000000019</v>
      </c>
      <c r="H35" s="90"/>
      <c r="I35" s="91">
        <f t="shared" si="0"/>
        <v>26676</v>
      </c>
      <c r="J35" s="91">
        <f t="shared" si="1"/>
        <v>9968.9999999999982</v>
      </c>
      <c r="K35" s="91">
        <f>IF(OR(WEEKDAY(A35)=1,WEEKDAY(A35)=7,NOT(ISERROR(MATCH(A35,[1]Праздники!A:A,0)))),SUM(E35*225)*1.5,SUM(E35*225))</f>
        <v>0</v>
      </c>
      <c r="L35" s="91">
        <f>IF(OR(WEEKDAY(A35)=1,WEEKDAY(A35)=7,NOT(ISERROR(MATCH(A35,[1]Праздники!A:A,0)))),SUM(F35*225)*1.5,SUM(F35*225))</f>
        <v>0</v>
      </c>
      <c r="M35" s="91">
        <f t="shared" si="2"/>
        <v>69440.700000000026</v>
      </c>
      <c r="N35" s="91">
        <f t="shared" si="3"/>
        <v>0</v>
      </c>
      <c r="O35" s="91">
        <f t="shared" si="4"/>
        <v>106085.70000000003</v>
      </c>
      <c r="P35" s="2" t="str">
        <f>IF(OR(WEEKDAY(A35)=1,WEEKDAY(A35)=7,NOT(ISERROR(MATCH(A35,[1]Праздники!A:A,0)))),"Выходной","Рабочий")</f>
        <v>Рабочий</v>
      </c>
    </row>
    <row r="36" spans="1:17" ht="15.75" thickBot="1">
      <c r="A36" s="233">
        <v>46053</v>
      </c>
      <c r="B36" s="234"/>
      <c r="C36" s="97">
        <v>266.76</v>
      </c>
      <c r="D36" s="98">
        <v>253.465</v>
      </c>
      <c r="E36" s="89"/>
      <c r="F36" s="99"/>
      <c r="G36" s="89">
        <f t="shared" si="5"/>
        <v>4829.6800000000021</v>
      </c>
      <c r="H36" s="90"/>
      <c r="I36" s="91">
        <f t="shared" si="0"/>
        <v>60021</v>
      </c>
      <c r="J36" s="91">
        <f t="shared" si="1"/>
        <v>57029.625</v>
      </c>
      <c r="K36" s="91">
        <f>IF(OR(WEEKDAY(A36)=1,WEEKDAY(A36)=7,NOT(ISERROR(MATCH(A36,[1]Праздники!A:A,0)))),SUM(E36*225)*1.5,SUM(E36*225))</f>
        <v>0</v>
      </c>
      <c r="L36" s="91">
        <f>IF(OR(WEEKDAY(A36)=1,WEEKDAY(A36)=7,NOT(ISERROR(MATCH(A36,[1]Праздники!A:A,0)))),SUM(F36*225)*1.5,SUM(F36*225))</f>
        <v>0</v>
      </c>
      <c r="M36" s="91">
        <f t="shared" si="2"/>
        <v>72445.200000000026</v>
      </c>
      <c r="N36" s="91">
        <f t="shared" si="3"/>
        <v>0</v>
      </c>
      <c r="O36" s="91">
        <f t="shared" ref="O36" si="6">SUM(I36:N36)</f>
        <v>189495.82500000001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2">
        <f>SUM(C6:C36)</f>
        <v>6198.73</v>
      </c>
      <c r="D37" s="92">
        <f t="shared" ref="D37:O37" si="7">SUM(D6:D36)</f>
        <v>2408.7450000000003</v>
      </c>
      <c r="E37" s="92">
        <f t="shared" si="7"/>
        <v>0</v>
      </c>
      <c r="F37" s="92">
        <f t="shared" si="7"/>
        <v>0</v>
      </c>
      <c r="G37" s="92">
        <f t="shared" si="7"/>
        <v>143700.66</v>
      </c>
      <c r="H37" s="104">
        <f t="shared" si="7"/>
        <v>0</v>
      </c>
      <c r="I37" s="93">
        <f t="shared" si="7"/>
        <v>1298786.25</v>
      </c>
      <c r="J37" s="93">
        <f t="shared" si="7"/>
        <v>437861.625</v>
      </c>
      <c r="K37" s="93">
        <f t="shared" si="7"/>
        <v>0</v>
      </c>
      <c r="L37" s="93">
        <f t="shared" si="7"/>
        <v>0</v>
      </c>
      <c r="M37" s="93">
        <f t="shared" si="7"/>
        <v>2155509.9</v>
      </c>
      <c r="N37" s="93">
        <f t="shared" si="7"/>
        <v>0</v>
      </c>
      <c r="O37" s="94">
        <f t="shared" si="7"/>
        <v>3892157.774999999</v>
      </c>
    </row>
    <row r="38" spans="1:17" ht="15.75" thickBot="1">
      <c r="G38" s="88"/>
      <c r="L38" s="16"/>
      <c r="M38" s="88"/>
      <c r="N38" s="104" t="s">
        <v>116</v>
      </c>
      <c r="O38" s="95">
        <f>O37*1.22</f>
        <v>4748432.4854999986</v>
      </c>
      <c r="Q38" s="96"/>
    </row>
    <row r="39" spans="1:17">
      <c r="G39" s="108"/>
      <c r="M39" s="88"/>
    </row>
    <row r="40" spans="1:17">
      <c r="G40" s="88"/>
      <c r="M40" s="88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:B5"/>
    <mergeCell ref="C4:C5"/>
    <mergeCell ref="D4:D5"/>
    <mergeCell ref="A11:B11"/>
    <mergeCell ref="A12:B12"/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33E0-80B0-47DC-8655-11CC6C1C4F91}">
  <sheetPr codeName="Лист9"/>
  <dimension ref="A1:S40"/>
  <sheetViews>
    <sheetView topLeftCell="A19" workbookViewId="0">
      <selection activeCell="G17" sqref="G17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11.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8"/>
      <c r="Q1" s="78"/>
      <c r="R1" s="78" t="s">
        <v>106</v>
      </c>
      <c r="S1" s="78" t="s">
        <v>107</v>
      </c>
    </row>
    <row r="2" spans="1:19">
      <c r="M2" s="88"/>
      <c r="Q2" s="78" t="s">
        <v>108</v>
      </c>
      <c r="R2" s="78">
        <f>SUMIF($P$6:$P$36,R$1,$C6:$C36)</f>
        <v>110.23</v>
      </c>
      <c r="S2" s="78">
        <f>SUMIF($P$6:$P$36,S$1,$C6:$C36)</f>
        <v>1212.07</v>
      </c>
    </row>
    <row r="3" spans="1:19" ht="21">
      <c r="A3" s="76" t="str">
        <f>"Отчет по хранению  товара  РВ " &amp; TEXT(A6,"ММММ ") &amp; YEAR(A6) &amp; " Новикова"</f>
        <v>Отчет по хранению  товара  РВ Январь 2026 Новикова</v>
      </c>
      <c r="G3" s="88"/>
      <c r="M3" s="88"/>
      <c r="Q3" s="78" t="s">
        <v>96</v>
      </c>
      <c r="R3" s="78">
        <f>SUMIF($P$6:$P$36,R$1,$D6:$D36)</f>
        <v>82.474999999999994</v>
      </c>
      <c r="S3" s="78">
        <f>SUMIF($P$6:$P$36,S$1,$D6:$D36)</f>
        <v>88</v>
      </c>
    </row>
    <row r="4" spans="1:19">
      <c r="A4" s="211" t="s">
        <v>1</v>
      </c>
      <c r="B4" s="212"/>
      <c r="C4" s="209" t="s">
        <v>109</v>
      </c>
      <c r="D4" s="209" t="s">
        <v>110</v>
      </c>
      <c r="E4" s="209" t="s">
        <v>111</v>
      </c>
      <c r="F4" s="209" t="s">
        <v>112</v>
      </c>
      <c r="G4" s="100" t="s">
        <v>4</v>
      </c>
      <c r="H4" s="209" t="s">
        <v>7</v>
      </c>
      <c r="I4" s="209" t="s">
        <v>11</v>
      </c>
      <c r="J4" s="209" t="s">
        <v>12</v>
      </c>
      <c r="K4" s="209" t="s">
        <v>113</v>
      </c>
      <c r="L4" s="209" t="s">
        <v>114</v>
      </c>
      <c r="M4" s="235" t="s">
        <v>13</v>
      </c>
      <c r="N4" s="209" t="s">
        <v>16</v>
      </c>
      <c r="O4" s="209" t="s">
        <v>18</v>
      </c>
    </row>
    <row r="5" spans="1:19" ht="30">
      <c r="A5" s="213"/>
      <c r="B5" s="214"/>
      <c r="C5" s="210"/>
      <c r="D5" s="210"/>
      <c r="E5" s="210"/>
      <c r="F5" s="210"/>
      <c r="G5" s="101" t="s">
        <v>115</v>
      </c>
      <c r="H5" s="210"/>
      <c r="I5" s="210"/>
      <c r="J5" s="210"/>
      <c r="K5" s="210"/>
      <c r="L5" s="210"/>
      <c r="M5" s="236"/>
      <c r="N5" s="210"/>
      <c r="O5" s="210"/>
    </row>
    <row r="6" spans="1:19">
      <c r="A6" s="233">
        <v>46023</v>
      </c>
      <c r="B6" s="234"/>
      <c r="C6" s="97">
        <v>0</v>
      </c>
      <c r="D6" s="98">
        <v>0</v>
      </c>
      <c r="E6" s="98"/>
      <c r="F6" s="99"/>
      <c r="G6" s="89">
        <v>190.67</v>
      </c>
      <c r="H6" s="90"/>
      <c r="I6" s="91">
        <f>IF(P6="Выходной",SUM(C6*150)*1.5,SUM(C6*150))</f>
        <v>0</v>
      </c>
      <c r="J6" s="91">
        <f>IF(P6="Выходной",SUM(D6*150)*1.5,SUM(D6*150))</f>
        <v>0</v>
      </c>
      <c r="K6" s="91">
        <f>IF(OR(WEEKDAY(A6)=1,WEEKDAY(A6)=7,NOT(ISERROR(MATCH(A6,[1]Праздники!A:A,0)))),SUM(E6*225)*1.5,SUM(E6*225))</f>
        <v>0</v>
      </c>
      <c r="L6" s="91">
        <f>IF(OR(WEEKDAY(A6)=1,WEEKDAY(A6)=7,NOT(ISERROR(MATCH(A6,[1]Праздники!A:A,0)))),SUM(F6*225)*1.5,SUM(F6*225))</f>
        <v>0</v>
      </c>
      <c r="M6" s="91">
        <f>SUM(G6*15)</f>
        <v>2860.0499999999997</v>
      </c>
      <c r="N6" s="91">
        <f>SUM(H6)*750</f>
        <v>0</v>
      </c>
      <c r="O6" s="91">
        <f>SUM(I6:N6)</f>
        <v>2860.0499999999997</v>
      </c>
      <c r="P6" s="2" t="str">
        <f>IF(OR(WEEKDAY(A6)=1,WEEKDAY(A6)=7,NOT(ISERROR(MATCH(A6,[1]Праздники!A:A,0)))),"Выходной","Рабочий")</f>
        <v>Выходной</v>
      </c>
    </row>
    <row r="7" spans="1:19">
      <c r="A7" s="233">
        <v>46024</v>
      </c>
      <c r="B7" s="234"/>
      <c r="C7" s="97">
        <v>0</v>
      </c>
      <c r="D7" s="98">
        <v>0</v>
      </c>
      <c r="E7" s="98"/>
      <c r="F7" s="99"/>
      <c r="G7" s="89">
        <f>IF(A7 ="",0,G6+C7+E7-D6-F6)</f>
        <v>190.67</v>
      </c>
      <c r="H7" s="90"/>
      <c r="I7" s="91">
        <f t="shared" ref="I7:I36" si="0">IF(P7="Выходной",SUM(C7*150)*1.5,SUM(C7*150))</f>
        <v>0</v>
      </c>
      <c r="J7" s="91">
        <f t="shared" ref="J7:J36" si="1">IF(P7="Выходной",SUM(D7*150)*1.5,SUM(D7*150))</f>
        <v>0</v>
      </c>
      <c r="K7" s="91">
        <f>IF(OR(WEEKDAY(A7)=1,WEEKDAY(A7)=7,NOT(ISERROR(MATCH(A7,[1]Праздники!A:A,0)))),SUM(E7*225)*1.5,SUM(E7*225))</f>
        <v>0</v>
      </c>
      <c r="L7" s="91">
        <f>IF(OR(WEEKDAY(A7)=1,WEEKDAY(A7)=7,NOT(ISERROR(MATCH(A7,[1]Праздники!A:A,0)))),SUM(F7*225)*1.5,SUM(F7*225))</f>
        <v>0</v>
      </c>
      <c r="M7" s="91">
        <f t="shared" ref="M7:M36" si="2">SUM(G7*15)</f>
        <v>2860.0499999999997</v>
      </c>
      <c r="N7" s="91">
        <f t="shared" ref="N7:N36" si="3">SUM(H7)*750</f>
        <v>0</v>
      </c>
      <c r="O7" s="91">
        <f t="shared" ref="O7:O35" si="4">SUM(I7:N7)</f>
        <v>2860.0499999999997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33">
        <v>46025</v>
      </c>
      <c r="B8" s="234"/>
      <c r="C8" s="97">
        <v>0</v>
      </c>
      <c r="D8" s="98">
        <v>0</v>
      </c>
      <c r="E8" s="98"/>
      <c r="F8" s="99"/>
      <c r="G8" s="89">
        <f t="shared" ref="G8:G36" si="5">IF(A8 ="",0,G7+C8+E8-D7-F7)</f>
        <v>190.67</v>
      </c>
      <c r="H8" s="90"/>
      <c r="I8" s="91">
        <f t="shared" si="0"/>
        <v>0</v>
      </c>
      <c r="J8" s="91">
        <f t="shared" si="1"/>
        <v>0</v>
      </c>
      <c r="K8" s="91">
        <f>IF(OR(WEEKDAY(A8)=1,WEEKDAY(A8)=7,NOT(ISERROR(MATCH(A8,[1]Праздники!A:A,0)))),SUM(E8*225)*1.5,SUM(E8*225))</f>
        <v>0</v>
      </c>
      <c r="L8" s="91">
        <f>IF(OR(WEEKDAY(A8)=1,WEEKDAY(A8)=7,NOT(ISERROR(MATCH(A8,[1]Праздники!A:A,0)))),SUM(F8*225)*1.5,SUM(F8*225))</f>
        <v>0</v>
      </c>
      <c r="M8" s="91">
        <f t="shared" si="2"/>
        <v>2860.0499999999997</v>
      </c>
      <c r="N8" s="91">
        <f t="shared" si="3"/>
        <v>0</v>
      </c>
      <c r="O8" s="91">
        <f t="shared" si="4"/>
        <v>2860.0499999999997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33">
        <v>46026</v>
      </c>
      <c r="B9" s="234"/>
      <c r="C9" s="97">
        <v>0</v>
      </c>
      <c r="D9" s="98">
        <v>0</v>
      </c>
      <c r="E9" s="98"/>
      <c r="F9" s="99"/>
      <c r="G9" s="89">
        <f t="shared" si="5"/>
        <v>190.67</v>
      </c>
      <c r="H9" s="90"/>
      <c r="I9" s="91">
        <f t="shared" si="0"/>
        <v>0</v>
      </c>
      <c r="J9" s="91">
        <f t="shared" si="1"/>
        <v>0</v>
      </c>
      <c r="K9" s="91">
        <f>IF(OR(WEEKDAY(A9)=1,WEEKDAY(A9)=7,NOT(ISERROR(MATCH(A9,[1]Праздники!A:A,0)))),SUM(E9*225)*1.5,SUM(E9*225))</f>
        <v>0</v>
      </c>
      <c r="L9" s="91">
        <f>IF(OR(WEEKDAY(A9)=1,WEEKDAY(A9)=7,NOT(ISERROR(MATCH(A9,[1]Праздники!A:A,0)))),SUM(F9*225)*1.5,SUM(F9*225))</f>
        <v>0</v>
      </c>
      <c r="M9" s="91">
        <f t="shared" si="2"/>
        <v>2860.0499999999997</v>
      </c>
      <c r="N9" s="91">
        <f t="shared" si="3"/>
        <v>0</v>
      </c>
      <c r="O9" s="91">
        <f t="shared" si="4"/>
        <v>2860.0499999999997</v>
      </c>
      <c r="P9" s="2" t="str">
        <f>IF(OR(WEEKDAY(A9)=1,WEEKDAY(A9)=7,NOT(ISERROR(MATCH(A9,[1]Праздники!A:A,0)))),"Выходной","Рабочий")</f>
        <v>Выходной</v>
      </c>
    </row>
    <row r="10" spans="1:19">
      <c r="A10" s="233">
        <v>46027</v>
      </c>
      <c r="B10" s="234"/>
      <c r="C10" s="97">
        <v>0</v>
      </c>
      <c r="D10" s="98">
        <v>0</v>
      </c>
      <c r="E10" s="98"/>
      <c r="F10" s="99"/>
      <c r="G10" s="89">
        <f t="shared" si="5"/>
        <v>190.67</v>
      </c>
      <c r="H10" s="90"/>
      <c r="I10" s="91">
        <f t="shared" si="0"/>
        <v>0</v>
      </c>
      <c r="J10" s="91">
        <f t="shared" si="1"/>
        <v>0</v>
      </c>
      <c r="K10" s="91">
        <f>IF(OR(WEEKDAY(A10)=1,WEEKDAY(A10)=7,NOT(ISERROR(MATCH(A10,[1]Праздники!A:A,0)))),SUM(E10*225)*1.5,SUM(E10*225))</f>
        <v>0</v>
      </c>
      <c r="L10" s="91">
        <f>IF(OR(WEEKDAY(A10)=1,WEEKDAY(A10)=7,NOT(ISERROR(MATCH(A10,[1]Праздники!A:A,0)))),SUM(F10*225)*1.5,SUM(F10*225))</f>
        <v>0</v>
      </c>
      <c r="M10" s="91">
        <f t="shared" si="2"/>
        <v>2860.0499999999997</v>
      </c>
      <c r="N10" s="91">
        <f t="shared" si="3"/>
        <v>0</v>
      </c>
      <c r="O10" s="91">
        <f t="shared" si="4"/>
        <v>2860.0499999999997</v>
      </c>
      <c r="P10" s="2" t="str">
        <f>IF(OR(WEEKDAY(A10)=1,WEEKDAY(A10)=7,NOT(ISERROR(MATCH(A10,[1]Праздники!A:A,0)))),"Выходной","Рабочий")</f>
        <v>Выходной</v>
      </c>
    </row>
    <row r="11" spans="1:19">
      <c r="A11" s="233">
        <v>46028</v>
      </c>
      <c r="B11" s="234"/>
      <c r="C11" s="97">
        <v>0</v>
      </c>
      <c r="D11" s="98">
        <v>0</v>
      </c>
      <c r="E11" s="98"/>
      <c r="F11" s="99"/>
      <c r="G11" s="89">
        <f t="shared" si="5"/>
        <v>190.67</v>
      </c>
      <c r="H11" s="90"/>
      <c r="I11" s="91">
        <f t="shared" si="0"/>
        <v>0</v>
      </c>
      <c r="J11" s="91">
        <f t="shared" si="1"/>
        <v>0</v>
      </c>
      <c r="K11" s="91">
        <f>IF(OR(WEEKDAY(A11)=1,WEEKDAY(A11)=7,NOT(ISERROR(MATCH(A11,[1]Праздники!A:A,0)))),SUM(E11*225)*1.5,SUM(E11*225))</f>
        <v>0</v>
      </c>
      <c r="L11" s="91">
        <f>IF(OR(WEEKDAY(A11)=1,WEEKDAY(A11)=7,NOT(ISERROR(MATCH(A11,[1]Праздники!A:A,0)))),SUM(F11*225)*1.5,SUM(F11*225))</f>
        <v>0</v>
      </c>
      <c r="M11" s="91">
        <f t="shared" si="2"/>
        <v>2860.0499999999997</v>
      </c>
      <c r="N11" s="91">
        <f t="shared" si="3"/>
        <v>0</v>
      </c>
      <c r="O11" s="91">
        <f t="shared" si="4"/>
        <v>2860.0499999999997</v>
      </c>
      <c r="P11" s="2" t="str">
        <f>IF(OR(WEEKDAY(A11)=1,WEEKDAY(A11)=7,NOT(ISERROR(MATCH(A11,[1]Праздники!A:A,0)))),"Выходной","Рабочий")</f>
        <v>Выходной</v>
      </c>
    </row>
    <row r="12" spans="1:19">
      <c r="A12" s="233">
        <v>46029</v>
      </c>
      <c r="B12" s="234"/>
      <c r="C12" s="97">
        <v>0</v>
      </c>
      <c r="D12" s="98">
        <v>0</v>
      </c>
      <c r="E12" s="98"/>
      <c r="F12" s="99"/>
      <c r="G12" s="89">
        <f t="shared" si="5"/>
        <v>190.67</v>
      </c>
      <c r="H12" s="90"/>
      <c r="I12" s="91">
        <f t="shared" si="0"/>
        <v>0</v>
      </c>
      <c r="J12" s="91">
        <f t="shared" si="1"/>
        <v>0</v>
      </c>
      <c r="K12" s="91">
        <f>IF(OR(WEEKDAY(A12)=1,WEEKDAY(A12)=7,NOT(ISERROR(MATCH(A12,[1]Праздники!A:A,0)))),SUM(E12*225)*1.5,SUM(E12*225))</f>
        <v>0</v>
      </c>
      <c r="L12" s="91">
        <f>IF(OR(WEEKDAY(A12)=1,WEEKDAY(A12)=7,NOT(ISERROR(MATCH(A12,[1]Праздники!A:A,0)))),SUM(F12*225)*1.5,SUM(F12*225))</f>
        <v>0</v>
      </c>
      <c r="M12" s="91">
        <f t="shared" si="2"/>
        <v>2860.0499999999997</v>
      </c>
      <c r="N12" s="91">
        <f t="shared" si="3"/>
        <v>0</v>
      </c>
      <c r="O12" s="91">
        <f t="shared" si="4"/>
        <v>2860.0499999999997</v>
      </c>
      <c r="P12" s="2" t="str">
        <f>IF(OR(WEEKDAY(A12)=1,WEEKDAY(A12)=7,NOT(ISERROR(MATCH(A12,[1]Праздники!A:A,0)))),"Выходной","Рабочий")</f>
        <v>Выходной</v>
      </c>
    </row>
    <row r="13" spans="1:19">
      <c r="A13" s="233">
        <v>46030</v>
      </c>
      <c r="B13" s="234"/>
      <c r="C13" s="97">
        <v>0</v>
      </c>
      <c r="D13" s="98">
        <v>0</v>
      </c>
      <c r="E13" s="98"/>
      <c r="F13" s="102"/>
      <c r="G13" s="89">
        <f t="shared" si="5"/>
        <v>190.67</v>
      </c>
      <c r="H13" s="90"/>
      <c r="I13" s="91">
        <f t="shared" si="0"/>
        <v>0</v>
      </c>
      <c r="J13" s="91">
        <f t="shared" si="1"/>
        <v>0</v>
      </c>
      <c r="K13" s="91">
        <f>IF(OR(WEEKDAY(A13)=1,WEEKDAY(A13)=7,NOT(ISERROR(MATCH(A13,[1]Праздники!A:A,0)))),SUM(E13*225)*1.5,SUM(E13*225))</f>
        <v>0</v>
      </c>
      <c r="L13" s="91">
        <f>IF(OR(WEEKDAY(A13)=1,WEEKDAY(A13)=7,NOT(ISERROR(MATCH(A13,[1]Праздники!A:A,0)))),SUM(F13*225)*1.5,SUM(F13*225))</f>
        <v>0</v>
      </c>
      <c r="M13" s="91">
        <f t="shared" si="2"/>
        <v>2860.0499999999997</v>
      </c>
      <c r="N13" s="91">
        <f t="shared" si="3"/>
        <v>0</v>
      </c>
      <c r="O13" s="91">
        <f t="shared" si="4"/>
        <v>2860.0499999999997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33">
        <v>46031</v>
      </c>
      <c r="B14" s="234"/>
      <c r="C14" s="97">
        <v>0</v>
      </c>
      <c r="D14" s="98">
        <v>0</v>
      </c>
      <c r="E14" s="98"/>
      <c r="F14" s="102"/>
      <c r="G14" s="89">
        <f t="shared" si="5"/>
        <v>190.67</v>
      </c>
      <c r="H14" s="90"/>
      <c r="I14" s="91">
        <f t="shared" si="0"/>
        <v>0</v>
      </c>
      <c r="J14" s="91">
        <f t="shared" si="1"/>
        <v>0</v>
      </c>
      <c r="K14" s="91">
        <f>IF(OR(WEEKDAY(A14)=1,WEEKDAY(A14)=7,NOT(ISERROR(MATCH(A14,[1]Праздники!A:A,0)))),SUM(E14*225)*1.5,SUM(E14*225))</f>
        <v>0</v>
      </c>
      <c r="L14" s="91">
        <f>IF(OR(WEEKDAY(A14)=1,WEEKDAY(A14)=7,NOT(ISERROR(MATCH(A14,[1]Праздники!A:A,0)))),SUM(F14*225)*1.5,SUM(F14*225))</f>
        <v>0</v>
      </c>
      <c r="M14" s="91">
        <f t="shared" si="2"/>
        <v>2860.0499999999997</v>
      </c>
      <c r="N14" s="91">
        <f t="shared" si="3"/>
        <v>0</v>
      </c>
      <c r="O14" s="91">
        <f t="shared" si="4"/>
        <v>2860.0499999999997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33">
        <v>46032</v>
      </c>
      <c r="B15" s="234"/>
      <c r="C15" s="97">
        <v>0</v>
      </c>
      <c r="D15" s="98">
        <v>0</v>
      </c>
      <c r="E15" s="98"/>
      <c r="F15" s="99"/>
      <c r="G15" s="89">
        <f t="shared" si="5"/>
        <v>190.67</v>
      </c>
      <c r="H15" s="90"/>
      <c r="I15" s="91">
        <f t="shared" si="0"/>
        <v>0</v>
      </c>
      <c r="J15" s="91">
        <f t="shared" si="1"/>
        <v>0</v>
      </c>
      <c r="K15" s="91">
        <f>IF(OR(WEEKDAY(A15)=1,WEEKDAY(A15)=7,NOT(ISERROR(MATCH(A15,[1]Праздники!A:A,0)))),SUM(E15*225)*1.5,SUM(E15*225))</f>
        <v>0</v>
      </c>
      <c r="L15" s="91">
        <f>IF(OR(WEEKDAY(A15)=1,WEEKDAY(A15)=7,NOT(ISERROR(MATCH(A15,[1]Праздники!A:A,0)))),SUM(F15*225)*1.5,SUM(F15*225))</f>
        <v>0</v>
      </c>
      <c r="M15" s="91">
        <f t="shared" si="2"/>
        <v>2860.0499999999997</v>
      </c>
      <c r="N15" s="91">
        <f t="shared" si="3"/>
        <v>0</v>
      </c>
      <c r="O15" s="91">
        <f t="shared" si="4"/>
        <v>2860.0499999999997</v>
      </c>
      <c r="P15" s="2" t="str">
        <f>IF(OR(WEEKDAY(A15)=1,WEEKDAY(A15)=7,NOT(ISERROR(MATCH(A15,[1]Праздники!A:A,0)))),"Выходной","Рабочий")</f>
        <v>Выходной</v>
      </c>
    </row>
    <row r="16" spans="1:19">
      <c r="A16" s="233">
        <v>46033</v>
      </c>
      <c r="B16" s="234"/>
      <c r="C16" s="97">
        <v>0</v>
      </c>
      <c r="D16" s="98">
        <v>0</v>
      </c>
      <c r="E16" s="98"/>
      <c r="F16" s="99"/>
      <c r="G16" s="89">
        <f t="shared" si="5"/>
        <v>190.67</v>
      </c>
      <c r="H16" s="90"/>
      <c r="I16" s="91">
        <f t="shared" si="0"/>
        <v>0</v>
      </c>
      <c r="J16" s="91">
        <f t="shared" si="1"/>
        <v>0</v>
      </c>
      <c r="K16" s="91">
        <f>IF(OR(WEEKDAY(A16)=1,WEEKDAY(A16)=7,NOT(ISERROR(MATCH(A16,[1]Праздники!A:A,0)))),SUM(E16*225)*1.5,SUM(E16*225))</f>
        <v>0</v>
      </c>
      <c r="L16" s="91">
        <f>IF(OR(WEEKDAY(A16)=1,WEEKDAY(A16)=7,NOT(ISERROR(MATCH(A16,[1]Праздники!A:A,0)))),SUM(F16*225)*1.5,SUM(F16*225))</f>
        <v>0</v>
      </c>
      <c r="M16" s="91">
        <f t="shared" si="2"/>
        <v>2860.0499999999997</v>
      </c>
      <c r="N16" s="91">
        <f t="shared" si="3"/>
        <v>0</v>
      </c>
      <c r="O16" s="91">
        <f t="shared" si="4"/>
        <v>2860.0499999999997</v>
      </c>
      <c r="P16" s="2" t="str">
        <f>IF(OR(WEEKDAY(A16)=1,WEEKDAY(A16)=7,NOT(ISERROR(MATCH(A16,[1]Праздники!A:A,0)))),"Выходной","Рабочий")</f>
        <v>Выходной</v>
      </c>
    </row>
    <row r="17" spans="1:16">
      <c r="A17" s="233">
        <v>46034</v>
      </c>
      <c r="B17" s="234"/>
      <c r="C17" s="97">
        <v>0</v>
      </c>
      <c r="D17" s="98">
        <v>0</v>
      </c>
      <c r="E17" s="98"/>
      <c r="F17" s="99"/>
      <c r="G17" s="89">
        <f>IF(A17 ="",0,G16+C17+E17-D16-F16)+2.545</f>
        <v>193.21499999999997</v>
      </c>
      <c r="H17" s="90"/>
      <c r="I17" s="91">
        <f t="shared" si="0"/>
        <v>0</v>
      </c>
      <c r="J17" s="91">
        <f t="shared" si="1"/>
        <v>0</v>
      </c>
      <c r="K17" s="91">
        <f>IF(OR(WEEKDAY(A17)=1,WEEKDAY(A17)=7,NOT(ISERROR(MATCH(A17,[1]Праздники!A:A,0)))),SUM(E17*225)*1.5,SUM(E17*225))</f>
        <v>0</v>
      </c>
      <c r="L17" s="91">
        <f>IF(OR(WEEKDAY(A17)=1,WEEKDAY(A17)=7,NOT(ISERROR(MATCH(A17,[1]Праздники!A:A,0)))),SUM(F17*225)*1.5,SUM(F17*225))</f>
        <v>0</v>
      </c>
      <c r="M17" s="91">
        <f t="shared" si="2"/>
        <v>2898.2249999999995</v>
      </c>
      <c r="N17" s="91">
        <f t="shared" si="3"/>
        <v>0</v>
      </c>
      <c r="O17" s="91">
        <f t="shared" si="4"/>
        <v>2898.2249999999995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33">
        <v>46035</v>
      </c>
      <c r="B18" s="234"/>
      <c r="C18" s="97">
        <v>264</v>
      </c>
      <c r="D18" s="98">
        <v>0</v>
      </c>
      <c r="E18" s="98"/>
      <c r="F18" s="99"/>
      <c r="G18" s="89">
        <f t="shared" si="5"/>
        <v>457.21499999999997</v>
      </c>
      <c r="H18" s="90"/>
      <c r="I18" s="91">
        <f t="shared" si="0"/>
        <v>39600</v>
      </c>
      <c r="J18" s="91">
        <f t="shared" si="1"/>
        <v>0</v>
      </c>
      <c r="K18" s="91">
        <f>IF(OR(WEEKDAY(A18)=1,WEEKDAY(A18)=7,NOT(ISERROR(MATCH(A18,[1]Праздники!A:A,0)))),SUM(E18*225)*1.5,SUM(E18*225))</f>
        <v>0</v>
      </c>
      <c r="L18" s="91">
        <f>IF(OR(WEEKDAY(A18)=1,WEEKDAY(A18)=7,NOT(ISERROR(MATCH(A18,[1]Праздники!A:A,0)))),SUM(F18*225)*1.5,SUM(F18*225))</f>
        <v>0</v>
      </c>
      <c r="M18" s="91">
        <f t="shared" si="2"/>
        <v>6858.2249999999995</v>
      </c>
      <c r="N18" s="91">
        <f t="shared" si="3"/>
        <v>0</v>
      </c>
      <c r="O18" s="91">
        <f t="shared" si="4"/>
        <v>46458.224999999999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33">
        <v>46036</v>
      </c>
      <c r="B19" s="234"/>
      <c r="C19" s="97">
        <v>330</v>
      </c>
      <c r="D19" s="98">
        <v>0</v>
      </c>
      <c r="E19" s="98"/>
      <c r="F19" s="99"/>
      <c r="G19" s="89">
        <f t="shared" si="5"/>
        <v>787.21499999999992</v>
      </c>
      <c r="H19" s="90"/>
      <c r="I19" s="91">
        <f t="shared" si="0"/>
        <v>49500</v>
      </c>
      <c r="J19" s="91">
        <f t="shared" si="1"/>
        <v>0</v>
      </c>
      <c r="K19" s="91">
        <f>IF(OR(WEEKDAY(A19)=1,WEEKDAY(A19)=7,NOT(ISERROR(MATCH(A19,[1]Праздники!A:A,0)))),SUM(E19*225)*1.5,SUM(E19*225))</f>
        <v>0</v>
      </c>
      <c r="L19" s="91">
        <f>IF(OR(WEEKDAY(A19)=1,WEEKDAY(A19)=7,NOT(ISERROR(MATCH(A19,[1]Праздники!A:A,0)))),SUM(F19*225)*1.5,SUM(F19*225))</f>
        <v>0</v>
      </c>
      <c r="M19" s="91">
        <f t="shared" si="2"/>
        <v>11808.224999999999</v>
      </c>
      <c r="N19" s="91">
        <f t="shared" si="3"/>
        <v>0</v>
      </c>
      <c r="O19" s="91">
        <f t="shared" si="4"/>
        <v>61308.224999999999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33">
        <v>46037</v>
      </c>
      <c r="B20" s="234"/>
      <c r="C20" s="97">
        <v>242</v>
      </c>
      <c r="D20" s="98">
        <v>0</v>
      </c>
      <c r="E20" s="98"/>
      <c r="F20" s="99"/>
      <c r="G20" s="89">
        <f t="shared" si="5"/>
        <v>1029.2149999999999</v>
      </c>
      <c r="H20" s="90"/>
      <c r="I20" s="91">
        <f t="shared" si="0"/>
        <v>36300</v>
      </c>
      <c r="J20" s="91">
        <f t="shared" si="1"/>
        <v>0</v>
      </c>
      <c r="K20" s="91">
        <f>IF(OR(WEEKDAY(A20)=1,WEEKDAY(A20)=7,NOT(ISERROR(MATCH(A20,[1]Праздники!A:A,0)))),SUM(E20*225)*1.5,SUM(E20*225))</f>
        <v>0</v>
      </c>
      <c r="L20" s="91">
        <f>IF(OR(WEEKDAY(A20)=1,WEEKDAY(A20)=7,NOT(ISERROR(MATCH(A20,[1]Праздники!A:A,0)))),SUM(F20*225)*1.5,SUM(F20*225))</f>
        <v>0</v>
      </c>
      <c r="M20" s="91">
        <f t="shared" si="2"/>
        <v>15438.224999999999</v>
      </c>
      <c r="N20" s="91">
        <f t="shared" si="3"/>
        <v>0</v>
      </c>
      <c r="O20" s="91">
        <f t="shared" si="4"/>
        <v>51738.224999999999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33">
        <v>46038</v>
      </c>
      <c r="B21" s="234"/>
      <c r="C21" s="97">
        <v>376.07</v>
      </c>
      <c r="D21" s="98">
        <v>0</v>
      </c>
      <c r="E21" s="98"/>
      <c r="F21" s="99"/>
      <c r="G21" s="89">
        <f t="shared" si="5"/>
        <v>1405.2849999999999</v>
      </c>
      <c r="H21" s="90"/>
      <c r="I21" s="91">
        <f t="shared" si="0"/>
        <v>56410.5</v>
      </c>
      <c r="J21" s="91">
        <f t="shared" si="1"/>
        <v>0</v>
      </c>
      <c r="K21" s="91">
        <f>IF(OR(WEEKDAY(A21)=1,WEEKDAY(A21)=7,NOT(ISERROR(MATCH(A21,[1]Праздники!A:A,0)))),SUM(E21*225)*1.5,SUM(E21*225))</f>
        <v>0</v>
      </c>
      <c r="L21" s="91">
        <f>IF(OR(WEEKDAY(A21)=1,WEEKDAY(A21)=7,NOT(ISERROR(MATCH(A21,[1]Праздники!A:A,0)))),SUM(F21*225)*1.5,SUM(F21*225))</f>
        <v>0</v>
      </c>
      <c r="M21" s="91">
        <f t="shared" si="2"/>
        <v>21079.274999999998</v>
      </c>
      <c r="N21" s="91">
        <f t="shared" si="3"/>
        <v>0</v>
      </c>
      <c r="O21" s="91">
        <f t="shared" si="4"/>
        <v>77489.774999999994</v>
      </c>
      <c r="P21" s="2" t="str">
        <f>IF(OR(WEEKDAY(A21)=1,WEEKDAY(A21)=7,NOT(ISERROR(MATCH(A21,[1]Праздники!A:A,0)))),"Выходной","Рабочий")</f>
        <v>Рабочий</v>
      </c>
    </row>
    <row r="22" spans="1:16">
      <c r="A22" s="233">
        <v>46039</v>
      </c>
      <c r="B22" s="234"/>
      <c r="C22" s="97">
        <v>110.23</v>
      </c>
      <c r="D22" s="98">
        <v>16.475000000000001</v>
      </c>
      <c r="E22" s="98"/>
      <c r="F22" s="99"/>
      <c r="G22" s="89">
        <f t="shared" si="5"/>
        <v>1515.5149999999999</v>
      </c>
      <c r="H22" s="90"/>
      <c r="I22" s="91">
        <f t="shared" si="0"/>
        <v>24801.75</v>
      </c>
      <c r="J22" s="91">
        <f t="shared" si="1"/>
        <v>3706.875</v>
      </c>
      <c r="K22" s="91">
        <f>IF(OR(WEEKDAY(A22)=1,WEEKDAY(A22)=7,NOT(ISERROR(MATCH(A22,[1]Праздники!A:A,0)))),SUM(E22*225)*1.5,SUM(E22*225))</f>
        <v>0</v>
      </c>
      <c r="L22" s="91">
        <f>IF(OR(WEEKDAY(A22)=1,WEEKDAY(A22)=7,NOT(ISERROR(MATCH(A22,[1]Праздники!A:A,0)))),SUM(F22*225)*1.5,SUM(F22*225))</f>
        <v>0</v>
      </c>
      <c r="M22" s="91">
        <f t="shared" si="2"/>
        <v>22732.724999999999</v>
      </c>
      <c r="N22" s="91">
        <f t="shared" si="3"/>
        <v>0</v>
      </c>
      <c r="O22" s="91">
        <f t="shared" si="4"/>
        <v>51241.35</v>
      </c>
      <c r="P22" s="2" t="str">
        <f>IF(OR(WEEKDAY(A22)=1,WEEKDAY(A22)=7,NOT(ISERROR(MATCH(A22,[1]Праздники!A:A,0)))),"Выходной","Рабочий")</f>
        <v>Выходной</v>
      </c>
    </row>
    <row r="23" spans="1:16">
      <c r="A23" s="233">
        <v>46040</v>
      </c>
      <c r="B23" s="234"/>
      <c r="C23" s="97">
        <v>0</v>
      </c>
      <c r="D23" s="98">
        <v>0</v>
      </c>
      <c r="E23" s="98"/>
      <c r="F23" s="99"/>
      <c r="G23" s="89">
        <f t="shared" si="5"/>
        <v>1499.04</v>
      </c>
      <c r="H23" s="90"/>
      <c r="I23" s="91">
        <f t="shared" si="0"/>
        <v>0</v>
      </c>
      <c r="J23" s="91">
        <f t="shared" si="1"/>
        <v>0</v>
      </c>
      <c r="K23" s="91">
        <f>IF(OR(WEEKDAY(A23)=1,WEEKDAY(A23)=7,NOT(ISERROR(MATCH(A23,[1]Праздники!A:A,0)))),SUM(E23*225)*1.5,SUM(E23*225))</f>
        <v>0</v>
      </c>
      <c r="L23" s="91">
        <f>IF(OR(WEEKDAY(A23)=1,WEEKDAY(A23)=7,NOT(ISERROR(MATCH(A23,[1]Праздники!A:A,0)))),SUM(F23*225)*1.5,SUM(F23*225))</f>
        <v>0</v>
      </c>
      <c r="M23" s="91">
        <f t="shared" si="2"/>
        <v>22485.599999999999</v>
      </c>
      <c r="N23" s="91">
        <f t="shared" si="3"/>
        <v>0</v>
      </c>
      <c r="O23" s="91">
        <f t="shared" si="4"/>
        <v>22485.599999999999</v>
      </c>
      <c r="P23" s="2" t="str">
        <f>IF(OR(WEEKDAY(A23)=1,WEEKDAY(A23)=7,NOT(ISERROR(MATCH(A23,[1]Праздники!A:A,0)))),"Выходной","Рабочий")</f>
        <v>Выходной</v>
      </c>
    </row>
    <row r="24" spans="1:16">
      <c r="A24" s="233">
        <v>46041</v>
      </c>
      <c r="B24" s="234"/>
      <c r="C24" s="97">
        <v>0</v>
      </c>
      <c r="D24" s="98">
        <v>0</v>
      </c>
      <c r="E24" s="98"/>
      <c r="F24" s="99"/>
      <c r="G24" s="89">
        <f t="shared" si="5"/>
        <v>1499.04</v>
      </c>
      <c r="H24" s="90"/>
      <c r="I24" s="91">
        <f t="shared" si="0"/>
        <v>0</v>
      </c>
      <c r="J24" s="91">
        <f t="shared" si="1"/>
        <v>0</v>
      </c>
      <c r="K24" s="91">
        <f>IF(OR(WEEKDAY(A24)=1,WEEKDAY(A24)=7,NOT(ISERROR(MATCH(A24,[1]Праздники!A:A,0)))),SUM(E24*225)*1.5,SUM(E24*225))</f>
        <v>0</v>
      </c>
      <c r="L24" s="91">
        <f>IF(OR(WEEKDAY(A24)=1,WEEKDAY(A24)=7,NOT(ISERROR(MATCH(A24,[1]Праздники!A:A,0)))),SUM(F24*225)*1.5,SUM(F24*225))</f>
        <v>0</v>
      </c>
      <c r="M24" s="91">
        <f t="shared" si="2"/>
        <v>22485.599999999999</v>
      </c>
      <c r="N24" s="91">
        <f t="shared" si="3"/>
        <v>0</v>
      </c>
      <c r="O24" s="91">
        <f t="shared" si="4"/>
        <v>22485.599999999999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33">
        <v>46042</v>
      </c>
      <c r="B25" s="234"/>
      <c r="C25" s="97">
        <v>0</v>
      </c>
      <c r="D25" s="98">
        <v>0</v>
      </c>
      <c r="E25" s="98"/>
      <c r="F25" s="99"/>
      <c r="G25" s="89">
        <f t="shared" si="5"/>
        <v>1499.04</v>
      </c>
      <c r="H25" s="90"/>
      <c r="I25" s="91">
        <f t="shared" si="0"/>
        <v>0</v>
      </c>
      <c r="J25" s="91">
        <f t="shared" si="1"/>
        <v>0</v>
      </c>
      <c r="K25" s="91">
        <f>IF(OR(WEEKDAY(A25)=1,WEEKDAY(A25)=7,NOT(ISERROR(MATCH(A25,[1]Праздники!A:A,0)))),SUM(E25*225)*1.5,SUM(E25*225))</f>
        <v>0</v>
      </c>
      <c r="L25" s="91">
        <f>IF(OR(WEEKDAY(A25)=1,WEEKDAY(A25)=7,NOT(ISERROR(MATCH(A25,[1]Праздники!A:A,0)))),SUM(F25*225)*1.5,SUM(F25*225))</f>
        <v>0</v>
      </c>
      <c r="M25" s="91">
        <f t="shared" si="2"/>
        <v>22485.599999999999</v>
      </c>
      <c r="N25" s="91">
        <f t="shared" si="3"/>
        <v>0</v>
      </c>
      <c r="O25" s="91">
        <f t="shared" si="4"/>
        <v>22485.599999999999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33">
        <v>46043</v>
      </c>
      <c r="B26" s="234"/>
      <c r="C26" s="97">
        <v>0</v>
      </c>
      <c r="D26" s="98">
        <v>0</v>
      </c>
      <c r="E26" s="103"/>
      <c r="F26" s="99"/>
      <c r="G26" s="89">
        <f t="shared" si="5"/>
        <v>1499.04</v>
      </c>
      <c r="H26" s="90"/>
      <c r="I26" s="91">
        <f t="shared" si="0"/>
        <v>0</v>
      </c>
      <c r="J26" s="91">
        <f t="shared" si="1"/>
        <v>0</v>
      </c>
      <c r="K26" s="91">
        <f>IF(OR(WEEKDAY(A26)=1,WEEKDAY(A26)=7,NOT(ISERROR(MATCH(A26,[1]Праздники!A:A,0)))),SUM(E26*225)*1.5,SUM(E26*225))</f>
        <v>0</v>
      </c>
      <c r="L26" s="91">
        <f>IF(OR(WEEKDAY(A26)=1,WEEKDAY(A26)=7,NOT(ISERROR(MATCH(A26,[1]Праздники!A:A,0)))),SUM(F26*225)*1.5,SUM(F26*225))</f>
        <v>0</v>
      </c>
      <c r="M26" s="91">
        <f t="shared" si="2"/>
        <v>22485.599999999999</v>
      </c>
      <c r="N26" s="91">
        <f t="shared" si="3"/>
        <v>0</v>
      </c>
      <c r="O26" s="91">
        <f t="shared" si="4"/>
        <v>22485.599999999999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33">
        <v>46044</v>
      </c>
      <c r="B27" s="234"/>
      <c r="C27" s="97">
        <v>0</v>
      </c>
      <c r="D27" s="98">
        <v>0</v>
      </c>
      <c r="E27" s="98"/>
      <c r="F27" s="102"/>
      <c r="G27" s="89">
        <f t="shared" si="5"/>
        <v>1499.04</v>
      </c>
      <c r="H27" s="90"/>
      <c r="I27" s="91">
        <f t="shared" si="0"/>
        <v>0</v>
      </c>
      <c r="J27" s="91">
        <f t="shared" si="1"/>
        <v>0</v>
      </c>
      <c r="K27" s="91">
        <f>IF(OR(WEEKDAY(A27)=1,WEEKDAY(A27)=7,NOT(ISERROR(MATCH(A27,[1]Праздники!A:A,0)))),SUM(E27*225)*1.5,SUM(E27*225))</f>
        <v>0</v>
      </c>
      <c r="L27" s="91">
        <f>IF(OR(WEEKDAY(A27)=1,WEEKDAY(A27)=7,NOT(ISERROR(MATCH(A27,[1]Праздники!A:A,0)))),SUM(F27*225)*1.5,SUM(F27*225))</f>
        <v>0</v>
      </c>
      <c r="M27" s="91">
        <f t="shared" si="2"/>
        <v>22485.599999999999</v>
      </c>
      <c r="N27" s="91">
        <f t="shared" si="3"/>
        <v>0</v>
      </c>
      <c r="O27" s="91">
        <f t="shared" si="4"/>
        <v>22485.599999999999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33">
        <v>46045</v>
      </c>
      <c r="B28" s="234"/>
      <c r="C28" s="97">
        <v>0</v>
      </c>
      <c r="D28" s="98">
        <v>0</v>
      </c>
      <c r="E28" s="98"/>
      <c r="F28" s="99"/>
      <c r="G28" s="89">
        <f t="shared" si="5"/>
        <v>1499.04</v>
      </c>
      <c r="H28" s="90"/>
      <c r="I28" s="91">
        <f t="shared" si="0"/>
        <v>0</v>
      </c>
      <c r="J28" s="91">
        <f t="shared" si="1"/>
        <v>0</v>
      </c>
      <c r="K28" s="91">
        <f>IF(OR(WEEKDAY(A28)=1,WEEKDAY(A28)=7,NOT(ISERROR(MATCH(A28,[1]Праздники!A:A,0)))),SUM(E28*225)*1.5,SUM(E28*225))</f>
        <v>0</v>
      </c>
      <c r="L28" s="91">
        <f>IF(OR(WEEKDAY(A28)=1,WEEKDAY(A28)=7,NOT(ISERROR(MATCH(A28,[1]Праздники!A:A,0)))),SUM(F28*225)*1.5,SUM(F28*225))</f>
        <v>0</v>
      </c>
      <c r="M28" s="91">
        <f t="shared" si="2"/>
        <v>22485.599999999999</v>
      </c>
      <c r="N28" s="91">
        <f t="shared" si="3"/>
        <v>0</v>
      </c>
      <c r="O28" s="91">
        <f t="shared" si="4"/>
        <v>22485.599999999999</v>
      </c>
      <c r="P28" s="2" t="str">
        <f>IF(OR(WEEKDAY(A28)=1,WEEKDAY(A28)=7,NOT(ISERROR(MATCH(A28,[1]Праздники!A:A,0)))),"Выходной","Рабочий")</f>
        <v>Рабочий</v>
      </c>
    </row>
    <row r="29" spans="1:16">
      <c r="A29" s="233">
        <v>46046</v>
      </c>
      <c r="B29" s="234"/>
      <c r="C29" s="97">
        <v>0</v>
      </c>
      <c r="D29" s="98">
        <v>0</v>
      </c>
      <c r="E29" s="98"/>
      <c r="F29" s="99"/>
      <c r="G29" s="89">
        <f t="shared" si="5"/>
        <v>1499.04</v>
      </c>
      <c r="H29" s="90"/>
      <c r="I29" s="91">
        <f t="shared" si="0"/>
        <v>0</v>
      </c>
      <c r="J29" s="91">
        <f t="shared" si="1"/>
        <v>0</v>
      </c>
      <c r="K29" s="91">
        <f>IF(OR(WEEKDAY(A29)=1,WEEKDAY(A29)=7,NOT(ISERROR(MATCH(A29,[1]Праздники!A:A,0)))),SUM(E29*225)*1.5,SUM(E29*225))</f>
        <v>0</v>
      </c>
      <c r="L29" s="91">
        <f>IF(OR(WEEKDAY(A29)=1,WEEKDAY(A29)=7,NOT(ISERROR(MATCH(A29,[1]Праздники!A:A,0)))),SUM(F29*225)*1.5,SUM(F29*225))</f>
        <v>0</v>
      </c>
      <c r="M29" s="91">
        <f t="shared" si="2"/>
        <v>22485.599999999999</v>
      </c>
      <c r="N29" s="91">
        <f t="shared" si="3"/>
        <v>0</v>
      </c>
      <c r="O29" s="91">
        <f t="shared" si="4"/>
        <v>22485.599999999999</v>
      </c>
      <c r="P29" s="2" t="str">
        <f>IF(OR(WEEKDAY(A29)=1,WEEKDAY(A29)=7,NOT(ISERROR(MATCH(A29,[1]Праздники!A:A,0)))),"Выходной","Рабочий")</f>
        <v>Выходной</v>
      </c>
    </row>
    <row r="30" spans="1:16">
      <c r="A30" s="233">
        <v>46047</v>
      </c>
      <c r="B30" s="234"/>
      <c r="C30" s="97">
        <v>0</v>
      </c>
      <c r="D30" s="98">
        <v>0</v>
      </c>
      <c r="E30" s="98"/>
      <c r="F30" s="99"/>
      <c r="G30" s="89">
        <f t="shared" si="5"/>
        <v>1499.04</v>
      </c>
      <c r="H30" s="90"/>
      <c r="I30" s="91">
        <f t="shared" si="0"/>
        <v>0</v>
      </c>
      <c r="J30" s="91">
        <f t="shared" si="1"/>
        <v>0</v>
      </c>
      <c r="K30" s="91">
        <f>IF(OR(WEEKDAY(A30)=1,WEEKDAY(A30)=7,NOT(ISERROR(MATCH(A30,[1]Праздники!A:A,0)))),SUM(E30*225)*1.5,SUM(E30*225))</f>
        <v>0</v>
      </c>
      <c r="L30" s="91">
        <f>IF(OR(WEEKDAY(A30)=1,WEEKDAY(A30)=7,NOT(ISERROR(MATCH(A30,[1]Праздники!A:A,0)))),SUM(F30*225)*1.5,SUM(F30*225))</f>
        <v>0</v>
      </c>
      <c r="M30" s="91">
        <f t="shared" si="2"/>
        <v>22485.599999999999</v>
      </c>
      <c r="N30" s="91">
        <f t="shared" si="3"/>
        <v>0</v>
      </c>
      <c r="O30" s="91">
        <f t="shared" si="4"/>
        <v>22485.599999999999</v>
      </c>
      <c r="P30" s="2" t="str">
        <f>IF(OR(WEEKDAY(A30)=1,WEEKDAY(A30)=7,NOT(ISERROR(MATCH(A30,[1]Праздники!A:A,0)))),"Выходной","Рабочий")</f>
        <v>Выходной</v>
      </c>
    </row>
    <row r="31" spans="1:16">
      <c r="A31" s="233">
        <v>46048</v>
      </c>
      <c r="B31" s="234"/>
      <c r="C31" s="97">
        <v>0</v>
      </c>
      <c r="D31" s="98">
        <v>0</v>
      </c>
      <c r="E31" s="98"/>
      <c r="F31" s="99"/>
      <c r="G31" s="89">
        <f t="shared" si="5"/>
        <v>1499.04</v>
      </c>
      <c r="H31" s="90"/>
      <c r="I31" s="91">
        <f t="shared" si="0"/>
        <v>0</v>
      </c>
      <c r="J31" s="91">
        <f t="shared" si="1"/>
        <v>0</v>
      </c>
      <c r="K31" s="91">
        <f>IF(OR(WEEKDAY(A31)=1,WEEKDAY(A31)=7,NOT(ISERROR(MATCH(A31,[1]Праздники!A:A,0)))),SUM(E31*225)*1.5,SUM(E31*225))</f>
        <v>0</v>
      </c>
      <c r="L31" s="91">
        <f>IF(OR(WEEKDAY(A31)=1,WEEKDAY(A31)=7,NOT(ISERROR(MATCH(A31,[1]Праздники!A:A,0)))),SUM(F31*225)*1.5,SUM(F31*225))</f>
        <v>0</v>
      </c>
      <c r="M31" s="91">
        <f t="shared" si="2"/>
        <v>22485.599999999999</v>
      </c>
      <c r="N31" s="91">
        <f t="shared" si="3"/>
        <v>0</v>
      </c>
      <c r="O31" s="91">
        <f t="shared" si="4"/>
        <v>22485.599999999999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33">
        <v>46049</v>
      </c>
      <c r="B32" s="234"/>
      <c r="C32" s="97">
        <v>0</v>
      </c>
      <c r="D32" s="98">
        <v>0</v>
      </c>
      <c r="E32" s="98"/>
      <c r="F32" s="99"/>
      <c r="G32" s="89">
        <f t="shared" si="5"/>
        <v>1499.04</v>
      </c>
      <c r="H32" s="90"/>
      <c r="I32" s="91">
        <f t="shared" si="0"/>
        <v>0</v>
      </c>
      <c r="J32" s="91">
        <f t="shared" si="1"/>
        <v>0</v>
      </c>
      <c r="K32" s="91">
        <f>IF(OR(WEEKDAY(A32)=1,WEEKDAY(A32)=7,NOT(ISERROR(MATCH(A32,[1]Праздники!A:A,0)))),SUM(E32*225)*1.5,SUM(E32*225))</f>
        <v>0</v>
      </c>
      <c r="L32" s="91">
        <f>IF(OR(WEEKDAY(A32)=1,WEEKDAY(A32)=7,NOT(ISERROR(MATCH(A32,[1]Праздники!A:A,0)))),SUM(F32*225)*1.5,SUM(F32*225))</f>
        <v>0</v>
      </c>
      <c r="M32" s="91">
        <f t="shared" si="2"/>
        <v>22485.599999999999</v>
      </c>
      <c r="N32" s="91">
        <f t="shared" si="3"/>
        <v>0</v>
      </c>
      <c r="O32" s="91">
        <f t="shared" si="4"/>
        <v>22485.599999999999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33">
        <v>46050</v>
      </c>
      <c r="B33" s="234"/>
      <c r="C33" s="97">
        <v>0</v>
      </c>
      <c r="D33" s="98">
        <v>0</v>
      </c>
      <c r="E33" s="98"/>
      <c r="F33" s="99"/>
      <c r="G33" s="89">
        <f t="shared" si="5"/>
        <v>1499.04</v>
      </c>
      <c r="H33" s="90"/>
      <c r="I33" s="91">
        <f t="shared" si="0"/>
        <v>0</v>
      </c>
      <c r="J33" s="91">
        <f t="shared" si="1"/>
        <v>0</v>
      </c>
      <c r="K33" s="91">
        <f>IF(OR(WEEKDAY(A33)=1,WEEKDAY(A33)=7,NOT(ISERROR(MATCH(A33,[1]Праздники!A:A,0)))),SUM(E33*225)*1.5,SUM(E33*225))</f>
        <v>0</v>
      </c>
      <c r="L33" s="91">
        <f>IF(OR(WEEKDAY(A33)=1,WEEKDAY(A33)=7,NOT(ISERROR(MATCH(A33,[1]Праздники!A:A,0)))),SUM(F33*225)*1.5,SUM(F33*225))</f>
        <v>0</v>
      </c>
      <c r="M33" s="91">
        <f t="shared" si="2"/>
        <v>22485.599999999999</v>
      </c>
      <c r="N33" s="91">
        <f t="shared" si="3"/>
        <v>0</v>
      </c>
      <c r="O33" s="91">
        <f t="shared" si="4"/>
        <v>22485.599999999999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33">
        <v>46051</v>
      </c>
      <c r="B34" s="234"/>
      <c r="C34" s="97">
        <v>0</v>
      </c>
      <c r="D34" s="98">
        <v>66</v>
      </c>
      <c r="E34" s="98"/>
      <c r="F34" s="99"/>
      <c r="G34" s="89">
        <f t="shared" si="5"/>
        <v>1499.04</v>
      </c>
      <c r="H34" s="90"/>
      <c r="I34" s="91">
        <f t="shared" si="0"/>
        <v>0</v>
      </c>
      <c r="J34" s="91">
        <f t="shared" si="1"/>
        <v>9900</v>
      </c>
      <c r="K34" s="91">
        <f>IF(OR(WEEKDAY(A34)=1,WEEKDAY(A34)=7,NOT(ISERROR(MATCH(A34,[1]Праздники!A:A,0)))),SUM(E34*225)*1.5,SUM(E34*225))</f>
        <v>0</v>
      </c>
      <c r="L34" s="91">
        <f>IF(OR(WEEKDAY(A34)=1,WEEKDAY(A34)=7,NOT(ISERROR(MATCH(A34,[1]Праздники!A:A,0)))),SUM(F34*225)*1.5,SUM(F34*225))</f>
        <v>0</v>
      </c>
      <c r="M34" s="91">
        <f t="shared" si="2"/>
        <v>22485.599999999999</v>
      </c>
      <c r="N34" s="91">
        <f t="shared" si="3"/>
        <v>0</v>
      </c>
      <c r="O34" s="91">
        <f t="shared" si="4"/>
        <v>32385.599999999999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33">
        <v>46052</v>
      </c>
      <c r="B35" s="234"/>
      <c r="C35" s="97">
        <v>0</v>
      </c>
      <c r="D35" s="98">
        <v>22</v>
      </c>
      <c r="E35" s="89"/>
      <c r="F35" s="99"/>
      <c r="G35" s="89">
        <f t="shared" si="5"/>
        <v>1433.04</v>
      </c>
      <c r="H35" s="90"/>
      <c r="I35" s="91">
        <f t="shared" si="0"/>
        <v>0</v>
      </c>
      <c r="J35" s="91">
        <f t="shared" si="1"/>
        <v>3300</v>
      </c>
      <c r="K35" s="91">
        <f>IF(OR(WEEKDAY(A35)=1,WEEKDAY(A35)=7,NOT(ISERROR(MATCH(A35,[1]Праздники!A:A,0)))),SUM(E35*225)*1.5,SUM(E35*225))</f>
        <v>0</v>
      </c>
      <c r="L35" s="91">
        <f>IF(OR(WEEKDAY(A35)=1,WEEKDAY(A35)=7,NOT(ISERROR(MATCH(A35,[1]Праздники!A:A,0)))),SUM(F35*225)*1.5,SUM(F35*225))</f>
        <v>0</v>
      </c>
      <c r="M35" s="91">
        <f t="shared" si="2"/>
        <v>21495.599999999999</v>
      </c>
      <c r="N35" s="91">
        <f t="shared" si="3"/>
        <v>0</v>
      </c>
      <c r="O35" s="91">
        <f t="shared" si="4"/>
        <v>24795.599999999999</v>
      </c>
      <c r="P35" s="2" t="str">
        <f>IF(OR(WEEKDAY(A35)=1,WEEKDAY(A35)=7,NOT(ISERROR(MATCH(A35,[1]Праздники!A:A,0)))),"Выходной","Рабочий")</f>
        <v>Рабочий</v>
      </c>
    </row>
    <row r="36" spans="1:17" ht="15.75" thickBot="1">
      <c r="A36" s="233">
        <v>46053</v>
      </c>
      <c r="B36" s="234"/>
      <c r="C36" s="97">
        <v>0</v>
      </c>
      <c r="D36" s="98">
        <v>66</v>
      </c>
      <c r="E36" s="89"/>
      <c r="F36" s="99"/>
      <c r="G36" s="89">
        <f t="shared" si="5"/>
        <v>1411.04</v>
      </c>
      <c r="H36" s="90"/>
      <c r="I36" s="91">
        <f t="shared" si="0"/>
        <v>0</v>
      </c>
      <c r="J36" s="91">
        <f t="shared" si="1"/>
        <v>14850</v>
      </c>
      <c r="K36" s="91">
        <f>IF(OR(WEEKDAY(A36)=1,WEEKDAY(A36)=7,NOT(ISERROR(MATCH(A36,[1]Праздники!A:A,0)))),SUM(E36*225)*1.5,SUM(E36*225))</f>
        <v>0</v>
      </c>
      <c r="L36" s="91">
        <f>IF(OR(WEEKDAY(A36)=1,WEEKDAY(A36)=7,NOT(ISERROR(MATCH(A36,[1]Праздники!A:A,0)))),SUM(F36*225)*1.5,SUM(F36*225))</f>
        <v>0</v>
      </c>
      <c r="M36" s="91">
        <f t="shared" si="2"/>
        <v>21165.599999999999</v>
      </c>
      <c r="N36" s="91">
        <f t="shared" si="3"/>
        <v>0</v>
      </c>
      <c r="O36" s="91">
        <f t="shared" ref="O36" si="6">SUM(I36:N36)</f>
        <v>36015.599999999999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2">
        <f>SUM(C6:C36)</f>
        <v>1322.3</v>
      </c>
      <c r="D37" s="92">
        <f t="shared" ref="D37:O37" si="7">SUM(D6:D36)</f>
        <v>170.47499999999999</v>
      </c>
      <c r="E37" s="92">
        <f t="shared" si="7"/>
        <v>0</v>
      </c>
      <c r="F37" s="92">
        <f t="shared" si="7"/>
        <v>0</v>
      </c>
      <c r="G37" s="92">
        <f t="shared" si="7"/>
        <v>28317.590000000011</v>
      </c>
      <c r="H37" s="104">
        <f t="shared" si="7"/>
        <v>0</v>
      </c>
      <c r="I37" s="93">
        <f t="shared" si="7"/>
        <v>206612.25</v>
      </c>
      <c r="J37" s="93">
        <f t="shared" si="7"/>
        <v>31756.875</v>
      </c>
      <c r="K37" s="93">
        <f t="shared" si="7"/>
        <v>0</v>
      </c>
      <c r="L37" s="93">
        <f t="shared" si="7"/>
        <v>0</v>
      </c>
      <c r="M37" s="93">
        <f t="shared" si="7"/>
        <v>424763.84999999986</v>
      </c>
      <c r="N37" s="93">
        <f t="shared" si="7"/>
        <v>0</v>
      </c>
      <c r="O37" s="94">
        <f t="shared" si="7"/>
        <v>663132.97499999963</v>
      </c>
    </row>
    <row r="38" spans="1:17" ht="15.75" thickBot="1">
      <c r="G38" s="88"/>
      <c r="L38" s="16"/>
      <c r="M38" s="88"/>
      <c r="N38" s="104" t="s">
        <v>116</v>
      </c>
      <c r="O38" s="95">
        <f>O37*1.22</f>
        <v>809022.22949999955</v>
      </c>
      <c r="Q38" s="96"/>
    </row>
    <row r="39" spans="1:17">
      <c r="G39" s="88"/>
      <c r="M39" s="88"/>
    </row>
    <row r="40" spans="1:17">
      <c r="G40" s="88"/>
      <c r="M40" s="88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:B5"/>
    <mergeCell ref="C4:C5"/>
    <mergeCell ref="D4:D5"/>
    <mergeCell ref="A11:B11"/>
    <mergeCell ref="A12:B12"/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B112-95DE-4480-B32A-0437BF6E7169}">
  <sheetPr codeName="Лист10"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tr">
        <f ca="1">IF(DAY(TODAY())&gt;27,"Акт  №    от  " &amp; TEXT(TODAY(),"ДД ММММ ГГГГ"),"Акт  №    от  " &amp; TEXT(TODAY()-DAY(TODAY()),"ДД ММММ ГГГГ"))</f>
        <v>Акт  №    от  31 Март 2026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1"/>
      <c r="C4" s="21"/>
    </row>
    <row r="5" spans="1:7">
      <c r="A5" s="21" t="s">
        <v>130</v>
      </c>
      <c r="B5" s="21"/>
      <c r="C5" s="21"/>
    </row>
    <row r="6" spans="1:7">
      <c r="A6" s="2" t="s">
        <v>118</v>
      </c>
    </row>
    <row r="7" spans="1:7">
      <c r="A7" s="2" t="s">
        <v>131</v>
      </c>
    </row>
    <row r="9" spans="1:7">
      <c r="A9" s="78" t="s">
        <v>0</v>
      </c>
      <c r="B9" s="78" t="s">
        <v>78</v>
      </c>
      <c r="C9" s="78" t="s">
        <v>79</v>
      </c>
      <c r="D9" s="78" t="s">
        <v>80</v>
      </c>
      <c r="E9" s="78" t="s">
        <v>81</v>
      </c>
      <c r="F9" s="78" t="s">
        <v>132</v>
      </c>
      <c r="G9" s="78" t="s">
        <v>133</v>
      </c>
    </row>
    <row r="10" spans="1:7" ht="15.75">
      <c r="A10" s="79">
        <v>1</v>
      </c>
      <c r="B10" s="78" t="s">
        <v>134</v>
      </c>
      <c r="C10" s="79" t="s">
        <v>135</v>
      </c>
      <c r="D10" s="6">
        <v>13</v>
      </c>
      <c r="E10" s="85">
        <v>2000</v>
      </c>
      <c r="F10" s="85">
        <f>SUM(D10*E10)</f>
        <v>26000</v>
      </c>
      <c r="G10" s="85">
        <f>F10*1.22</f>
        <v>31720</v>
      </c>
    </row>
    <row r="11" spans="1:7" ht="15.75">
      <c r="A11" s="79">
        <v>2</v>
      </c>
      <c r="B11" s="78" t="s">
        <v>136</v>
      </c>
      <c r="C11" s="79" t="s">
        <v>135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26000</v>
      </c>
      <c r="G12" s="85">
        <f>SUM(G10:G11)</f>
        <v>31720</v>
      </c>
    </row>
    <row r="13" spans="1:7">
      <c r="A13" s="21" t="s">
        <v>137</v>
      </c>
      <c r="B13" s="21" t="s">
        <v>138</v>
      </c>
      <c r="C13" s="21"/>
      <c r="D13" s="21"/>
    </row>
    <row r="14" spans="1:7">
      <c r="A14" s="21" t="s">
        <v>139</v>
      </c>
      <c r="B14" s="21" t="str">
        <f>B13</f>
        <v>двадцать шесть тысячь рублей ноль копеек</v>
      </c>
      <c r="C14" s="21"/>
      <c r="D14" s="21"/>
    </row>
    <row r="15" spans="1:7">
      <c r="A15" s="21" t="s">
        <v>85</v>
      </c>
      <c r="B15" s="21" t="s">
        <v>140</v>
      </c>
      <c r="F15" s="118"/>
      <c r="G15" s="118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141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96FB-AA99-4657-A6ED-2E009C7A824B}">
  <sheetPr codeName="Лист11"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tr">
        <f ca="1">IF(DAY(TODAY())&gt;27,"Акт  №    от  " &amp; TEXT(TODAY(),"ДД ММММ ГГГГ"),"Акт  №    от  " &amp; TEXT(TODAY()-DAY(TODAY()),"ДД ММММ ГГГГ")) &amp; " г. Нижний Новгород склад Баумана"</f>
        <v>Акт  №    от  31 Март 2026 г. Нижний Новгород склад Баумана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1"/>
      <c r="C4" s="21"/>
    </row>
    <row r="5" spans="1:7">
      <c r="A5" s="21" t="s">
        <v>142</v>
      </c>
      <c r="B5" s="21"/>
      <c r="C5" s="21"/>
    </row>
    <row r="6" spans="1:7">
      <c r="A6" s="2" t="s">
        <v>118</v>
      </c>
    </row>
    <row r="7" spans="1:7">
      <c r="A7" s="2" t="s">
        <v>131</v>
      </c>
    </row>
    <row r="9" spans="1:7">
      <c r="A9" s="78" t="s">
        <v>0</v>
      </c>
      <c r="B9" s="78" t="s">
        <v>78</v>
      </c>
      <c r="C9" s="78" t="s">
        <v>79</v>
      </c>
      <c r="D9" s="78" t="s">
        <v>80</v>
      </c>
      <c r="E9" s="78" t="s">
        <v>81</v>
      </c>
      <c r="F9" s="78" t="s">
        <v>132</v>
      </c>
      <c r="G9" s="78" t="s">
        <v>133</v>
      </c>
    </row>
    <row r="10" spans="1:7" ht="15.75">
      <c r="A10" s="79">
        <v>1</v>
      </c>
      <c r="B10" s="78" t="s">
        <v>134</v>
      </c>
      <c r="C10" s="79" t="s">
        <v>135</v>
      </c>
      <c r="D10" s="6">
        <v>7</v>
      </c>
      <c r="E10" s="85">
        <v>1000</v>
      </c>
      <c r="F10" s="85">
        <f>SUM(D10*E10)</f>
        <v>7000</v>
      </c>
      <c r="G10" s="85">
        <f>F10*1.22</f>
        <v>8540</v>
      </c>
    </row>
    <row r="11" spans="1:7" ht="15.75">
      <c r="A11" s="79">
        <v>2</v>
      </c>
      <c r="B11" s="78" t="s">
        <v>136</v>
      </c>
      <c r="C11" s="79" t="s">
        <v>135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7000</v>
      </c>
      <c r="G12" s="85">
        <f>SUM(G10:G11)</f>
        <v>8540</v>
      </c>
    </row>
    <row r="13" spans="1:7">
      <c r="A13" s="21" t="s">
        <v>137</v>
      </c>
      <c r="B13" s="21" t="s">
        <v>143</v>
      </c>
      <c r="C13" s="21"/>
      <c r="D13" s="21"/>
    </row>
    <row r="14" spans="1:7">
      <c r="A14" s="21" t="s">
        <v>139</v>
      </c>
      <c r="B14" s="21" t="str">
        <f>B13</f>
        <v>семь тысяч рублей ноль копеек</v>
      </c>
      <c r="C14" s="21"/>
      <c r="D14" s="21"/>
    </row>
    <row r="15" spans="1:7">
      <c r="A15" s="21" t="s">
        <v>85</v>
      </c>
      <c r="B15" s="21" t="s">
        <v>144</v>
      </c>
      <c r="F15" s="118"/>
      <c r="G15" s="118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141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E0EB-0460-4CCD-B216-D04DD5A15C8F}">
  <sheetPr codeName="Лист12"/>
  <dimension ref="A1:R36"/>
  <sheetViews>
    <sheetView topLeftCell="A13" zoomScaleNormal="100" workbookViewId="0">
      <selection activeCell="S26" sqref="S26"/>
    </sheetView>
  </sheetViews>
  <sheetFormatPr defaultRowHeight="15"/>
  <cols>
    <col min="1" max="1" width="8.59765625" style="2" customWidth="1"/>
    <col min="2" max="17" width="8.796875" style="2"/>
    <col min="18" max="18" width="7.296875" style="2" customWidth="1"/>
    <col min="19" max="16384" width="8.796875" style="2"/>
  </cols>
  <sheetData>
    <row r="1" spans="1:18">
      <c r="A1" s="119">
        <f>R36</f>
        <v>15573</v>
      </c>
    </row>
    <row r="2" spans="1:18" ht="21">
      <c r="B2" s="76" t="s">
        <v>145</v>
      </c>
    </row>
    <row r="3" spans="1:18" ht="28.9" customHeight="1">
      <c r="A3" s="209" t="s">
        <v>0</v>
      </c>
      <c r="B3" s="211" t="s">
        <v>1</v>
      </c>
      <c r="C3" s="212"/>
      <c r="D3" s="209" t="s">
        <v>146</v>
      </c>
      <c r="E3" s="209" t="s">
        <v>147</v>
      </c>
      <c r="F3" s="209" t="s">
        <v>148</v>
      </c>
      <c r="G3" s="209" t="s">
        <v>149</v>
      </c>
      <c r="H3" s="4" t="s">
        <v>4</v>
      </c>
      <c r="I3" s="209" t="s">
        <v>150</v>
      </c>
      <c r="J3" s="209" t="s">
        <v>151</v>
      </c>
      <c r="K3" s="209" t="s">
        <v>11</v>
      </c>
      <c r="L3" s="209" t="s">
        <v>12</v>
      </c>
      <c r="M3" s="209" t="s">
        <v>152</v>
      </c>
      <c r="N3" s="209" t="s">
        <v>153</v>
      </c>
      <c r="O3" s="209" t="s">
        <v>13</v>
      </c>
      <c r="P3" s="209" t="s">
        <v>154</v>
      </c>
      <c r="Q3" s="209" t="s">
        <v>155</v>
      </c>
      <c r="R3" s="209" t="s">
        <v>18</v>
      </c>
    </row>
    <row r="4" spans="1:18" ht="30">
      <c r="A4" s="210"/>
      <c r="B4" s="213"/>
      <c r="C4" s="214"/>
      <c r="D4" s="210"/>
      <c r="E4" s="210"/>
      <c r="F4" s="210"/>
      <c r="G4" s="210"/>
      <c r="H4" s="5" t="s">
        <v>156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</row>
    <row r="5" spans="1:18">
      <c r="A5" s="6">
        <v>1</v>
      </c>
      <c r="B5" s="233">
        <v>46023</v>
      </c>
      <c r="C5" s="234"/>
      <c r="D5" s="120"/>
      <c r="E5" s="79"/>
      <c r="F5" s="79"/>
      <c r="G5" s="79"/>
      <c r="H5" s="78">
        <v>24</v>
      </c>
      <c r="I5" s="78"/>
      <c r="J5" s="78"/>
      <c r="K5" s="78">
        <f>SUM(D5*171)</f>
        <v>0</v>
      </c>
      <c r="L5" s="78">
        <f>SUM(E5*171)</f>
        <v>0</v>
      </c>
      <c r="M5" s="78">
        <f>F5*1018</f>
        <v>0</v>
      </c>
      <c r="N5" s="78">
        <f>G5*1018</f>
        <v>0</v>
      </c>
      <c r="O5" s="78">
        <f>SUM(H5*22)</f>
        <v>528</v>
      </c>
      <c r="P5" s="78">
        <f>I5*509</f>
        <v>0</v>
      </c>
      <c r="Q5" s="78">
        <f>SUM(J5)*610</f>
        <v>0</v>
      </c>
      <c r="R5" s="78">
        <f>SUM(K5:Q5)</f>
        <v>528</v>
      </c>
    </row>
    <row r="6" spans="1:18">
      <c r="A6" s="6">
        <v>2</v>
      </c>
      <c r="B6" s="233">
        <v>46024</v>
      </c>
      <c r="C6" s="234"/>
      <c r="D6" s="120"/>
      <c r="E6" s="79"/>
      <c r="F6" s="79"/>
      <c r="G6" s="79"/>
      <c r="H6" s="78">
        <f>H5+D6-E5</f>
        <v>24</v>
      </c>
      <c r="I6" s="78"/>
      <c r="J6" s="78"/>
      <c r="K6" s="78">
        <f t="shared" ref="K6:K35" si="0">SUM(D6*171)</f>
        <v>0</v>
      </c>
      <c r="L6" s="78">
        <f t="shared" ref="L6:L35" si="1">SUM(E6*171)</f>
        <v>0</v>
      </c>
      <c r="M6" s="78">
        <f t="shared" ref="M6:N35" si="2">F6*1018</f>
        <v>0</v>
      </c>
      <c r="N6" s="78">
        <f t="shared" si="2"/>
        <v>0</v>
      </c>
      <c r="O6" s="78">
        <f t="shared" ref="O6:O35" si="3">SUM(H6*22)</f>
        <v>528</v>
      </c>
      <c r="P6" s="78">
        <f t="shared" ref="P6:P35" si="4">I6*509</f>
        <v>0</v>
      </c>
      <c r="Q6" s="78">
        <f t="shared" ref="Q6:Q35" si="5">SUM(J6)*610</f>
        <v>0</v>
      </c>
      <c r="R6" s="78">
        <f t="shared" ref="R6:R34" si="6">SUM(K6:Q6)</f>
        <v>528</v>
      </c>
    </row>
    <row r="7" spans="1:18">
      <c r="A7" s="6">
        <v>3</v>
      </c>
      <c r="B7" s="233">
        <v>46025</v>
      </c>
      <c r="C7" s="234"/>
      <c r="D7" s="120"/>
      <c r="E7" s="79"/>
      <c r="F7" s="79"/>
      <c r="G7" s="79"/>
      <c r="H7" s="78">
        <f t="shared" ref="H7:H35" si="7">H6+D7-E6</f>
        <v>24</v>
      </c>
      <c r="I7" s="78"/>
      <c r="J7" s="78"/>
      <c r="K7" s="78">
        <f t="shared" si="0"/>
        <v>0</v>
      </c>
      <c r="L7" s="78">
        <f t="shared" si="1"/>
        <v>0</v>
      </c>
      <c r="M7" s="78">
        <f t="shared" si="2"/>
        <v>0</v>
      </c>
      <c r="N7" s="78">
        <f t="shared" si="2"/>
        <v>0</v>
      </c>
      <c r="O7" s="78">
        <f t="shared" si="3"/>
        <v>528</v>
      </c>
      <c r="P7" s="78">
        <f t="shared" si="4"/>
        <v>0</v>
      </c>
      <c r="Q7" s="78">
        <f t="shared" si="5"/>
        <v>0</v>
      </c>
      <c r="R7" s="78">
        <f t="shared" si="6"/>
        <v>528</v>
      </c>
    </row>
    <row r="8" spans="1:18">
      <c r="A8" s="6">
        <v>4</v>
      </c>
      <c r="B8" s="233">
        <v>46026</v>
      </c>
      <c r="C8" s="234"/>
      <c r="D8" s="120"/>
      <c r="E8" s="79"/>
      <c r="F8" s="79"/>
      <c r="G8" s="79"/>
      <c r="H8" s="78">
        <f t="shared" si="7"/>
        <v>24</v>
      </c>
      <c r="I8" s="78"/>
      <c r="J8" s="78"/>
      <c r="K8" s="78">
        <f t="shared" si="0"/>
        <v>0</v>
      </c>
      <c r="L8" s="78">
        <f t="shared" si="1"/>
        <v>0</v>
      </c>
      <c r="M8" s="78">
        <f t="shared" si="2"/>
        <v>0</v>
      </c>
      <c r="N8" s="78">
        <f t="shared" si="2"/>
        <v>0</v>
      </c>
      <c r="O8" s="78">
        <f t="shared" si="3"/>
        <v>528</v>
      </c>
      <c r="P8" s="78">
        <f t="shared" si="4"/>
        <v>0</v>
      </c>
      <c r="Q8" s="78">
        <f t="shared" si="5"/>
        <v>0</v>
      </c>
      <c r="R8" s="78">
        <f t="shared" si="6"/>
        <v>528</v>
      </c>
    </row>
    <row r="9" spans="1:18">
      <c r="A9" s="121">
        <v>5</v>
      </c>
      <c r="B9" s="233">
        <v>46027</v>
      </c>
      <c r="C9" s="234"/>
      <c r="D9" s="122"/>
      <c r="E9" s="123"/>
      <c r="F9" s="123"/>
      <c r="G9" s="123"/>
      <c r="H9" s="78">
        <f t="shared" si="7"/>
        <v>24</v>
      </c>
      <c r="I9" s="78"/>
      <c r="J9" s="90"/>
      <c r="K9" s="78">
        <f t="shared" si="0"/>
        <v>0</v>
      </c>
      <c r="L9" s="78">
        <f t="shared" si="1"/>
        <v>0</v>
      </c>
      <c r="M9" s="78">
        <f t="shared" si="2"/>
        <v>0</v>
      </c>
      <c r="N9" s="78">
        <f t="shared" si="2"/>
        <v>0</v>
      </c>
      <c r="O9" s="78">
        <f t="shared" si="3"/>
        <v>528</v>
      </c>
      <c r="P9" s="78">
        <f t="shared" si="4"/>
        <v>0</v>
      </c>
      <c r="Q9" s="78">
        <f t="shared" si="5"/>
        <v>0</v>
      </c>
      <c r="R9" s="90">
        <f t="shared" si="6"/>
        <v>528</v>
      </c>
    </row>
    <row r="10" spans="1:18">
      <c r="A10" s="121">
        <v>6</v>
      </c>
      <c r="B10" s="233">
        <v>46028</v>
      </c>
      <c r="C10" s="234"/>
      <c r="D10" s="122"/>
      <c r="E10" s="123"/>
      <c r="F10" s="123"/>
      <c r="G10" s="123"/>
      <c r="H10" s="78">
        <f t="shared" si="7"/>
        <v>24</v>
      </c>
      <c r="I10" s="78"/>
      <c r="J10" s="90"/>
      <c r="K10" s="78">
        <f t="shared" si="0"/>
        <v>0</v>
      </c>
      <c r="L10" s="78">
        <f t="shared" si="1"/>
        <v>0</v>
      </c>
      <c r="M10" s="78">
        <f t="shared" si="2"/>
        <v>0</v>
      </c>
      <c r="N10" s="78">
        <f t="shared" si="2"/>
        <v>0</v>
      </c>
      <c r="O10" s="78">
        <f t="shared" si="3"/>
        <v>528</v>
      </c>
      <c r="P10" s="78">
        <f t="shared" si="4"/>
        <v>0</v>
      </c>
      <c r="Q10" s="78">
        <f t="shared" si="5"/>
        <v>0</v>
      </c>
      <c r="R10" s="90">
        <f t="shared" si="6"/>
        <v>528</v>
      </c>
    </row>
    <row r="11" spans="1:18">
      <c r="A11" s="121">
        <v>7</v>
      </c>
      <c r="B11" s="233">
        <v>46029</v>
      </c>
      <c r="C11" s="234"/>
      <c r="D11" s="122"/>
      <c r="E11" s="123"/>
      <c r="F11" s="123"/>
      <c r="G11" s="123"/>
      <c r="H11" s="78">
        <f t="shared" si="7"/>
        <v>24</v>
      </c>
      <c r="I11" s="78"/>
      <c r="J11" s="90"/>
      <c r="K11" s="78">
        <f t="shared" si="0"/>
        <v>0</v>
      </c>
      <c r="L11" s="78">
        <f t="shared" si="1"/>
        <v>0</v>
      </c>
      <c r="M11" s="78">
        <f t="shared" si="2"/>
        <v>0</v>
      </c>
      <c r="N11" s="78">
        <f t="shared" si="2"/>
        <v>0</v>
      </c>
      <c r="O11" s="78">
        <f t="shared" si="3"/>
        <v>528</v>
      </c>
      <c r="P11" s="78">
        <f t="shared" si="4"/>
        <v>0</v>
      </c>
      <c r="Q11" s="78">
        <f t="shared" si="5"/>
        <v>0</v>
      </c>
      <c r="R11" s="90">
        <f t="shared" si="6"/>
        <v>528</v>
      </c>
    </row>
    <row r="12" spans="1:18">
      <c r="A12" s="121">
        <v>8</v>
      </c>
      <c r="B12" s="233">
        <v>46030</v>
      </c>
      <c r="C12" s="234"/>
      <c r="D12" s="122"/>
      <c r="E12" s="123"/>
      <c r="F12" s="123"/>
      <c r="G12" s="123"/>
      <c r="H12" s="78">
        <f t="shared" si="7"/>
        <v>24</v>
      </c>
      <c r="I12" s="78"/>
      <c r="J12" s="90"/>
      <c r="K12" s="78">
        <f t="shared" si="0"/>
        <v>0</v>
      </c>
      <c r="L12" s="78">
        <f t="shared" si="1"/>
        <v>0</v>
      </c>
      <c r="M12" s="78">
        <f t="shared" si="2"/>
        <v>0</v>
      </c>
      <c r="N12" s="78">
        <f t="shared" si="2"/>
        <v>0</v>
      </c>
      <c r="O12" s="78">
        <f t="shared" si="3"/>
        <v>528</v>
      </c>
      <c r="P12" s="78">
        <f t="shared" si="4"/>
        <v>0</v>
      </c>
      <c r="Q12" s="78">
        <f t="shared" si="5"/>
        <v>0</v>
      </c>
      <c r="R12" s="90">
        <f t="shared" si="6"/>
        <v>528</v>
      </c>
    </row>
    <row r="13" spans="1:18">
      <c r="A13" s="6">
        <v>9</v>
      </c>
      <c r="B13" s="233">
        <v>46031</v>
      </c>
      <c r="C13" s="234"/>
      <c r="D13" s="120"/>
      <c r="E13" s="79"/>
      <c r="F13" s="79"/>
      <c r="G13" s="79"/>
      <c r="H13" s="78">
        <f t="shared" si="7"/>
        <v>24</v>
      </c>
      <c r="I13" s="78"/>
      <c r="J13" s="78"/>
      <c r="K13" s="78">
        <f t="shared" si="0"/>
        <v>0</v>
      </c>
      <c r="L13" s="78">
        <f t="shared" si="1"/>
        <v>0</v>
      </c>
      <c r="M13" s="78">
        <f t="shared" si="2"/>
        <v>0</v>
      </c>
      <c r="N13" s="78">
        <f t="shared" si="2"/>
        <v>0</v>
      </c>
      <c r="O13" s="78">
        <f t="shared" si="3"/>
        <v>528</v>
      </c>
      <c r="P13" s="78">
        <f t="shared" si="4"/>
        <v>0</v>
      </c>
      <c r="Q13" s="78">
        <f t="shared" si="5"/>
        <v>0</v>
      </c>
      <c r="R13" s="78">
        <f t="shared" si="6"/>
        <v>528</v>
      </c>
    </row>
    <row r="14" spans="1:18">
      <c r="A14" s="6">
        <v>10</v>
      </c>
      <c r="B14" s="233">
        <v>46032</v>
      </c>
      <c r="C14" s="234"/>
      <c r="D14" s="120"/>
      <c r="E14" s="79"/>
      <c r="F14" s="79"/>
      <c r="G14" s="79"/>
      <c r="H14" s="78">
        <f t="shared" si="7"/>
        <v>24</v>
      </c>
      <c r="I14" s="78"/>
      <c r="J14" s="78"/>
      <c r="K14" s="78">
        <f t="shared" si="0"/>
        <v>0</v>
      </c>
      <c r="L14" s="78">
        <f t="shared" si="1"/>
        <v>0</v>
      </c>
      <c r="M14" s="78">
        <f t="shared" si="2"/>
        <v>0</v>
      </c>
      <c r="N14" s="78">
        <f t="shared" si="2"/>
        <v>0</v>
      </c>
      <c r="O14" s="78">
        <f t="shared" si="3"/>
        <v>528</v>
      </c>
      <c r="P14" s="78">
        <f t="shared" si="4"/>
        <v>0</v>
      </c>
      <c r="Q14" s="78">
        <f t="shared" si="5"/>
        <v>0</v>
      </c>
      <c r="R14" s="78">
        <f t="shared" si="6"/>
        <v>528</v>
      </c>
    </row>
    <row r="15" spans="1:18">
      <c r="A15" s="121">
        <v>11</v>
      </c>
      <c r="B15" s="233">
        <v>46033</v>
      </c>
      <c r="C15" s="234"/>
      <c r="D15" s="122"/>
      <c r="E15" s="123"/>
      <c r="F15" s="123"/>
      <c r="G15" s="79"/>
      <c r="H15" s="78">
        <f t="shared" si="7"/>
        <v>24</v>
      </c>
      <c r="I15" s="78"/>
      <c r="J15" s="90"/>
      <c r="K15" s="78">
        <f t="shared" si="0"/>
        <v>0</v>
      </c>
      <c r="L15" s="78">
        <f t="shared" si="1"/>
        <v>0</v>
      </c>
      <c r="M15" s="78">
        <f t="shared" si="2"/>
        <v>0</v>
      </c>
      <c r="N15" s="78">
        <f t="shared" si="2"/>
        <v>0</v>
      </c>
      <c r="O15" s="78">
        <f t="shared" si="3"/>
        <v>528</v>
      </c>
      <c r="P15" s="78">
        <f t="shared" si="4"/>
        <v>0</v>
      </c>
      <c r="Q15" s="78">
        <f t="shared" si="5"/>
        <v>0</v>
      </c>
      <c r="R15" s="90">
        <f t="shared" si="6"/>
        <v>528</v>
      </c>
    </row>
    <row r="16" spans="1:18">
      <c r="A16" s="121">
        <v>12</v>
      </c>
      <c r="B16" s="233">
        <v>46034</v>
      </c>
      <c r="C16" s="234"/>
      <c r="D16" s="122"/>
      <c r="E16" s="123"/>
      <c r="F16" s="123"/>
      <c r="G16" s="79"/>
      <c r="H16" s="78">
        <f t="shared" si="7"/>
        <v>24</v>
      </c>
      <c r="I16" s="78"/>
      <c r="J16" s="90"/>
      <c r="K16" s="78">
        <f t="shared" si="0"/>
        <v>0</v>
      </c>
      <c r="L16" s="78">
        <f t="shared" si="1"/>
        <v>0</v>
      </c>
      <c r="M16" s="78">
        <f t="shared" si="2"/>
        <v>0</v>
      </c>
      <c r="N16" s="78">
        <f t="shared" si="2"/>
        <v>0</v>
      </c>
      <c r="O16" s="78">
        <f t="shared" si="3"/>
        <v>528</v>
      </c>
      <c r="P16" s="78">
        <f t="shared" si="4"/>
        <v>0</v>
      </c>
      <c r="Q16" s="78">
        <f t="shared" si="5"/>
        <v>0</v>
      </c>
      <c r="R16" s="90">
        <f t="shared" si="6"/>
        <v>528</v>
      </c>
    </row>
    <row r="17" spans="1:18">
      <c r="A17" s="121">
        <v>13</v>
      </c>
      <c r="B17" s="233">
        <v>46035</v>
      </c>
      <c r="C17" s="234"/>
      <c r="D17" s="122"/>
      <c r="E17" s="123"/>
      <c r="F17" s="123"/>
      <c r="G17" s="79"/>
      <c r="H17" s="78">
        <f t="shared" si="7"/>
        <v>24</v>
      </c>
      <c r="I17" s="78"/>
      <c r="J17" s="90"/>
      <c r="K17" s="78">
        <f t="shared" si="0"/>
        <v>0</v>
      </c>
      <c r="L17" s="78">
        <f t="shared" si="1"/>
        <v>0</v>
      </c>
      <c r="M17" s="78">
        <f t="shared" si="2"/>
        <v>0</v>
      </c>
      <c r="N17" s="78">
        <f t="shared" si="2"/>
        <v>0</v>
      </c>
      <c r="O17" s="78">
        <f t="shared" si="3"/>
        <v>528</v>
      </c>
      <c r="P17" s="78">
        <f t="shared" si="4"/>
        <v>0</v>
      </c>
      <c r="Q17" s="78">
        <f t="shared" si="5"/>
        <v>0</v>
      </c>
      <c r="R17" s="90">
        <f t="shared" si="6"/>
        <v>528</v>
      </c>
    </row>
    <row r="18" spans="1:18">
      <c r="A18" s="121">
        <v>14</v>
      </c>
      <c r="B18" s="233">
        <v>46036</v>
      </c>
      <c r="C18" s="234"/>
      <c r="D18" s="122"/>
      <c r="E18" s="123"/>
      <c r="F18" s="123"/>
      <c r="G18" s="79"/>
      <c r="H18" s="78">
        <f t="shared" si="7"/>
        <v>24</v>
      </c>
      <c r="I18" s="78"/>
      <c r="J18" s="90"/>
      <c r="K18" s="78">
        <f t="shared" si="0"/>
        <v>0</v>
      </c>
      <c r="L18" s="78">
        <f t="shared" si="1"/>
        <v>0</v>
      </c>
      <c r="M18" s="78">
        <f t="shared" si="2"/>
        <v>0</v>
      </c>
      <c r="N18" s="78">
        <f t="shared" si="2"/>
        <v>0</v>
      </c>
      <c r="O18" s="78">
        <f t="shared" si="3"/>
        <v>528</v>
      </c>
      <c r="P18" s="78">
        <f t="shared" si="4"/>
        <v>0</v>
      </c>
      <c r="Q18" s="78">
        <f t="shared" si="5"/>
        <v>0</v>
      </c>
      <c r="R18" s="90">
        <f t="shared" si="6"/>
        <v>528</v>
      </c>
    </row>
    <row r="19" spans="1:18">
      <c r="A19" s="121">
        <v>15</v>
      </c>
      <c r="B19" s="233">
        <v>46037</v>
      </c>
      <c r="C19" s="234"/>
      <c r="D19" s="122"/>
      <c r="E19" s="123"/>
      <c r="F19" s="123"/>
      <c r="G19" s="79"/>
      <c r="H19" s="78">
        <f t="shared" si="7"/>
        <v>24</v>
      </c>
      <c r="I19" s="78"/>
      <c r="J19" s="90"/>
      <c r="K19" s="78">
        <f t="shared" si="0"/>
        <v>0</v>
      </c>
      <c r="L19" s="78">
        <f t="shared" si="1"/>
        <v>0</v>
      </c>
      <c r="M19" s="78">
        <f t="shared" si="2"/>
        <v>0</v>
      </c>
      <c r="N19" s="78">
        <f t="shared" si="2"/>
        <v>0</v>
      </c>
      <c r="O19" s="78">
        <f t="shared" si="3"/>
        <v>528</v>
      </c>
      <c r="P19" s="78">
        <f t="shared" si="4"/>
        <v>0</v>
      </c>
      <c r="Q19" s="78">
        <f t="shared" si="5"/>
        <v>0</v>
      </c>
      <c r="R19" s="90">
        <f t="shared" si="6"/>
        <v>528</v>
      </c>
    </row>
    <row r="20" spans="1:18">
      <c r="A20" s="6">
        <v>16</v>
      </c>
      <c r="B20" s="233">
        <v>46038</v>
      </c>
      <c r="C20" s="234"/>
      <c r="D20" s="120"/>
      <c r="E20" s="79">
        <v>5</v>
      </c>
      <c r="F20" s="79"/>
      <c r="G20" s="123"/>
      <c r="H20" s="78">
        <f t="shared" si="7"/>
        <v>24</v>
      </c>
      <c r="I20" s="78"/>
      <c r="J20" s="78"/>
      <c r="K20" s="78">
        <f t="shared" si="0"/>
        <v>0</v>
      </c>
      <c r="L20" s="78">
        <f t="shared" si="1"/>
        <v>855</v>
      </c>
      <c r="M20" s="78">
        <f t="shared" si="2"/>
        <v>0</v>
      </c>
      <c r="N20" s="78">
        <f t="shared" si="2"/>
        <v>0</v>
      </c>
      <c r="O20" s="78">
        <f t="shared" si="3"/>
        <v>528</v>
      </c>
      <c r="P20" s="78">
        <f t="shared" si="4"/>
        <v>0</v>
      </c>
      <c r="Q20" s="78">
        <f t="shared" si="5"/>
        <v>0</v>
      </c>
      <c r="R20" s="78">
        <f t="shared" si="6"/>
        <v>1383</v>
      </c>
    </row>
    <row r="21" spans="1:18">
      <c r="A21" s="6">
        <v>17</v>
      </c>
      <c r="B21" s="233">
        <v>46039</v>
      </c>
      <c r="C21" s="234"/>
      <c r="D21" s="120"/>
      <c r="E21" s="79"/>
      <c r="F21" s="79"/>
      <c r="G21" s="123"/>
      <c r="H21" s="78">
        <f t="shared" si="7"/>
        <v>19</v>
      </c>
      <c r="I21" s="78"/>
      <c r="J21" s="78"/>
      <c r="K21" s="78">
        <f t="shared" si="0"/>
        <v>0</v>
      </c>
      <c r="L21" s="78">
        <f t="shared" si="1"/>
        <v>0</v>
      </c>
      <c r="M21" s="78">
        <f t="shared" si="2"/>
        <v>0</v>
      </c>
      <c r="N21" s="78">
        <f t="shared" si="2"/>
        <v>0</v>
      </c>
      <c r="O21" s="78">
        <f t="shared" si="3"/>
        <v>418</v>
      </c>
      <c r="P21" s="78">
        <f t="shared" si="4"/>
        <v>0</v>
      </c>
      <c r="Q21" s="78">
        <f t="shared" si="5"/>
        <v>0</v>
      </c>
      <c r="R21" s="78">
        <f t="shared" si="6"/>
        <v>418</v>
      </c>
    </row>
    <row r="22" spans="1:18">
      <c r="A22" s="121">
        <v>18</v>
      </c>
      <c r="B22" s="233">
        <v>46040</v>
      </c>
      <c r="C22" s="234"/>
      <c r="D22" s="122"/>
      <c r="E22" s="123"/>
      <c r="F22" s="123"/>
      <c r="G22" s="123"/>
      <c r="H22" s="78">
        <f t="shared" si="7"/>
        <v>19</v>
      </c>
      <c r="I22" s="90"/>
      <c r="J22" s="90"/>
      <c r="K22" s="78">
        <f t="shared" si="0"/>
        <v>0</v>
      </c>
      <c r="L22" s="78">
        <f t="shared" si="1"/>
        <v>0</v>
      </c>
      <c r="M22" s="78">
        <f t="shared" si="2"/>
        <v>0</v>
      </c>
      <c r="N22" s="78">
        <f t="shared" si="2"/>
        <v>0</v>
      </c>
      <c r="O22" s="78">
        <f t="shared" si="3"/>
        <v>418</v>
      </c>
      <c r="P22" s="78">
        <f t="shared" si="4"/>
        <v>0</v>
      </c>
      <c r="Q22" s="78">
        <f t="shared" si="5"/>
        <v>0</v>
      </c>
      <c r="R22" s="90">
        <f t="shared" si="6"/>
        <v>418</v>
      </c>
    </row>
    <row r="23" spans="1:18">
      <c r="A23" s="121">
        <v>19</v>
      </c>
      <c r="B23" s="233">
        <v>46041</v>
      </c>
      <c r="C23" s="234"/>
      <c r="D23" s="122"/>
      <c r="E23" s="123"/>
      <c r="F23" s="123"/>
      <c r="G23" s="123"/>
      <c r="H23" s="78">
        <f t="shared" si="7"/>
        <v>19</v>
      </c>
      <c r="I23" s="90"/>
      <c r="J23" s="90"/>
      <c r="K23" s="78">
        <f t="shared" si="0"/>
        <v>0</v>
      </c>
      <c r="L23" s="78">
        <f t="shared" si="1"/>
        <v>0</v>
      </c>
      <c r="M23" s="78">
        <f t="shared" si="2"/>
        <v>0</v>
      </c>
      <c r="N23" s="78">
        <f t="shared" si="2"/>
        <v>0</v>
      </c>
      <c r="O23" s="78">
        <f t="shared" si="3"/>
        <v>418</v>
      </c>
      <c r="P23" s="78">
        <f t="shared" si="4"/>
        <v>0</v>
      </c>
      <c r="Q23" s="78">
        <f t="shared" si="5"/>
        <v>0</v>
      </c>
      <c r="R23" s="90">
        <f t="shared" si="6"/>
        <v>418</v>
      </c>
    </row>
    <row r="24" spans="1:18">
      <c r="A24" s="121">
        <v>20</v>
      </c>
      <c r="B24" s="233">
        <v>46042</v>
      </c>
      <c r="C24" s="234"/>
      <c r="D24" s="122"/>
      <c r="E24" s="123"/>
      <c r="F24" s="123"/>
      <c r="G24" s="123"/>
      <c r="H24" s="78">
        <f t="shared" si="7"/>
        <v>19</v>
      </c>
      <c r="I24" s="90"/>
      <c r="J24" s="90"/>
      <c r="K24" s="78">
        <f t="shared" si="0"/>
        <v>0</v>
      </c>
      <c r="L24" s="78">
        <f t="shared" si="1"/>
        <v>0</v>
      </c>
      <c r="M24" s="78">
        <f t="shared" si="2"/>
        <v>0</v>
      </c>
      <c r="N24" s="78">
        <f t="shared" si="2"/>
        <v>0</v>
      </c>
      <c r="O24" s="78">
        <f t="shared" si="3"/>
        <v>418</v>
      </c>
      <c r="P24" s="78">
        <f t="shared" si="4"/>
        <v>0</v>
      </c>
      <c r="Q24" s="78">
        <f t="shared" si="5"/>
        <v>0</v>
      </c>
      <c r="R24" s="90">
        <f t="shared" si="6"/>
        <v>418</v>
      </c>
    </row>
    <row r="25" spans="1:18">
      <c r="A25" s="121">
        <v>21</v>
      </c>
      <c r="B25" s="233">
        <v>46043</v>
      </c>
      <c r="C25" s="234"/>
      <c r="D25" s="122"/>
      <c r="E25" s="123"/>
      <c r="F25" s="123"/>
      <c r="G25" s="123"/>
      <c r="H25" s="78">
        <f t="shared" si="7"/>
        <v>19</v>
      </c>
      <c r="I25" s="90"/>
      <c r="J25" s="90"/>
      <c r="K25" s="78">
        <f t="shared" si="0"/>
        <v>0</v>
      </c>
      <c r="L25" s="78">
        <f t="shared" si="1"/>
        <v>0</v>
      </c>
      <c r="M25" s="78">
        <f t="shared" si="2"/>
        <v>0</v>
      </c>
      <c r="N25" s="78">
        <f t="shared" si="2"/>
        <v>0</v>
      </c>
      <c r="O25" s="78">
        <f t="shared" si="3"/>
        <v>418</v>
      </c>
      <c r="P25" s="78">
        <f t="shared" si="4"/>
        <v>0</v>
      </c>
      <c r="Q25" s="78">
        <f t="shared" si="5"/>
        <v>0</v>
      </c>
      <c r="R25" s="90">
        <f t="shared" si="6"/>
        <v>418</v>
      </c>
    </row>
    <row r="26" spans="1:18">
      <c r="A26" s="121">
        <v>22</v>
      </c>
      <c r="B26" s="233">
        <v>46044</v>
      </c>
      <c r="C26" s="234"/>
      <c r="D26" s="122"/>
      <c r="E26" s="123"/>
      <c r="F26" s="123"/>
      <c r="G26" s="123"/>
      <c r="H26" s="78">
        <f t="shared" si="7"/>
        <v>19</v>
      </c>
      <c r="I26" s="78"/>
      <c r="J26" s="90"/>
      <c r="K26" s="78">
        <f t="shared" si="0"/>
        <v>0</v>
      </c>
      <c r="L26" s="78">
        <f t="shared" si="1"/>
        <v>0</v>
      </c>
      <c r="M26" s="78">
        <f t="shared" si="2"/>
        <v>0</v>
      </c>
      <c r="N26" s="78">
        <f t="shared" si="2"/>
        <v>0</v>
      </c>
      <c r="O26" s="78">
        <f t="shared" si="3"/>
        <v>418</v>
      </c>
      <c r="P26" s="78">
        <f t="shared" si="4"/>
        <v>0</v>
      </c>
      <c r="Q26" s="78">
        <f t="shared" si="5"/>
        <v>0</v>
      </c>
      <c r="R26" s="90">
        <f t="shared" si="6"/>
        <v>418</v>
      </c>
    </row>
    <row r="27" spans="1:18">
      <c r="A27" s="6">
        <v>23</v>
      </c>
      <c r="B27" s="233">
        <v>46045</v>
      </c>
      <c r="C27" s="234"/>
      <c r="D27" s="120"/>
      <c r="E27" s="79"/>
      <c r="F27" s="79"/>
      <c r="G27" s="79"/>
      <c r="H27" s="78">
        <f t="shared" si="7"/>
        <v>19</v>
      </c>
      <c r="I27" s="78"/>
      <c r="J27" s="78"/>
      <c r="K27" s="78">
        <f t="shared" si="0"/>
        <v>0</v>
      </c>
      <c r="L27" s="78">
        <f t="shared" si="1"/>
        <v>0</v>
      </c>
      <c r="M27" s="78">
        <f t="shared" si="2"/>
        <v>0</v>
      </c>
      <c r="N27" s="78">
        <f t="shared" si="2"/>
        <v>0</v>
      </c>
      <c r="O27" s="78">
        <f t="shared" si="3"/>
        <v>418</v>
      </c>
      <c r="P27" s="78">
        <f t="shared" si="4"/>
        <v>0</v>
      </c>
      <c r="Q27" s="78">
        <f t="shared" si="5"/>
        <v>0</v>
      </c>
      <c r="R27" s="78">
        <f t="shared" si="6"/>
        <v>418</v>
      </c>
    </row>
    <row r="28" spans="1:18">
      <c r="A28" s="6">
        <v>24</v>
      </c>
      <c r="B28" s="233">
        <v>46046</v>
      </c>
      <c r="C28" s="234"/>
      <c r="D28" s="120"/>
      <c r="E28" s="79"/>
      <c r="F28" s="79"/>
      <c r="G28" s="79"/>
      <c r="H28" s="78">
        <f t="shared" si="7"/>
        <v>19</v>
      </c>
      <c r="I28" s="78"/>
      <c r="J28" s="78"/>
      <c r="K28" s="78">
        <f t="shared" si="0"/>
        <v>0</v>
      </c>
      <c r="L28" s="78">
        <f t="shared" si="1"/>
        <v>0</v>
      </c>
      <c r="M28" s="78">
        <f t="shared" si="2"/>
        <v>0</v>
      </c>
      <c r="N28" s="78">
        <f t="shared" si="2"/>
        <v>0</v>
      </c>
      <c r="O28" s="78">
        <f t="shared" si="3"/>
        <v>418</v>
      </c>
      <c r="P28" s="78">
        <f t="shared" si="4"/>
        <v>0</v>
      </c>
      <c r="Q28" s="78">
        <f t="shared" si="5"/>
        <v>0</v>
      </c>
      <c r="R28" s="78">
        <f t="shared" si="6"/>
        <v>418</v>
      </c>
    </row>
    <row r="29" spans="1:18">
      <c r="A29" s="121">
        <v>25</v>
      </c>
      <c r="B29" s="233">
        <v>46047</v>
      </c>
      <c r="C29" s="234"/>
      <c r="D29" s="122"/>
      <c r="E29" s="123"/>
      <c r="F29" s="123"/>
      <c r="G29" s="123"/>
      <c r="H29" s="78">
        <f t="shared" si="7"/>
        <v>19</v>
      </c>
      <c r="I29" s="78"/>
      <c r="J29" s="90"/>
      <c r="K29" s="78">
        <f t="shared" si="0"/>
        <v>0</v>
      </c>
      <c r="L29" s="78">
        <f t="shared" si="1"/>
        <v>0</v>
      </c>
      <c r="M29" s="78">
        <f t="shared" si="2"/>
        <v>0</v>
      </c>
      <c r="N29" s="78">
        <f t="shared" si="2"/>
        <v>0</v>
      </c>
      <c r="O29" s="78">
        <f t="shared" si="3"/>
        <v>418</v>
      </c>
      <c r="P29" s="78">
        <f t="shared" si="4"/>
        <v>0</v>
      </c>
      <c r="Q29" s="78">
        <f t="shared" si="5"/>
        <v>0</v>
      </c>
      <c r="R29" s="90">
        <f t="shared" si="6"/>
        <v>418</v>
      </c>
    </row>
    <row r="30" spans="1:18">
      <c r="A30" s="121">
        <v>26</v>
      </c>
      <c r="B30" s="233">
        <v>46048</v>
      </c>
      <c r="C30" s="234"/>
      <c r="D30" s="122"/>
      <c r="E30" s="123"/>
      <c r="F30" s="123"/>
      <c r="G30" s="123"/>
      <c r="H30" s="78">
        <f t="shared" si="7"/>
        <v>19</v>
      </c>
      <c r="I30" s="78"/>
      <c r="J30" s="90"/>
      <c r="K30" s="78">
        <f t="shared" si="0"/>
        <v>0</v>
      </c>
      <c r="L30" s="78">
        <f t="shared" si="1"/>
        <v>0</v>
      </c>
      <c r="M30" s="78">
        <f t="shared" si="2"/>
        <v>0</v>
      </c>
      <c r="N30" s="78">
        <f t="shared" si="2"/>
        <v>0</v>
      </c>
      <c r="O30" s="78">
        <f t="shared" si="3"/>
        <v>418</v>
      </c>
      <c r="P30" s="78">
        <f t="shared" si="4"/>
        <v>0</v>
      </c>
      <c r="Q30" s="78">
        <f t="shared" si="5"/>
        <v>0</v>
      </c>
      <c r="R30" s="90">
        <f t="shared" si="6"/>
        <v>418</v>
      </c>
    </row>
    <row r="31" spans="1:18">
      <c r="A31" s="121">
        <v>27</v>
      </c>
      <c r="B31" s="233">
        <v>46049</v>
      </c>
      <c r="C31" s="234"/>
      <c r="D31" s="122"/>
      <c r="E31" s="123"/>
      <c r="F31" s="123"/>
      <c r="G31" s="123"/>
      <c r="H31" s="78">
        <f t="shared" si="7"/>
        <v>19</v>
      </c>
      <c r="I31" s="78"/>
      <c r="J31" s="90"/>
      <c r="K31" s="78">
        <f t="shared" si="0"/>
        <v>0</v>
      </c>
      <c r="L31" s="78">
        <f t="shared" si="1"/>
        <v>0</v>
      </c>
      <c r="M31" s="78">
        <f t="shared" si="2"/>
        <v>0</v>
      </c>
      <c r="N31" s="78">
        <f t="shared" si="2"/>
        <v>0</v>
      </c>
      <c r="O31" s="78">
        <f t="shared" si="3"/>
        <v>418</v>
      </c>
      <c r="P31" s="78">
        <f t="shared" si="4"/>
        <v>0</v>
      </c>
      <c r="Q31" s="78">
        <f t="shared" si="5"/>
        <v>0</v>
      </c>
      <c r="R31" s="90">
        <f t="shared" si="6"/>
        <v>418</v>
      </c>
    </row>
    <row r="32" spans="1:18">
      <c r="A32" s="121">
        <v>28</v>
      </c>
      <c r="B32" s="233">
        <v>46050</v>
      </c>
      <c r="C32" s="234"/>
      <c r="D32" s="122"/>
      <c r="E32" s="123"/>
      <c r="F32" s="123"/>
      <c r="G32" s="123"/>
      <c r="H32" s="78">
        <f t="shared" si="7"/>
        <v>19</v>
      </c>
      <c r="I32" s="78"/>
      <c r="J32" s="90"/>
      <c r="K32" s="78">
        <f t="shared" si="0"/>
        <v>0</v>
      </c>
      <c r="L32" s="78">
        <f t="shared" si="1"/>
        <v>0</v>
      </c>
      <c r="M32" s="78">
        <f t="shared" si="2"/>
        <v>0</v>
      </c>
      <c r="N32" s="78">
        <f t="shared" si="2"/>
        <v>0</v>
      </c>
      <c r="O32" s="78">
        <f t="shared" si="3"/>
        <v>418</v>
      </c>
      <c r="P32" s="78">
        <f t="shared" si="4"/>
        <v>0</v>
      </c>
      <c r="Q32" s="78">
        <f t="shared" si="5"/>
        <v>0</v>
      </c>
      <c r="R32" s="90">
        <f t="shared" si="6"/>
        <v>418</v>
      </c>
    </row>
    <row r="33" spans="1:18">
      <c r="A33" s="121">
        <v>29</v>
      </c>
      <c r="B33" s="233">
        <v>46051</v>
      </c>
      <c r="C33" s="234"/>
      <c r="D33" s="122"/>
      <c r="E33" s="123"/>
      <c r="F33" s="123"/>
      <c r="G33" s="123"/>
      <c r="H33" s="78">
        <f t="shared" si="7"/>
        <v>19</v>
      </c>
      <c r="I33" s="78"/>
      <c r="J33" s="90"/>
      <c r="K33" s="78">
        <f t="shared" si="0"/>
        <v>0</v>
      </c>
      <c r="L33" s="78">
        <f t="shared" si="1"/>
        <v>0</v>
      </c>
      <c r="M33" s="78">
        <f t="shared" si="2"/>
        <v>0</v>
      </c>
      <c r="N33" s="78">
        <f t="shared" si="2"/>
        <v>0</v>
      </c>
      <c r="O33" s="78">
        <f t="shared" si="3"/>
        <v>418</v>
      </c>
      <c r="P33" s="78">
        <f t="shared" si="4"/>
        <v>0</v>
      </c>
      <c r="Q33" s="78">
        <f t="shared" si="5"/>
        <v>0</v>
      </c>
      <c r="R33" s="90">
        <f t="shared" si="6"/>
        <v>418</v>
      </c>
    </row>
    <row r="34" spans="1:18">
      <c r="A34" s="121">
        <v>30</v>
      </c>
      <c r="B34" s="233">
        <v>46052</v>
      </c>
      <c r="C34" s="234"/>
      <c r="D34" s="122"/>
      <c r="E34" s="123"/>
      <c r="F34" s="123"/>
      <c r="G34" s="123"/>
      <c r="H34" s="78">
        <f t="shared" si="7"/>
        <v>19</v>
      </c>
      <c r="I34" s="78"/>
      <c r="J34" s="90"/>
      <c r="K34" s="78">
        <f t="shared" si="0"/>
        <v>0</v>
      </c>
      <c r="L34" s="78">
        <f t="shared" si="1"/>
        <v>0</v>
      </c>
      <c r="M34" s="78">
        <f t="shared" si="2"/>
        <v>0</v>
      </c>
      <c r="N34" s="78">
        <f t="shared" si="2"/>
        <v>0</v>
      </c>
      <c r="O34" s="78">
        <f t="shared" si="3"/>
        <v>418</v>
      </c>
      <c r="P34" s="78">
        <f t="shared" si="4"/>
        <v>0</v>
      </c>
      <c r="Q34" s="78">
        <f t="shared" si="5"/>
        <v>0</v>
      </c>
      <c r="R34" s="90">
        <f t="shared" si="6"/>
        <v>418</v>
      </c>
    </row>
    <row r="35" spans="1:18" ht="15.75" thickBot="1">
      <c r="A35" s="121">
        <v>31</v>
      </c>
      <c r="B35" s="233">
        <v>46053</v>
      </c>
      <c r="C35" s="234"/>
      <c r="D35" s="122"/>
      <c r="E35" s="123"/>
      <c r="F35" s="123"/>
      <c r="G35" s="123"/>
      <c r="H35" s="78">
        <f t="shared" si="7"/>
        <v>19</v>
      </c>
      <c r="I35" s="78"/>
      <c r="J35" s="90"/>
      <c r="K35" s="78">
        <f t="shared" si="0"/>
        <v>0</v>
      </c>
      <c r="L35" s="78">
        <f t="shared" si="1"/>
        <v>0</v>
      </c>
      <c r="M35" s="78">
        <f t="shared" si="2"/>
        <v>0</v>
      </c>
      <c r="N35" s="78">
        <f t="shared" si="2"/>
        <v>0</v>
      </c>
      <c r="O35" s="78">
        <f t="shared" si="3"/>
        <v>418</v>
      </c>
      <c r="P35" s="78">
        <f t="shared" si="4"/>
        <v>0</v>
      </c>
      <c r="Q35" s="78">
        <f t="shared" si="5"/>
        <v>0</v>
      </c>
      <c r="R35" s="90">
        <f t="shared" ref="R35" si="8">SUM(K35:Q35)</f>
        <v>418</v>
      </c>
    </row>
    <row r="36" spans="1:18" ht="15.75" thickBot="1">
      <c r="D36" s="104">
        <f>SUM(D5:D35)</f>
        <v>0</v>
      </c>
      <c r="E36" s="124">
        <f>SUM(E5:E35)</f>
        <v>5</v>
      </c>
      <c r="F36" s="124">
        <f>SUM(F5:F35)</f>
        <v>0</v>
      </c>
      <c r="G36" s="124"/>
      <c r="H36" s="125">
        <f>SUM(H5:H35)</f>
        <v>669</v>
      </c>
      <c r="I36" s="126"/>
      <c r="J36" s="124"/>
      <c r="K36" s="124">
        <f>SUM(K5:K35)</f>
        <v>0</v>
      </c>
      <c r="L36" s="124">
        <f t="shared" ref="L36:Q36" si="9">SUM(L5:L35)</f>
        <v>855</v>
      </c>
      <c r="M36" s="124">
        <f t="shared" si="9"/>
        <v>0</v>
      </c>
      <c r="N36" s="124">
        <f t="shared" si="9"/>
        <v>0</v>
      </c>
      <c r="O36" s="124">
        <f t="shared" si="9"/>
        <v>14718</v>
      </c>
      <c r="P36" s="124">
        <f t="shared" si="9"/>
        <v>0</v>
      </c>
      <c r="Q36" s="124">
        <f t="shared" si="9"/>
        <v>0</v>
      </c>
      <c r="R36" s="127">
        <f>SUM(R5:R35)</f>
        <v>15573</v>
      </c>
    </row>
  </sheetData>
  <mergeCells count="47">
    <mergeCell ref="B31:C31"/>
    <mergeCell ref="B32:C32"/>
    <mergeCell ref="B33:C33"/>
    <mergeCell ref="B34:C34"/>
    <mergeCell ref="B35:C35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O3:O4"/>
    <mergeCell ref="P3:P4"/>
    <mergeCell ref="Q3:Q4"/>
    <mergeCell ref="R3:R4"/>
    <mergeCell ref="B5:C5"/>
    <mergeCell ref="M3:M4"/>
    <mergeCell ref="N3:N4"/>
    <mergeCell ref="B6:C6"/>
    <mergeCell ref="I3:I4"/>
    <mergeCell ref="J3:J4"/>
    <mergeCell ref="K3:K4"/>
    <mergeCell ref="L3:L4"/>
    <mergeCell ref="G3:G4"/>
    <mergeCell ref="A3:A4"/>
    <mergeCell ref="B3:C4"/>
    <mergeCell ref="D3:D4"/>
    <mergeCell ref="E3:E4"/>
    <mergeCell ref="F3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E22B-DA1A-4192-9FB0-DA9CFD5064CE}">
  <sheetPr codeName="Лист13"/>
  <dimension ref="A1:R36"/>
  <sheetViews>
    <sheetView topLeftCell="A13" workbookViewId="0">
      <selection sqref="A1:R35"/>
    </sheetView>
  </sheetViews>
  <sheetFormatPr defaultRowHeight="15"/>
  <cols>
    <col min="1" max="1" width="6.8984375" style="2" customWidth="1"/>
    <col min="2" max="17" width="8.796875" style="2"/>
    <col min="18" max="18" width="7.296875" style="2" customWidth="1"/>
    <col min="19" max="16384" width="8.796875" style="2"/>
  </cols>
  <sheetData>
    <row r="1" spans="1:18">
      <c r="A1" s="119">
        <f>R36</f>
        <v>669.60000000000036</v>
      </c>
    </row>
    <row r="2" spans="1:18" ht="21">
      <c r="B2" s="76" t="s">
        <v>145</v>
      </c>
    </row>
    <row r="3" spans="1:18" ht="28.9" customHeight="1">
      <c r="A3" s="209" t="s">
        <v>0</v>
      </c>
      <c r="B3" s="211" t="s">
        <v>1</v>
      </c>
      <c r="C3" s="212"/>
      <c r="D3" s="209" t="s">
        <v>146</v>
      </c>
      <c r="E3" s="209" t="s">
        <v>147</v>
      </c>
      <c r="F3" s="209" t="s">
        <v>148</v>
      </c>
      <c r="G3" s="209" t="s">
        <v>149</v>
      </c>
      <c r="H3" s="4" t="s">
        <v>4</v>
      </c>
      <c r="I3" s="209" t="s">
        <v>150</v>
      </c>
      <c r="J3" s="209" t="s">
        <v>151</v>
      </c>
      <c r="K3" s="209" t="s">
        <v>11</v>
      </c>
      <c r="L3" s="209" t="s">
        <v>12</v>
      </c>
      <c r="M3" s="209" t="s">
        <v>152</v>
      </c>
      <c r="N3" s="209" t="s">
        <v>153</v>
      </c>
      <c r="O3" s="209" t="s">
        <v>13</v>
      </c>
      <c r="P3" s="209" t="s">
        <v>154</v>
      </c>
      <c r="Q3" s="209" t="s">
        <v>155</v>
      </c>
      <c r="R3" s="209" t="s">
        <v>18</v>
      </c>
    </row>
    <row r="4" spans="1:18" ht="30">
      <c r="A4" s="210"/>
      <c r="B4" s="213"/>
      <c r="C4" s="214"/>
      <c r="D4" s="210"/>
      <c r="E4" s="210"/>
      <c r="F4" s="210"/>
      <c r="G4" s="210"/>
      <c r="H4" s="5" t="s">
        <v>156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</row>
    <row r="5" spans="1:18">
      <c r="A5" s="6">
        <v>1</v>
      </c>
      <c r="B5" s="233">
        <v>46023</v>
      </c>
      <c r="C5" s="234"/>
      <c r="D5" s="120"/>
      <c r="E5" s="79"/>
      <c r="F5" s="79"/>
      <c r="G5" s="79"/>
      <c r="H5" s="78">
        <v>1</v>
      </c>
      <c r="I5" s="78"/>
      <c r="J5" s="78"/>
      <c r="K5" s="78">
        <f t="shared" ref="K5:K29" si="0">SUM(D5*168)</f>
        <v>0</v>
      </c>
      <c r="L5" s="78">
        <f>SUM(E5*168)</f>
        <v>0</v>
      </c>
      <c r="M5" s="78">
        <f>F5*1000</f>
        <v>0</v>
      </c>
      <c r="N5" s="78">
        <f>G5*1000</f>
        <v>0</v>
      </c>
      <c r="O5" s="78">
        <f>SUM(H5*21.6)</f>
        <v>21.6</v>
      </c>
      <c r="P5" s="78">
        <f>I5*500</f>
        <v>0</v>
      </c>
      <c r="Q5" s="78">
        <f>SUM(J5)*600</f>
        <v>0</v>
      </c>
      <c r="R5" s="78">
        <f>SUM(K5:Q5)</f>
        <v>21.6</v>
      </c>
    </row>
    <row r="6" spans="1:18">
      <c r="A6" s="6">
        <v>2</v>
      </c>
      <c r="B6" s="233">
        <v>46024</v>
      </c>
      <c r="C6" s="234"/>
      <c r="D6" s="120"/>
      <c r="E6" s="79"/>
      <c r="F6" s="79"/>
      <c r="G6" s="79"/>
      <c r="H6" s="78">
        <v>1</v>
      </c>
      <c r="I6" s="78"/>
      <c r="J6" s="78"/>
      <c r="K6" s="78">
        <f t="shared" si="0"/>
        <v>0</v>
      </c>
      <c r="L6" s="78">
        <f t="shared" ref="L6:L34" si="1">SUM(E6*168)</f>
        <v>0</v>
      </c>
      <c r="M6" s="78">
        <f t="shared" ref="M6:N34" si="2">F6*1000</f>
        <v>0</v>
      </c>
      <c r="N6" s="78">
        <f t="shared" si="2"/>
        <v>0</v>
      </c>
      <c r="O6" s="78">
        <f t="shared" ref="O6:O35" si="3">SUM(H6*21.6)</f>
        <v>21.6</v>
      </c>
      <c r="P6" s="78">
        <f t="shared" ref="P6:P35" si="4">I6*500</f>
        <v>0</v>
      </c>
      <c r="Q6" s="78">
        <f t="shared" ref="Q6:Q35" si="5">SUM(J6)*600</f>
        <v>0</v>
      </c>
      <c r="R6" s="78">
        <f t="shared" ref="R6:R35" si="6">SUM(K6:Q6)</f>
        <v>21.6</v>
      </c>
    </row>
    <row r="7" spans="1:18">
      <c r="A7" s="6">
        <v>3</v>
      </c>
      <c r="B7" s="233">
        <v>46025</v>
      </c>
      <c r="C7" s="234"/>
      <c r="D7" s="120"/>
      <c r="E7" s="79"/>
      <c r="F7" s="79"/>
      <c r="G7" s="79"/>
      <c r="H7" s="78">
        <v>1</v>
      </c>
      <c r="I7" s="78"/>
      <c r="J7" s="78"/>
      <c r="K7" s="78">
        <f t="shared" si="0"/>
        <v>0</v>
      </c>
      <c r="L7" s="78">
        <f t="shared" si="1"/>
        <v>0</v>
      </c>
      <c r="M7" s="78">
        <f t="shared" si="2"/>
        <v>0</v>
      </c>
      <c r="N7" s="78">
        <f t="shared" si="2"/>
        <v>0</v>
      </c>
      <c r="O7" s="78">
        <f t="shared" si="3"/>
        <v>21.6</v>
      </c>
      <c r="P7" s="78">
        <f t="shared" si="4"/>
        <v>0</v>
      </c>
      <c r="Q7" s="78">
        <f t="shared" si="5"/>
        <v>0</v>
      </c>
      <c r="R7" s="78">
        <f t="shared" si="6"/>
        <v>21.6</v>
      </c>
    </row>
    <row r="8" spans="1:18">
      <c r="A8" s="6">
        <v>4</v>
      </c>
      <c r="B8" s="233">
        <v>46026</v>
      </c>
      <c r="C8" s="234"/>
      <c r="D8" s="120"/>
      <c r="E8" s="79"/>
      <c r="F8" s="79"/>
      <c r="G8" s="79"/>
      <c r="H8" s="78">
        <v>1</v>
      </c>
      <c r="I8" s="78"/>
      <c r="J8" s="78"/>
      <c r="K8" s="78">
        <f t="shared" si="0"/>
        <v>0</v>
      </c>
      <c r="L8" s="78">
        <f t="shared" si="1"/>
        <v>0</v>
      </c>
      <c r="M8" s="78">
        <f t="shared" si="2"/>
        <v>0</v>
      </c>
      <c r="N8" s="78">
        <f t="shared" si="2"/>
        <v>0</v>
      </c>
      <c r="O8" s="78">
        <f t="shared" si="3"/>
        <v>21.6</v>
      </c>
      <c r="P8" s="78">
        <f t="shared" si="4"/>
        <v>0</v>
      </c>
      <c r="Q8" s="78">
        <f t="shared" si="5"/>
        <v>0</v>
      </c>
      <c r="R8" s="78">
        <f t="shared" si="6"/>
        <v>21.6</v>
      </c>
    </row>
    <row r="9" spans="1:18">
      <c r="A9" s="121">
        <v>5</v>
      </c>
      <c r="B9" s="233">
        <v>46027</v>
      </c>
      <c r="C9" s="234"/>
      <c r="D9" s="122"/>
      <c r="E9" s="123"/>
      <c r="F9" s="123"/>
      <c r="G9" s="123"/>
      <c r="H9" s="78">
        <v>1</v>
      </c>
      <c r="I9" s="78"/>
      <c r="J9" s="90"/>
      <c r="K9" s="78">
        <f t="shared" si="0"/>
        <v>0</v>
      </c>
      <c r="L9" s="78">
        <f t="shared" si="1"/>
        <v>0</v>
      </c>
      <c r="M9" s="78">
        <f t="shared" si="2"/>
        <v>0</v>
      </c>
      <c r="N9" s="78">
        <f t="shared" si="2"/>
        <v>0</v>
      </c>
      <c r="O9" s="78">
        <f t="shared" si="3"/>
        <v>21.6</v>
      </c>
      <c r="P9" s="78">
        <f t="shared" si="4"/>
        <v>0</v>
      </c>
      <c r="Q9" s="78">
        <f t="shared" si="5"/>
        <v>0</v>
      </c>
      <c r="R9" s="90">
        <f t="shared" si="6"/>
        <v>21.6</v>
      </c>
    </row>
    <row r="10" spans="1:18">
      <c r="A10" s="121">
        <v>6</v>
      </c>
      <c r="B10" s="233">
        <v>46028</v>
      </c>
      <c r="C10" s="234"/>
      <c r="D10" s="122"/>
      <c r="E10" s="123"/>
      <c r="F10" s="123"/>
      <c r="G10" s="123"/>
      <c r="H10" s="78">
        <v>1</v>
      </c>
      <c r="I10" s="78"/>
      <c r="J10" s="90"/>
      <c r="K10" s="78">
        <f t="shared" si="0"/>
        <v>0</v>
      </c>
      <c r="L10" s="78">
        <f t="shared" si="1"/>
        <v>0</v>
      </c>
      <c r="M10" s="78">
        <f t="shared" si="2"/>
        <v>0</v>
      </c>
      <c r="N10" s="78">
        <f t="shared" si="2"/>
        <v>0</v>
      </c>
      <c r="O10" s="78">
        <f t="shared" si="3"/>
        <v>21.6</v>
      </c>
      <c r="P10" s="78">
        <f t="shared" si="4"/>
        <v>0</v>
      </c>
      <c r="Q10" s="78">
        <f t="shared" si="5"/>
        <v>0</v>
      </c>
      <c r="R10" s="90">
        <f t="shared" si="6"/>
        <v>21.6</v>
      </c>
    </row>
    <row r="11" spans="1:18">
      <c r="A11" s="121">
        <v>7</v>
      </c>
      <c r="B11" s="233">
        <v>46029</v>
      </c>
      <c r="C11" s="234"/>
      <c r="D11" s="122"/>
      <c r="E11" s="123"/>
      <c r="F11" s="123"/>
      <c r="G11" s="123"/>
      <c r="H11" s="78">
        <v>1</v>
      </c>
      <c r="I11" s="78"/>
      <c r="J11" s="90"/>
      <c r="K11" s="78">
        <f t="shared" si="0"/>
        <v>0</v>
      </c>
      <c r="L11" s="78">
        <f t="shared" si="1"/>
        <v>0</v>
      </c>
      <c r="M11" s="78">
        <f t="shared" si="2"/>
        <v>0</v>
      </c>
      <c r="N11" s="78">
        <f t="shared" si="2"/>
        <v>0</v>
      </c>
      <c r="O11" s="78">
        <f t="shared" si="3"/>
        <v>21.6</v>
      </c>
      <c r="P11" s="78">
        <f t="shared" si="4"/>
        <v>0</v>
      </c>
      <c r="Q11" s="78">
        <f t="shared" si="5"/>
        <v>0</v>
      </c>
      <c r="R11" s="90">
        <f t="shared" si="6"/>
        <v>21.6</v>
      </c>
    </row>
    <row r="12" spans="1:18">
      <c r="A12" s="121">
        <v>8</v>
      </c>
      <c r="B12" s="233">
        <v>46030</v>
      </c>
      <c r="C12" s="234"/>
      <c r="D12" s="122"/>
      <c r="E12" s="123"/>
      <c r="F12" s="123"/>
      <c r="G12" s="123"/>
      <c r="H12" s="78">
        <v>1</v>
      </c>
      <c r="I12" s="78"/>
      <c r="J12" s="90"/>
      <c r="K12" s="78">
        <f t="shared" si="0"/>
        <v>0</v>
      </c>
      <c r="L12" s="78">
        <f t="shared" si="1"/>
        <v>0</v>
      </c>
      <c r="M12" s="78">
        <f t="shared" si="2"/>
        <v>0</v>
      </c>
      <c r="N12" s="78">
        <f t="shared" si="2"/>
        <v>0</v>
      </c>
      <c r="O12" s="78">
        <f t="shared" si="3"/>
        <v>21.6</v>
      </c>
      <c r="P12" s="78">
        <f t="shared" si="4"/>
        <v>0</v>
      </c>
      <c r="Q12" s="78">
        <f t="shared" si="5"/>
        <v>0</v>
      </c>
      <c r="R12" s="90">
        <f t="shared" si="6"/>
        <v>21.6</v>
      </c>
    </row>
    <row r="13" spans="1:18">
      <c r="A13" s="6">
        <v>9</v>
      </c>
      <c r="B13" s="233">
        <v>46031</v>
      </c>
      <c r="C13" s="234"/>
      <c r="D13" s="120"/>
      <c r="E13" s="79"/>
      <c r="F13" s="79"/>
      <c r="G13" s="79"/>
      <c r="H13" s="78">
        <v>1</v>
      </c>
      <c r="I13" s="78"/>
      <c r="J13" s="78"/>
      <c r="K13" s="78">
        <f t="shared" si="0"/>
        <v>0</v>
      </c>
      <c r="L13" s="78">
        <f t="shared" si="1"/>
        <v>0</v>
      </c>
      <c r="M13" s="78">
        <f t="shared" si="2"/>
        <v>0</v>
      </c>
      <c r="N13" s="78">
        <f t="shared" si="2"/>
        <v>0</v>
      </c>
      <c r="O13" s="78">
        <f t="shared" si="3"/>
        <v>21.6</v>
      </c>
      <c r="P13" s="78">
        <f t="shared" si="4"/>
        <v>0</v>
      </c>
      <c r="Q13" s="78">
        <f t="shared" si="5"/>
        <v>0</v>
      </c>
      <c r="R13" s="78">
        <f t="shared" si="6"/>
        <v>21.6</v>
      </c>
    </row>
    <row r="14" spans="1:18">
      <c r="A14" s="6">
        <v>10</v>
      </c>
      <c r="B14" s="233">
        <v>46032</v>
      </c>
      <c r="C14" s="234"/>
      <c r="D14" s="120"/>
      <c r="E14" s="79"/>
      <c r="F14" s="79"/>
      <c r="G14" s="79"/>
      <c r="H14" s="78">
        <v>1</v>
      </c>
      <c r="I14" s="78"/>
      <c r="J14" s="78"/>
      <c r="K14" s="78">
        <f t="shared" si="0"/>
        <v>0</v>
      </c>
      <c r="L14" s="78">
        <f t="shared" si="1"/>
        <v>0</v>
      </c>
      <c r="M14" s="78">
        <f t="shared" si="2"/>
        <v>0</v>
      </c>
      <c r="N14" s="78">
        <f t="shared" si="2"/>
        <v>0</v>
      </c>
      <c r="O14" s="78">
        <f t="shared" si="3"/>
        <v>21.6</v>
      </c>
      <c r="P14" s="78">
        <f t="shared" si="4"/>
        <v>0</v>
      </c>
      <c r="Q14" s="78">
        <f t="shared" si="5"/>
        <v>0</v>
      </c>
      <c r="R14" s="78">
        <f t="shared" si="6"/>
        <v>21.6</v>
      </c>
    </row>
    <row r="15" spans="1:18">
      <c r="A15" s="121">
        <v>11</v>
      </c>
      <c r="B15" s="233">
        <v>46033</v>
      </c>
      <c r="C15" s="234"/>
      <c r="D15" s="122"/>
      <c r="E15" s="123"/>
      <c r="F15" s="123"/>
      <c r="G15" s="79"/>
      <c r="H15" s="78">
        <v>1</v>
      </c>
      <c r="I15" s="78"/>
      <c r="J15" s="90"/>
      <c r="K15" s="78">
        <f t="shared" si="0"/>
        <v>0</v>
      </c>
      <c r="L15" s="78">
        <f t="shared" si="1"/>
        <v>0</v>
      </c>
      <c r="M15" s="78">
        <f t="shared" si="2"/>
        <v>0</v>
      </c>
      <c r="N15" s="78">
        <f t="shared" si="2"/>
        <v>0</v>
      </c>
      <c r="O15" s="78">
        <f t="shared" si="3"/>
        <v>21.6</v>
      </c>
      <c r="P15" s="78">
        <f t="shared" si="4"/>
        <v>0</v>
      </c>
      <c r="Q15" s="78">
        <f t="shared" si="5"/>
        <v>0</v>
      </c>
      <c r="R15" s="90">
        <f t="shared" si="6"/>
        <v>21.6</v>
      </c>
    </row>
    <row r="16" spans="1:18">
      <c r="A16" s="121">
        <v>12</v>
      </c>
      <c r="B16" s="233">
        <v>46034</v>
      </c>
      <c r="C16" s="234"/>
      <c r="D16" s="122"/>
      <c r="E16" s="123"/>
      <c r="F16" s="123"/>
      <c r="G16" s="79"/>
      <c r="H16" s="78">
        <v>1</v>
      </c>
      <c r="I16" s="78"/>
      <c r="J16" s="90"/>
      <c r="K16" s="78">
        <f t="shared" si="0"/>
        <v>0</v>
      </c>
      <c r="L16" s="78">
        <f t="shared" si="1"/>
        <v>0</v>
      </c>
      <c r="M16" s="78">
        <f t="shared" si="2"/>
        <v>0</v>
      </c>
      <c r="N16" s="78">
        <f t="shared" si="2"/>
        <v>0</v>
      </c>
      <c r="O16" s="78">
        <f t="shared" si="3"/>
        <v>21.6</v>
      </c>
      <c r="P16" s="78">
        <f t="shared" si="4"/>
        <v>0</v>
      </c>
      <c r="Q16" s="78">
        <f t="shared" si="5"/>
        <v>0</v>
      </c>
      <c r="R16" s="90">
        <f t="shared" si="6"/>
        <v>21.6</v>
      </c>
    </row>
    <row r="17" spans="1:18">
      <c r="A17" s="121">
        <v>13</v>
      </c>
      <c r="B17" s="233">
        <v>46035</v>
      </c>
      <c r="C17" s="234"/>
      <c r="D17" s="122"/>
      <c r="E17" s="123"/>
      <c r="F17" s="123"/>
      <c r="G17" s="79"/>
      <c r="H17" s="78">
        <v>1</v>
      </c>
      <c r="I17" s="78"/>
      <c r="J17" s="90"/>
      <c r="K17" s="78">
        <f t="shared" si="0"/>
        <v>0</v>
      </c>
      <c r="L17" s="78">
        <f t="shared" si="1"/>
        <v>0</v>
      </c>
      <c r="M17" s="78">
        <f t="shared" si="2"/>
        <v>0</v>
      </c>
      <c r="N17" s="78">
        <f t="shared" si="2"/>
        <v>0</v>
      </c>
      <c r="O17" s="78">
        <f t="shared" si="3"/>
        <v>21.6</v>
      </c>
      <c r="P17" s="78">
        <f t="shared" si="4"/>
        <v>0</v>
      </c>
      <c r="Q17" s="78">
        <f t="shared" si="5"/>
        <v>0</v>
      </c>
      <c r="R17" s="90">
        <f t="shared" si="6"/>
        <v>21.6</v>
      </c>
    </row>
    <row r="18" spans="1:18">
      <c r="A18" s="121">
        <v>14</v>
      </c>
      <c r="B18" s="233">
        <v>46036</v>
      </c>
      <c r="C18" s="234"/>
      <c r="D18" s="122"/>
      <c r="E18" s="123"/>
      <c r="F18" s="123"/>
      <c r="G18" s="79"/>
      <c r="H18" s="78">
        <v>1</v>
      </c>
      <c r="I18" s="78"/>
      <c r="J18" s="90"/>
      <c r="K18" s="78">
        <f t="shared" si="0"/>
        <v>0</v>
      </c>
      <c r="L18" s="78">
        <f t="shared" si="1"/>
        <v>0</v>
      </c>
      <c r="M18" s="78">
        <f t="shared" si="2"/>
        <v>0</v>
      </c>
      <c r="N18" s="78">
        <f t="shared" si="2"/>
        <v>0</v>
      </c>
      <c r="O18" s="78">
        <f t="shared" si="3"/>
        <v>21.6</v>
      </c>
      <c r="P18" s="78">
        <f t="shared" si="4"/>
        <v>0</v>
      </c>
      <c r="Q18" s="78">
        <f t="shared" si="5"/>
        <v>0</v>
      </c>
      <c r="R18" s="90">
        <f t="shared" si="6"/>
        <v>21.6</v>
      </c>
    </row>
    <row r="19" spans="1:18">
      <c r="A19" s="121">
        <v>15</v>
      </c>
      <c r="B19" s="233">
        <v>46037</v>
      </c>
      <c r="C19" s="234"/>
      <c r="D19" s="122"/>
      <c r="E19" s="123"/>
      <c r="F19" s="123"/>
      <c r="G19" s="79"/>
      <c r="H19" s="78">
        <v>1</v>
      </c>
      <c r="I19" s="78"/>
      <c r="J19" s="90"/>
      <c r="K19" s="78">
        <f t="shared" si="0"/>
        <v>0</v>
      </c>
      <c r="L19" s="78">
        <f t="shared" si="1"/>
        <v>0</v>
      </c>
      <c r="M19" s="78">
        <f t="shared" si="2"/>
        <v>0</v>
      </c>
      <c r="N19" s="78">
        <f t="shared" si="2"/>
        <v>0</v>
      </c>
      <c r="O19" s="78">
        <f t="shared" si="3"/>
        <v>21.6</v>
      </c>
      <c r="P19" s="78">
        <f t="shared" si="4"/>
        <v>0</v>
      </c>
      <c r="Q19" s="78">
        <f t="shared" si="5"/>
        <v>0</v>
      </c>
      <c r="R19" s="90">
        <f t="shared" si="6"/>
        <v>21.6</v>
      </c>
    </row>
    <row r="20" spans="1:18">
      <c r="A20" s="6">
        <v>16</v>
      </c>
      <c r="B20" s="233">
        <v>46038</v>
      </c>
      <c r="C20" s="234"/>
      <c r="D20" s="120"/>
      <c r="E20" s="79"/>
      <c r="F20" s="79"/>
      <c r="G20" s="123"/>
      <c r="H20" s="78">
        <v>1</v>
      </c>
      <c r="I20" s="78"/>
      <c r="J20" s="78"/>
      <c r="K20" s="78">
        <f t="shared" si="0"/>
        <v>0</v>
      </c>
      <c r="L20" s="78">
        <f t="shared" si="1"/>
        <v>0</v>
      </c>
      <c r="M20" s="78">
        <f t="shared" si="2"/>
        <v>0</v>
      </c>
      <c r="N20" s="78">
        <f t="shared" si="2"/>
        <v>0</v>
      </c>
      <c r="O20" s="78">
        <f t="shared" si="3"/>
        <v>21.6</v>
      </c>
      <c r="P20" s="78">
        <f t="shared" si="4"/>
        <v>0</v>
      </c>
      <c r="Q20" s="78">
        <f t="shared" si="5"/>
        <v>0</v>
      </c>
      <c r="R20" s="78">
        <f t="shared" si="6"/>
        <v>21.6</v>
      </c>
    </row>
    <row r="21" spans="1:18">
      <c r="A21" s="6">
        <v>17</v>
      </c>
      <c r="B21" s="233">
        <v>46039</v>
      </c>
      <c r="C21" s="234"/>
      <c r="D21" s="120"/>
      <c r="E21" s="79"/>
      <c r="F21" s="79"/>
      <c r="G21" s="123"/>
      <c r="H21" s="78">
        <v>1</v>
      </c>
      <c r="I21" s="78"/>
      <c r="J21" s="78"/>
      <c r="K21" s="78">
        <f t="shared" si="0"/>
        <v>0</v>
      </c>
      <c r="L21" s="78">
        <f t="shared" si="1"/>
        <v>0</v>
      </c>
      <c r="M21" s="78">
        <f t="shared" si="2"/>
        <v>0</v>
      </c>
      <c r="N21" s="78">
        <f t="shared" si="2"/>
        <v>0</v>
      </c>
      <c r="O21" s="78">
        <f t="shared" si="3"/>
        <v>21.6</v>
      </c>
      <c r="P21" s="78">
        <f t="shared" si="4"/>
        <v>0</v>
      </c>
      <c r="Q21" s="78">
        <f t="shared" si="5"/>
        <v>0</v>
      </c>
      <c r="R21" s="78">
        <f t="shared" si="6"/>
        <v>21.6</v>
      </c>
    </row>
    <row r="22" spans="1:18">
      <c r="A22" s="121">
        <v>18</v>
      </c>
      <c r="B22" s="233">
        <v>46040</v>
      </c>
      <c r="C22" s="234"/>
      <c r="D22" s="122"/>
      <c r="E22" s="123"/>
      <c r="F22" s="123"/>
      <c r="G22" s="123"/>
      <c r="H22" s="78">
        <v>1</v>
      </c>
      <c r="I22" s="90"/>
      <c r="J22" s="90"/>
      <c r="K22" s="78">
        <f t="shared" si="0"/>
        <v>0</v>
      </c>
      <c r="L22" s="78">
        <f t="shared" si="1"/>
        <v>0</v>
      </c>
      <c r="M22" s="78">
        <f t="shared" si="2"/>
        <v>0</v>
      </c>
      <c r="N22" s="78">
        <f t="shared" si="2"/>
        <v>0</v>
      </c>
      <c r="O22" s="78">
        <f t="shared" si="3"/>
        <v>21.6</v>
      </c>
      <c r="P22" s="78">
        <f t="shared" si="4"/>
        <v>0</v>
      </c>
      <c r="Q22" s="78">
        <f t="shared" si="5"/>
        <v>0</v>
      </c>
      <c r="R22" s="90">
        <f t="shared" si="6"/>
        <v>21.6</v>
      </c>
    </row>
    <row r="23" spans="1:18">
      <c r="A23" s="121">
        <v>19</v>
      </c>
      <c r="B23" s="233">
        <v>46041</v>
      </c>
      <c r="C23" s="234"/>
      <c r="D23" s="122"/>
      <c r="E23" s="123"/>
      <c r="F23" s="123"/>
      <c r="G23" s="123"/>
      <c r="H23" s="78">
        <v>1</v>
      </c>
      <c r="I23" s="90"/>
      <c r="J23" s="90"/>
      <c r="K23" s="78">
        <f t="shared" si="0"/>
        <v>0</v>
      </c>
      <c r="L23" s="78">
        <f t="shared" si="1"/>
        <v>0</v>
      </c>
      <c r="M23" s="78">
        <f t="shared" si="2"/>
        <v>0</v>
      </c>
      <c r="N23" s="78">
        <f t="shared" si="2"/>
        <v>0</v>
      </c>
      <c r="O23" s="78">
        <f t="shared" si="3"/>
        <v>21.6</v>
      </c>
      <c r="P23" s="78">
        <f t="shared" si="4"/>
        <v>0</v>
      </c>
      <c r="Q23" s="78">
        <f t="shared" si="5"/>
        <v>0</v>
      </c>
      <c r="R23" s="90">
        <f t="shared" si="6"/>
        <v>21.6</v>
      </c>
    </row>
    <row r="24" spans="1:18">
      <c r="A24" s="121">
        <v>20</v>
      </c>
      <c r="B24" s="233">
        <v>46042</v>
      </c>
      <c r="C24" s="234"/>
      <c r="D24" s="122"/>
      <c r="E24" s="123"/>
      <c r="F24" s="123"/>
      <c r="G24" s="123"/>
      <c r="H24" s="78">
        <v>1</v>
      </c>
      <c r="I24" s="90"/>
      <c r="J24" s="90"/>
      <c r="K24" s="78">
        <f t="shared" si="0"/>
        <v>0</v>
      </c>
      <c r="L24" s="78">
        <f t="shared" si="1"/>
        <v>0</v>
      </c>
      <c r="M24" s="78">
        <f t="shared" si="2"/>
        <v>0</v>
      </c>
      <c r="N24" s="78">
        <f t="shared" si="2"/>
        <v>0</v>
      </c>
      <c r="O24" s="78">
        <f t="shared" si="3"/>
        <v>21.6</v>
      </c>
      <c r="P24" s="78">
        <f t="shared" si="4"/>
        <v>0</v>
      </c>
      <c r="Q24" s="78">
        <f t="shared" si="5"/>
        <v>0</v>
      </c>
      <c r="R24" s="90">
        <f t="shared" si="6"/>
        <v>21.6</v>
      </c>
    </row>
    <row r="25" spans="1:18">
      <c r="A25" s="121">
        <v>21</v>
      </c>
      <c r="B25" s="233">
        <v>46043</v>
      </c>
      <c r="C25" s="234"/>
      <c r="D25" s="122"/>
      <c r="E25" s="123"/>
      <c r="F25" s="123"/>
      <c r="G25" s="123"/>
      <c r="H25" s="78">
        <v>1</v>
      </c>
      <c r="I25" s="90"/>
      <c r="J25" s="90"/>
      <c r="K25" s="78">
        <f t="shared" si="0"/>
        <v>0</v>
      </c>
      <c r="L25" s="78">
        <f t="shared" si="1"/>
        <v>0</v>
      </c>
      <c r="M25" s="78">
        <f t="shared" si="2"/>
        <v>0</v>
      </c>
      <c r="N25" s="78">
        <f t="shared" si="2"/>
        <v>0</v>
      </c>
      <c r="O25" s="78">
        <f t="shared" si="3"/>
        <v>21.6</v>
      </c>
      <c r="P25" s="78">
        <f t="shared" si="4"/>
        <v>0</v>
      </c>
      <c r="Q25" s="78">
        <f t="shared" si="5"/>
        <v>0</v>
      </c>
      <c r="R25" s="90">
        <f t="shared" si="6"/>
        <v>21.6</v>
      </c>
    </row>
    <row r="26" spans="1:18">
      <c r="A26" s="121">
        <v>22</v>
      </c>
      <c r="B26" s="233">
        <v>46044</v>
      </c>
      <c r="C26" s="234"/>
      <c r="D26" s="122"/>
      <c r="E26" s="123"/>
      <c r="F26" s="123"/>
      <c r="G26" s="123"/>
      <c r="H26" s="78">
        <v>1</v>
      </c>
      <c r="I26" s="78"/>
      <c r="J26" s="90"/>
      <c r="K26" s="78">
        <f t="shared" si="0"/>
        <v>0</v>
      </c>
      <c r="L26" s="78">
        <f t="shared" si="1"/>
        <v>0</v>
      </c>
      <c r="M26" s="78">
        <f t="shared" si="2"/>
        <v>0</v>
      </c>
      <c r="N26" s="78">
        <f t="shared" si="2"/>
        <v>0</v>
      </c>
      <c r="O26" s="78">
        <f t="shared" si="3"/>
        <v>21.6</v>
      </c>
      <c r="P26" s="78">
        <f t="shared" si="4"/>
        <v>0</v>
      </c>
      <c r="Q26" s="78">
        <f t="shared" si="5"/>
        <v>0</v>
      </c>
      <c r="R26" s="90">
        <f t="shared" si="6"/>
        <v>21.6</v>
      </c>
    </row>
    <row r="27" spans="1:18">
      <c r="A27" s="6">
        <v>23</v>
      </c>
      <c r="B27" s="233">
        <v>46045</v>
      </c>
      <c r="C27" s="234"/>
      <c r="D27" s="120"/>
      <c r="E27" s="79"/>
      <c r="F27" s="79"/>
      <c r="G27" s="79"/>
      <c r="H27" s="78">
        <v>1</v>
      </c>
      <c r="I27" s="78"/>
      <c r="J27" s="78"/>
      <c r="K27" s="78">
        <f t="shared" si="0"/>
        <v>0</v>
      </c>
      <c r="L27" s="78">
        <f t="shared" si="1"/>
        <v>0</v>
      </c>
      <c r="M27" s="78">
        <f t="shared" si="2"/>
        <v>0</v>
      </c>
      <c r="N27" s="78">
        <f t="shared" si="2"/>
        <v>0</v>
      </c>
      <c r="O27" s="78">
        <f t="shared" si="3"/>
        <v>21.6</v>
      </c>
      <c r="P27" s="78">
        <f t="shared" si="4"/>
        <v>0</v>
      </c>
      <c r="Q27" s="78">
        <f t="shared" si="5"/>
        <v>0</v>
      </c>
      <c r="R27" s="78">
        <f t="shared" si="6"/>
        <v>21.6</v>
      </c>
    </row>
    <row r="28" spans="1:18">
      <c r="A28" s="6">
        <v>24</v>
      </c>
      <c r="B28" s="233">
        <v>46046</v>
      </c>
      <c r="C28" s="234"/>
      <c r="D28" s="120"/>
      <c r="E28" s="79"/>
      <c r="F28" s="79"/>
      <c r="G28" s="79"/>
      <c r="H28" s="78">
        <v>1</v>
      </c>
      <c r="I28" s="78"/>
      <c r="J28" s="78"/>
      <c r="K28" s="78">
        <f t="shared" si="0"/>
        <v>0</v>
      </c>
      <c r="L28" s="78">
        <f t="shared" si="1"/>
        <v>0</v>
      </c>
      <c r="M28" s="78">
        <f t="shared" si="2"/>
        <v>0</v>
      </c>
      <c r="N28" s="78">
        <f t="shared" si="2"/>
        <v>0</v>
      </c>
      <c r="O28" s="78">
        <f t="shared" si="3"/>
        <v>21.6</v>
      </c>
      <c r="P28" s="78">
        <f t="shared" si="4"/>
        <v>0</v>
      </c>
      <c r="Q28" s="78">
        <f t="shared" si="5"/>
        <v>0</v>
      </c>
      <c r="R28" s="78">
        <f t="shared" si="6"/>
        <v>21.6</v>
      </c>
    </row>
    <row r="29" spans="1:18">
      <c r="A29" s="121">
        <v>25</v>
      </c>
      <c r="B29" s="233">
        <v>46047</v>
      </c>
      <c r="C29" s="234"/>
      <c r="D29" s="122"/>
      <c r="E29" s="123"/>
      <c r="F29" s="123"/>
      <c r="G29" s="123"/>
      <c r="H29" s="78">
        <v>1</v>
      </c>
      <c r="I29" s="78"/>
      <c r="J29" s="90"/>
      <c r="K29" s="78">
        <f t="shared" si="0"/>
        <v>0</v>
      </c>
      <c r="L29" s="78">
        <f t="shared" si="1"/>
        <v>0</v>
      </c>
      <c r="M29" s="78">
        <f>F29*1000</f>
        <v>0</v>
      </c>
      <c r="N29" s="78">
        <f t="shared" si="2"/>
        <v>0</v>
      </c>
      <c r="O29" s="78">
        <f t="shared" si="3"/>
        <v>21.6</v>
      </c>
      <c r="P29" s="78">
        <f t="shared" si="4"/>
        <v>0</v>
      </c>
      <c r="Q29" s="78">
        <f t="shared" si="5"/>
        <v>0</v>
      </c>
      <c r="R29" s="90">
        <f t="shared" si="6"/>
        <v>21.6</v>
      </c>
    </row>
    <row r="30" spans="1:18">
      <c r="A30" s="121">
        <v>26</v>
      </c>
      <c r="B30" s="233">
        <v>46048</v>
      </c>
      <c r="C30" s="234"/>
      <c r="D30" s="122"/>
      <c r="E30" s="123"/>
      <c r="F30" s="123"/>
      <c r="G30" s="123"/>
      <c r="H30" s="78">
        <v>1</v>
      </c>
      <c r="I30" s="78"/>
      <c r="J30" s="90"/>
      <c r="K30" s="78">
        <f>SUM(D30*168)</f>
        <v>0</v>
      </c>
      <c r="L30" s="78">
        <f t="shared" si="1"/>
        <v>0</v>
      </c>
      <c r="M30" s="78">
        <f t="shared" si="2"/>
        <v>0</v>
      </c>
      <c r="N30" s="78">
        <f t="shared" si="2"/>
        <v>0</v>
      </c>
      <c r="O30" s="78">
        <f t="shared" si="3"/>
        <v>21.6</v>
      </c>
      <c r="P30" s="78">
        <f t="shared" si="4"/>
        <v>0</v>
      </c>
      <c r="Q30" s="78">
        <f t="shared" si="5"/>
        <v>0</v>
      </c>
      <c r="R30" s="90">
        <f t="shared" si="6"/>
        <v>21.6</v>
      </c>
    </row>
    <row r="31" spans="1:18">
      <c r="A31" s="121">
        <v>27</v>
      </c>
      <c r="B31" s="233">
        <v>46049</v>
      </c>
      <c r="C31" s="234"/>
      <c r="D31" s="122"/>
      <c r="E31" s="123"/>
      <c r="F31" s="123"/>
      <c r="G31" s="123"/>
      <c r="H31" s="78">
        <v>1</v>
      </c>
      <c r="I31" s="78"/>
      <c r="J31" s="90"/>
      <c r="K31" s="78">
        <f t="shared" ref="K31:L35" si="7">SUM(D31*168)</f>
        <v>0</v>
      </c>
      <c r="L31" s="78">
        <f t="shared" si="1"/>
        <v>0</v>
      </c>
      <c r="M31" s="78">
        <f t="shared" si="2"/>
        <v>0</v>
      </c>
      <c r="N31" s="78">
        <f t="shared" si="2"/>
        <v>0</v>
      </c>
      <c r="O31" s="78">
        <f t="shared" si="3"/>
        <v>21.6</v>
      </c>
      <c r="P31" s="78">
        <f t="shared" si="4"/>
        <v>0</v>
      </c>
      <c r="Q31" s="78">
        <f t="shared" si="5"/>
        <v>0</v>
      </c>
      <c r="R31" s="90">
        <f t="shared" si="6"/>
        <v>21.6</v>
      </c>
    </row>
    <row r="32" spans="1:18">
      <c r="A32" s="121">
        <v>28</v>
      </c>
      <c r="B32" s="233">
        <v>46050</v>
      </c>
      <c r="C32" s="234"/>
      <c r="D32" s="122"/>
      <c r="E32" s="123"/>
      <c r="F32" s="123"/>
      <c r="G32" s="123"/>
      <c r="H32" s="78">
        <v>1</v>
      </c>
      <c r="I32" s="78"/>
      <c r="J32" s="90"/>
      <c r="K32" s="78">
        <f t="shared" si="7"/>
        <v>0</v>
      </c>
      <c r="L32" s="78">
        <f t="shared" si="1"/>
        <v>0</v>
      </c>
      <c r="M32" s="78">
        <f t="shared" si="2"/>
        <v>0</v>
      </c>
      <c r="N32" s="78">
        <f t="shared" si="2"/>
        <v>0</v>
      </c>
      <c r="O32" s="78">
        <f t="shared" si="3"/>
        <v>21.6</v>
      </c>
      <c r="P32" s="78">
        <f t="shared" si="4"/>
        <v>0</v>
      </c>
      <c r="Q32" s="78">
        <f t="shared" si="5"/>
        <v>0</v>
      </c>
      <c r="R32" s="90">
        <f t="shared" si="6"/>
        <v>21.6</v>
      </c>
    </row>
    <row r="33" spans="1:18">
      <c r="A33" s="121">
        <v>29</v>
      </c>
      <c r="B33" s="233">
        <v>46051</v>
      </c>
      <c r="C33" s="234"/>
      <c r="D33" s="122"/>
      <c r="E33" s="123"/>
      <c r="F33" s="123"/>
      <c r="G33" s="123"/>
      <c r="H33" s="78">
        <v>1</v>
      </c>
      <c r="I33" s="78"/>
      <c r="J33" s="90"/>
      <c r="K33" s="78">
        <f t="shared" si="7"/>
        <v>0</v>
      </c>
      <c r="L33" s="78">
        <f t="shared" si="1"/>
        <v>0</v>
      </c>
      <c r="M33" s="78">
        <f t="shared" si="2"/>
        <v>0</v>
      </c>
      <c r="N33" s="78">
        <f t="shared" si="2"/>
        <v>0</v>
      </c>
      <c r="O33" s="78">
        <f t="shared" si="3"/>
        <v>21.6</v>
      </c>
      <c r="P33" s="78">
        <f t="shared" si="4"/>
        <v>0</v>
      </c>
      <c r="Q33" s="78">
        <f t="shared" si="5"/>
        <v>0</v>
      </c>
      <c r="R33" s="90">
        <f t="shared" si="6"/>
        <v>21.6</v>
      </c>
    </row>
    <row r="34" spans="1:18">
      <c r="A34" s="121">
        <v>30</v>
      </c>
      <c r="B34" s="233">
        <v>46052</v>
      </c>
      <c r="C34" s="234"/>
      <c r="D34" s="122"/>
      <c r="E34" s="123"/>
      <c r="F34" s="123"/>
      <c r="G34" s="123"/>
      <c r="H34" s="78">
        <v>1</v>
      </c>
      <c r="I34" s="78"/>
      <c r="J34" s="90"/>
      <c r="K34" s="78">
        <f t="shared" si="7"/>
        <v>0</v>
      </c>
      <c r="L34" s="78">
        <f t="shared" si="1"/>
        <v>0</v>
      </c>
      <c r="M34" s="78">
        <f t="shared" si="2"/>
        <v>0</v>
      </c>
      <c r="N34" s="78">
        <f t="shared" si="2"/>
        <v>0</v>
      </c>
      <c r="O34" s="78">
        <f t="shared" si="3"/>
        <v>21.6</v>
      </c>
      <c r="P34" s="78">
        <f t="shared" si="4"/>
        <v>0</v>
      </c>
      <c r="Q34" s="78">
        <f t="shared" si="5"/>
        <v>0</v>
      </c>
      <c r="R34" s="90">
        <f t="shared" si="6"/>
        <v>21.6</v>
      </c>
    </row>
    <row r="35" spans="1:18" ht="15.75" thickBot="1">
      <c r="A35" s="121"/>
      <c r="B35" s="233">
        <v>46053</v>
      </c>
      <c r="C35" s="234"/>
      <c r="D35" s="122"/>
      <c r="E35" s="123"/>
      <c r="F35" s="123"/>
      <c r="G35" s="123"/>
      <c r="H35" s="78">
        <v>1</v>
      </c>
      <c r="I35" s="78"/>
      <c r="J35" s="90"/>
      <c r="K35" s="78">
        <f t="shared" si="7"/>
        <v>0</v>
      </c>
      <c r="L35" s="78">
        <f t="shared" si="7"/>
        <v>0</v>
      </c>
      <c r="M35" s="78">
        <f t="shared" ref="M35:N35" si="8">F35*1000</f>
        <v>0</v>
      </c>
      <c r="N35" s="78">
        <f t="shared" si="8"/>
        <v>0</v>
      </c>
      <c r="O35" s="78">
        <f t="shared" si="3"/>
        <v>21.6</v>
      </c>
      <c r="P35" s="78">
        <f t="shared" si="4"/>
        <v>0</v>
      </c>
      <c r="Q35" s="78">
        <f t="shared" si="5"/>
        <v>0</v>
      </c>
      <c r="R35" s="90">
        <f t="shared" si="6"/>
        <v>21.6</v>
      </c>
    </row>
    <row r="36" spans="1:18" ht="15.75" thickBot="1">
      <c r="D36" s="104">
        <f>SUM(D5:D35)</f>
        <v>0</v>
      </c>
      <c r="E36" s="124">
        <f>SUM(E5:E35)</f>
        <v>0</v>
      </c>
      <c r="F36" s="124">
        <f>SUM(F5:F35)</f>
        <v>0</v>
      </c>
      <c r="G36" s="124"/>
      <c r="H36" s="125">
        <f>SUM(H5:H35)</f>
        <v>31</v>
      </c>
      <c r="I36" s="126"/>
      <c r="J36" s="124"/>
      <c r="K36" s="124">
        <f>SUM(K5:K35)</f>
        <v>0</v>
      </c>
      <c r="L36" s="124">
        <f t="shared" ref="L36:Q36" si="9">SUM(L5:L35)</f>
        <v>0</v>
      </c>
      <c r="M36" s="124">
        <f t="shared" si="9"/>
        <v>0</v>
      </c>
      <c r="N36" s="124">
        <f t="shared" si="9"/>
        <v>0</v>
      </c>
      <c r="O36" s="124">
        <f t="shared" si="9"/>
        <v>669.60000000000036</v>
      </c>
      <c r="P36" s="124">
        <f t="shared" si="9"/>
        <v>0</v>
      </c>
      <c r="Q36" s="124">
        <f t="shared" si="9"/>
        <v>0</v>
      </c>
      <c r="R36" s="127">
        <f>SUM(R5:R35)</f>
        <v>669.60000000000036</v>
      </c>
    </row>
  </sheetData>
  <mergeCells count="47">
    <mergeCell ref="B31:C31"/>
    <mergeCell ref="B32:C32"/>
    <mergeCell ref="B33:C33"/>
    <mergeCell ref="B34:C34"/>
    <mergeCell ref="B35:C35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O3:O4"/>
    <mergeCell ref="P3:P4"/>
    <mergeCell ref="Q3:Q4"/>
    <mergeCell ref="R3:R4"/>
    <mergeCell ref="B5:C5"/>
    <mergeCell ref="M3:M4"/>
    <mergeCell ref="N3:N4"/>
    <mergeCell ref="B6:C6"/>
    <mergeCell ref="I3:I4"/>
    <mergeCell ref="J3:J4"/>
    <mergeCell ref="K3:K4"/>
    <mergeCell ref="L3:L4"/>
    <mergeCell ref="G3:G4"/>
    <mergeCell ref="A3:A4"/>
    <mergeCell ref="B3:C4"/>
    <mergeCell ref="D3:D4"/>
    <mergeCell ref="E3:E4"/>
    <mergeCell ref="F3:F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5292-803A-4DA6-B5CC-0C2C124DBB56}">
  <sheetPr codeName="Лист14"/>
  <dimension ref="A1:S39"/>
  <sheetViews>
    <sheetView topLeftCell="A10" zoomScaleNormal="100" workbookViewId="0">
      <selection activeCell="C20" sqref="C20"/>
    </sheetView>
  </sheetViews>
  <sheetFormatPr defaultRowHeight="15"/>
  <cols>
    <col min="1" max="1" width="8.3984375" style="2" bestFit="1" customWidth="1"/>
    <col min="2" max="11" width="8.796875" style="2"/>
    <col min="12" max="12" width="8.19921875" style="2" customWidth="1"/>
    <col min="13" max="13" width="8.796875" style="2"/>
    <col min="14" max="14" width="8.19921875" style="2" customWidth="1"/>
    <col min="15" max="16" width="8.796875" style="2"/>
    <col min="17" max="17" width="8.19921875" style="2" customWidth="1"/>
    <col min="18" max="18" width="7.8984375" style="2" customWidth="1"/>
    <col min="19" max="19" width="10.5" style="2" customWidth="1"/>
    <col min="20" max="16384" width="8.796875" style="2"/>
  </cols>
  <sheetData>
    <row r="1" spans="1:19" ht="15.75">
      <c r="A1" s="128">
        <f>S39</f>
        <v>2013.5999999999985</v>
      </c>
      <c r="C1" s="129"/>
      <c r="D1" s="129"/>
      <c r="E1" s="129"/>
      <c r="F1" s="129"/>
      <c r="G1" s="129"/>
      <c r="H1" s="240"/>
      <c r="I1" s="240"/>
      <c r="J1" s="129"/>
      <c r="K1" s="129"/>
      <c r="S1" s="130"/>
    </row>
    <row r="2" spans="1:19" ht="15.75">
      <c r="C2" s="129"/>
      <c r="D2" s="129"/>
      <c r="E2" s="129"/>
      <c r="F2" s="129"/>
      <c r="G2" s="129"/>
      <c r="H2" s="240"/>
      <c r="I2" s="240"/>
      <c r="J2" s="129"/>
      <c r="K2" s="129"/>
      <c r="S2" s="130"/>
    </row>
    <row r="3" spans="1:19" ht="16.5" thickBot="1">
      <c r="C3" s="129"/>
      <c r="D3" s="129"/>
      <c r="E3" s="129"/>
      <c r="F3" s="129"/>
      <c r="G3" s="129"/>
      <c r="H3" s="240"/>
      <c r="I3" s="240"/>
      <c r="J3" s="129"/>
      <c r="K3" s="129"/>
      <c r="S3" s="130"/>
    </row>
    <row r="4" spans="1:19" ht="21.75" thickBot="1">
      <c r="A4" s="241" t="s">
        <v>157</v>
      </c>
      <c r="B4" s="242"/>
      <c r="C4" s="242"/>
      <c r="D4" s="242"/>
      <c r="E4" s="242"/>
      <c r="F4" s="242"/>
      <c r="G4" s="242"/>
      <c r="H4" s="243"/>
      <c r="I4" s="243"/>
      <c r="J4" s="129"/>
      <c r="K4" s="129"/>
      <c r="L4" s="237" t="s">
        <v>158</v>
      </c>
      <c r="M4" s="238"/>
      <c r="N4" s="238"/>
      <c r="O4" s="238"/>
      <c r="P4" s="238"/>
      <c r="Q4" s="238"/>
      <c r="R4" s="238"/>
      <c r="S4" s="239"/>
    </row>
    <row r="5" spans="1:19">
      <c r="A5" s="246" t="s">
        <v>1</v>
      </c>
      <c r="B5" s="247"/>
      <c r="C5" s="244" t="s">
        <v>159</v>
      </c>
      <c r="D5" s="244" t="s">
        <v>160</v>
      </c>
      <c r="E5" s="244" t="s">
        <v>161</v>
      </c>
      <c r="F5" s="244" t="s">
        <v>162</v>
      </c>
      <c r="G5" s="244" t="s">
        <v>163</v>
      </c>
      <c r="H5" s="244"/>
      <c r="I5" s="244"/>
      <c r="J5" s="244" t="s">
        <v>164</v>
      </c>
      <c r="K5" s="131" t="s">
        <v>4</v>
      </c>
      <c r="L5" s="253" t="s">
        <v>165</v>
      </c>
      <c r="M5" s="244" t="s">
        <v>160</v>
      </c>
      <c r="N5" s="244" t="s">
        <v>161</v>
      </c>
      <c r="O5" s="244" t="s">
        <v>162</v>
      </c>
      <c r="P5" s="244" t="s">
        <v>166</v>
      </c>
      <c r="Q5" s="244" t="s">
        <v>8</v>
      </c>
      <c r="R5" s="244" t="s">
        <v>4</v>
      </c>
      <c r="S5" s="255" t="s">
        <v>18</v>
      </c>
    </row>
    <row r="6" spans="1:19" ht="15.75" thickBot="1">
      <c r="A6" s="248"/>
      <c r="B6" s="249"/>
      <c r="C6" s="245"/>
      <c r="D6" s="245"/>
      <c r="E6" s="245"/>
      <c r="F6" s="245"/>
      <c r="G6" s="245"/>
      <c r="H6" s="252"/>
      <c r="I6" s="252"/>
      <c r="J6" s="245"/>
      <c r="K6" s="132">
        <v>31</v>
      </c>
      <c r="L6" s="254"/>
      <c r="M6" s="245"/>
      <c r="N6" s="245"/>
      <c r="O6" s="245"/>
      <c r="P6" s="245"/>
      <c r="Q6" s="245"/>
      <c r="R6" s="245"/>
      <c r="S6" s="256"/>
    </row>
    <row r="7" spans="1:19">
      <c r="A7" s="250">
        <v>46023</v>
      </c>
      <c r="B7" s="251"/>
      <c r="C7" s="133"/>
      <c r="D7" s="133"/>
      <c r="E7" s="134"/>
      <c r="F7" s="134"/>
      <c r="G7" s="135"/>
      <c r="H7" s="135"/>
      <c r="I7" s="134"/>
      <c r="J7" s="134">
        <v>0</v>
      </c>
      <c r="K7" s="136">
        <v>1</v>
      </c>
      <c r="L7" s="137">
        <f t="shared" ref="L7:L37" si="0">C7*168</f>
        <v>0</v>
      </c>
      <c r="M7" s="137">
        <f t="shared" ref="M7:M37" si="1">D7*4</f>
        <v>0</v>
      </c>
      <c r="N7" s="137">
        <f t="shared" ref="N7:N37" si="2">E7*168</f>
        <v>0</v>
      </c>
      <c r="O7" s="137">
        <f t="shared" ref="O7:P37" si="3">F7*4</f>
        <v>0</v>
      </c>
      <c r="P7" s="137">
        <f t="shared" si="3"/>
        <v>0</v>
      </c>
      <c r="Q7" s="137">
        <f>J7*600</f>
        <v>0</v>
      </c>
      <c r="R7" s="137">
        <f>K7*21.6</f>
        <v>21.6</v>
      </c>
      <c r="S7" s="138">
        <f t="shared" ref="S7:S37" si="4">SUM(L7:R7)</f>
        <v>21.6</v>
      </c>
    </row>
    <row r="8" spans="1:19">
      <c r="A8" s="250">
        <v>46024</v>
      </c>
      <c r="B8" s="251"/>
      <c r="C8" s="136"/>
      <c r="D8" s="136"/>
      <c r="E8" s="139"/>
      <c r="F8" s="139"/>
      <c r="G8" s="140"/>
      <c r="H8" s="140"/>
      <c r="I8" s="139"/>
      <c r="J8" s="134">
        <v>0</v>
      </c>
      <c r="K8" s="136">
        <v>1</v>
      </c>
      <c r="L8" s="137">
        <f t="shared" si="0"/>
        <v>0</v>
      </c>
      <c r="M8" s="137">
        <f t="shared" si="1"/>
        <v>0</v>
      </c>
      <c r="N8" s="137">
        <f t="shared" si="2"/>
        <v>0</v>
      </c>
      <c r="O8" s="137">
        <f t="shared" si="3"/>
        <v>0</v>
      </c>
      <c r="P8" s="137">
        <f t="shared" si="3"/>
        <v>0</v>
      </c>
      <c r="Q8" s="137">
        <f t="shared" ref="Q8:Q37" si="5">J8*600</f>
        <v>0</v>
      </c>
      <c r="R8" s="137">
        <f t="shared" ref="R8:R37" si="6">K8*21.6</f>
        <v>21.6</v>
      </c>
      <c r="S8" s="141">
        <f t="shared" si="4"/>
        <v>21.6</v>
      </c>
    </row>
    <row r="9" spans="1:19">
      <c r="A9" s="250">
        <v>46025</v>
      </c>
      <c r="B9" s="251"/>
      <c r="C9" s="136"/>
      <c r="D9" s="136"/>
      <c r="E9" s="139"/>
      <c r="F9" s="139"/>
      <c r="G9" s="140"/>
      <c r="H9" s="140"/>
      <c r="I9" s="139"/>
      <c r="J9" s="134">
        <v>0</v>
      </c>
      <c r="K9" s="136">
        <v>1</v>
      </c>
      <c r="L9" s="137">
        <f t="shared" si="0"/>
        <v>0</v>
      </c>
      <c r="M9" s="137">
        <f t="shared" si="1"/>
        <v>0</v>
      </c>
      <c r="N9" s="137">
        <f t="shared" si="2"/>
        <v>0</v>
      </c>
      <c r="O9" s="137">
        <f t="shared" si="3"/>
        <v>0</v>
      </c>
      <c r="P9" s="137">
        <f t="shared" si="3"/>
        <v>0</v>
      </c>
      <c r="Q9" s="137">
        <f t="shared" si="5"/>
        <v>0</v>
      </c>
      <c r="R9" s="137">
        <f t="shared" si="6"/>
        <v>21.6</v>
      </c>
      <c r="S9" s="141">
        <f t="shared" si="4"/>
        <v>21.6</v>
      </c>
    </row>
    <row r="10" spans="1:19">
      <c r="A10" s="250">
        <v>46026</v>
      </c>
      <c r="B10" s="251"/>
      <c r="C10" s="136"/>
      <c r="D10" s="136"/>
      <c r="E10" s="139"/>
      <c r="F10" s="139"/>
      <c r="G10" s="140"/>
      <c r="H10" s="140"/>
      <c r="I10" s="139"/>
      <c r="J10" s="134">
        <v>0</v>
      </c>
      <c r="K10" s="136">
        <v>1</v>
      </c>
      <c r="L10" s="137">
        <f t="shared" si="0"/>
        <v>0</v>
      </c>
      <c r="M10" s="137">
        <f t="shared" si="1"/>
        <v>0</v>
      </c>
      <c r="N10" s="137">
        <f t="shared" si="2"/>
        <v>0</v>
      </c>
      <c r="O10" s="137">
        <f t="shared" si="3"/>
        <v>0</v>
      </c>
      <c r="P10" s="137">
        <f t="shared" si="3"/>
        <v>0</v>
      </c>
      <c r="Q10" s="137">
        <f t="shared" si="5"/>
        <v>0</v>
      </c>
      <c r="R10" s="137">
        <f t="shared" si="6"/>
        <v>21.6</v>
      </c>
      <c r="S10" s="141">
        <f t="shared" si="4"/>
        <v>21.6</v>
      </c>
    </row>
    <row r="11" spans="1:19">
      <c r="A11" s="250">
        <v>46027</v>
      </c>
      <c r="B11" s="251"/>
      <c r="C11" s="136"/>
      <c r="D11" s="136"/>
      <c r="E11" s="139"/>
      <c r="F11" s="139"/>
      <c r="G11" s="140"/>
      <c r="H11" s="140"/>
      <c r="I11" s="139"/>
      <c r="J11" s="134">
        <v>0</v>
      </c>
      <c r="K11" s="136">
        <v>1</v>
      </c>
      <c r="L11" s="137">
        <f t="shared" si="0"/>
        <v>0</v>
      </c>
      <c r="M11" s="137">
        <f t="shared" si="1"/>
        <v>0</v>
      </c>
      <c r="N11" s="137">
        <f t="shared" si="2"/>
        <v>0</v>
      </c>
      <c r="O11" s="137">
        <f t="shared" si="3"/>
        <v>0</v>
      </c>
      <c r="P11" s="137">
        <f t="shared" si="3"/>
        <v>0</v>
      </c>
      <c r="Q11" s="137">
        <f t="shared" si="5"/>
        <v>0</v>
      </c>
      <c r="R11" s="137">
        <f t="shared" si="6"/>
        <v>21.6</v>
      </c>
      <c r="S11" s="141">
        <f t="shared" si="4"/>
        <v>21.6</v>
      </c>
    </row>
    <row r="12" spans="1:19">
      <c r="A12" s="250">
        <v>46028</v>
      </c>
      <c r="B12" s="251"/>
      <c r="C12" s="136"/>
      <c r="D12" s="136"/>
      <c r="E12" s="139"/>
      <c r="F12" s="139"/>
      <c r="G12" s="140"/>
      <c r="H12" s="140"/>
      <c r="I12" s="139"/>
      <c r="J12" s="134">
        <v>0</v>
      </c>
      <c r="K12" s="136">
        <v>1</v>
      </c>
      <c r="L12" s="137">
        <f t="shared" si="0"/>
        <v>0</v>
      </c>
      <c r="M12" s="137">
        <f t="shared" si="1"/>
        <v>0</v>
      </c>
      <c r="N12" s="137">
        <f t="shared" si="2"/>
        <v>0</v>
      </c>
      <c r="O12" s="137">
        <f t="shared" si="3"/>
        <v>0</v>
      </c>
      <c r="P12" s="137">
        <f t="shared" si="3"/>
        <v>0</v>
      </c>
      <c r="Q12" s="137">
        <f t="shared" si="5"/>
        <v>0</v>
      </c>
      <c r="R12" s="137">
        <f t="shared" si="6"/>
        <v>21.6</v>
      </c>
      <c r="S12" s="141">
        <f t="shared" si="4"/>
        <v>21.6</v>
      </c>
    </row>
    <row r="13" spans="1:19">
      <c r="A13" s="250">
        <v>46029</v>
      </c>
      <c r="B13" s="251"/>
      <c r="C13" s="136"/>
      <c r="D13" s="136"/>
      <c r="E13" s="139"/>
      <c r="F13" s="139"/>
      <c r="G13" s="140"/>
      <c r="H13" s="140"/>
      <c r="I13" s="139"/>
      <c r="J13" s="134">
        <v>0</v>
      </c>
      <c r="K13" s="136">
        <v>1</v>
      </c>
      <c r="L13" s="137">
        <f t="shared" si="0"/>
        <v>0</v>
      </c>
      <c r="M13" s="137">
        <f t="shared" si="1"/>
        <v>0</v>
      </c>
      <c r="N13" s="137">
        <f t="shared" si="2"/>
        <v>0</v>
      </c>
      <c r="O13" s="137">
        <f t="shared" si="3"/>
        <v>0</v>
      </c>
      <c r="P13" s="137">
        <f t="shared" si="3"/>
        <v>0</v>
      </c>
      <c r="Q13" s="137">
        <f t="shared" si="5"/>
        <v>0</v>
      </c>
      <c r="R13" s="137">
        <f t="shared" si="6"/>
        <v>21.6</v>
      </c>
      <c r="S13" s="141">
        <f t="shared" si="4"/>
        <v>21.6</v>
      </c>
    </row>
    <row r="14" spans="1:19">
      <c r="A14" s="250">
        <v>46030</v>
      </c>
      <c r="B14" s="251"/>
      <c r="C14" s="136"/>
      <c r="D14" s="136"/>
      <c r="E14" s="139"/>
      <c r="F14" s="139"/>
      <c r="G14" s="140"/>
      <c r="H14" s="140"/>
      <c r="I14" s="139"/>
      <c r="J14" s="134">
        <v>0</v>
      </c>
      <c r="K14" s="136">
        <v>1</v>
      </c>
      <c r="L14" s="137">
        <f t="shared" si="0"/>
        <v>0</v>
      </c>
      <c r="M14" s="137">
        <f t="shared" si="1"/>
        <v>0</v>
      </c>
      <c r="N14" s="137">
        <f t="shared" si="2"/>
        <v>0</v>
      </c>
      <c r="O14" s="137">
        <f t="shared" si="3"/>
        <v>0</v>
      </c>
      <c r="P14" s="137">
        <f t="shared" si="3"/>
        <v>0</v>
      </c>
      <c r="Q14" s="137">
        <f t="shared" si="5"/>
        <v>0</v>
      </c>
      <c r="R14" s="137">
        <f t="shared" si="6"/>
        <v>21.6</v>
      </c>
      <c r="S14" s="141">
        <f t="shared" si="4"/>
        <v>21.6</v>
      </c>
    </row>
    <row r="15" spans="1:19">
      <c r="A15" s="250">
        <v>46031</v>
      </c>
      <c r="B15" s="251"/>
      <c r="C15" s="136"/>
      <c r="D15" s="136"/>
      <c r="E15" s="139"/>
      <c r="F15" s="139"/>
      <c r="G15" s="140"/>
      <c r="H15" s="140"/>
      <c r="I15" s="139"/>
      <c r="J15" s="134">
        <v>0</v>
      </c>
      <c r="K15" s="136">
        <v>1</v>
      </c>
      <c r="L15" s="137">
        <f t="shared" si="0"/>
        <v>0</v>
      </c>
      <c r="M15" s="137">
        <f t="shared" si="1"/>
        <v>0</v>
      </c>
      <c r="N15" s="137">
        <f t="shared" si="2"/>
        <v>0</v>
      </c>
      <c r="O15" s="137">
        <f t="shared" si="3"/>
        <v>0</v>
      </c>
      <c r="P15" s="137">
        <f t="shared" si="3"/>
        <v>0</v>
      </c>
      <c r="Q15" s="137">
        <f t="shared" si="5"/>
        <v>0</v>
      </c>
      <c r="R15" s="137">
        <f t="shared" si="6"/>
        <v>21.6</v>
      </c>
      <c r="S15" s="141">
        <f t="shared" si="4"/>
        <v>21.6</v>
      </c>
    </row>
    <row r="16" spans="1:19">
      <c r="A16" s="250">
        <v>46032</v>
      </c>
      <c r="B16" s="251"/>
      <c r="C16" s="136"/>
      <c r="D16" s="136"/>
      <c r="E16" s="139"/>
      <c r="F16" s="139"/>
      <c r="G16" s="140"/>
      <c r="H16" s="140"/>
      <c r="I16" s="139"/>
      <c r="J16" s="134">
        <v>0</v>
      </c>
      <c r="K16" s="136">
        <v>1</v>
      </c>
      <c r="L16" s="137">
        <f t="shared" si="0"/>
        <v>0</v>
      </c>
      <c r="M16" s="137">
        <f t="shared" si="1"/>
        <v>0</v>
      </c>
      <c r="N16" s="137">
        <f t="shared" si="2"/>
        <v>0</v>
      </c>
      <c r="O16" s="137">
        <f t="shared" si="3"/>
        <v>0</v>
      </c>
      <c r="P16" s="137">
        <f t="shared" si="3"/>
        <v>0</v>
      </c>
      <c r="Q16" s="137">
        <f t="shared" si="5"/>
        <v>0</v>
      </c>
      <c r="R16" s="137">
        <f t="shared" si="6"/>
        <v>21.6</v>
      </c>
      <c r="S16" s="141">
        <f t="shared" si="4"/>
        <v>21.6</v>
      </c>
    </row>
    <row r="17" spans="1:19">
      <c r="A17" s="250">
        <v>46033</v>
      </c>
      <c r="B17" s="251"/>
      <c r="C17" s="136"/>
      <c r="D17" s="136"/>
      <c r="E17" s="139"/>
      <c r="F17" s="139"/>
      <c r="G17" s="140"/>
      <c r="H17" s="140"/>
      <c r="I17" s="139"/>
      <c r="J17" s="134">
        <v>0</v>
      </c>
      <c r="K17" s="136">
        <v>1</v>
      </c>
      <c r="L17" s="137">
        <f t="shared" si="0"/>
        <v>0</v>
      </c>
      <c r="M17" s="137">
        <f t="shared" si="1"/>
        <v>0</v>
      </c>
      <c r="N17" s="137">
        <f t="shared" si="2"/>
        <v>0</v>
      </c>
      <c r="O17" s="137">
        <f t="shared" si="3"/>
        <v>0</v>
      </c>
      <c r="P17" s="137">
        <f t="shared" si="3"/>
        <v>0</v>
      </c>
      <c r="Q17" s="137">
        <f t="shared" si="5"/>
        <v>0</v>
      </c>
      <c r="R17" s="137">
        <f t="shared" si="6"/>
        <v>21.6</v>
      </c>
      <c r="S17" s="141">
        <f t="shared" si="4"/>
        <v>21.6</v>
      </c>
    </row>
    <row r="18" spans="1:19">
      <c r="A18" s="250">
        <v>46034</v>
      </c>
      <c r="B18" s="251"/>
      <c r="C18" s="142"/>
      <c r="D18" s="142"/>
      <c r="E18" s="143"/>
      <c r="F18" s="143"/>
      <c r="G18" s="144"/>
      <c r="H18" s="144"/>
      <c r="I18" s="143"/>
      <c r="J18" s="134">
        <v>0</v>
      </c>
      <c r="K18" s="136">
        <v>1</v>
      </c>
      <c r="L18" s="137">
        <f t="shared" si="0"/>
        <v>0</v>
      </c>
      <c r="M18" s="137">
        <f t="shared" si="1"/>
        <v>0</v>
      </c>
      <c r="N18" s="137">
        <f t="shared" si="2"/>
        <v>0</v>
      </c>
      <c r="O18" s="137">
        <f t="shared" si="3"/>
        <v>0</v>
      </c>
      <c r="P18" s="137">
        <f t="shared" si="3"/>
        <v>0</v>
      </c>
      <c r="Q18" s="137">
        <f t="shared" si="5"/>
        <v>0</v>
      </c>
      <c r="R18" s="137">
        <f t="shared" si="6"/>
        <v>21.6</v>
      </c>
      <c r="S18" s="141">
        <f t="shared" si="4"/>
        <v>21.6</v>
      </c>
    </row>
    <row r="19" spans="1:19">
      <c r="A19" s="250">
        <v>46035</v>
      </c>
      <c r="B19" s="251"/>
      <c r="C19" s="136">
        <v>4</v>
      </c>
      <c r="D19" s="136"/>
      <c r="E19" s="139"/>
      <c r="F19" s="139"/>
      <c r="G19" s="140"/>
      <c r="H19" s="140"/>
      <c r="I19" s="139"/>
      <c r="J19" s="134">
        <v>0</v>
      </c>
      <c r="K19" s="136">
        <v>1</v>
      </c>
      <c r="L19" s="137">
        <f t="shared" si="0"/>
        <v>672</v>
      </c>
      <c r="M19" s="137">
        <f t="shared" si="1"/>
        <v>0</v>
      </c>
      <c r="N19" s="137">
        <f t="shared" si="2"/>
        <v>0</v>
      </c>
      <c r="O19" s="137">
        <f t="shared" si="3"/>
        <v>0</v>
      </c>
      <c r="P19" s="137">
        <f t="shared" si="3"/>
        <v>0</v>
      </c>
      <c r="Q19" s="137">
        <f t="shared" si="5"/>
        <v>0</v>
      </c>
      <c r="R19" s="137">
        <f t="shared" si="6"/>
        <v>21.6</v>
      </c>
      <c r="S19" s="141">
        <f t="shared" si="4"/>
        <v>693.6</v>
      </c>
    </row>
    <row r="20" spans="1:19">
      <c r="A20" s="250">
        <v>46036</v>
      </c>
      <c r="B20" s="251"/>
      <c r="C20" s="136"/>
      <c r="D20" s="136"/>
      <c r="E20" s="139">
        <v>4</v>
      </c>
      <c r="F20" s="139"/>
      <c r="G20" s="140"/>
      <c r="H20" s="140"/>
      <c r="I20" s="139"/>
      <c r="J20" s="134">
        <v>0</v>
      </c>
      <c r="K20" s="136">
        <v>1</v>
      </c>
      <c r="L20" s="137">
        <f t="shared" si="0"/>
        <v>0</v>
      </c>
      <c r="M20" s="137">
        <f t="shared" si="1"/>
        <v>0</v>
      </c>
      <c r="N20" s="137">
        <f t="shared" si="2"/>
        <v>672</v>
      </c>
      <c r="O20" s="137">
        <f t="shared" si="3"/>
        <v>0</v>
      </c>
      <c r="P20" s="137">
        <f t="shared" si="3"/>
        <v>0</v>
      </c>
      <c r="Q20" s="137">
        <f t="shared" si="5"/>
        <v>0</v>
      </c>
      <c r="R20" s="137">
        <f t="shared" si="6"/>
        <v>21.6</v>
      </c>
      <c r="S20" s="141">
        <f t="shared" si="4"/>
        <v>693.6</v>
      </c>
    </row>
    <row r="21" spans="1:19">
      <c r="A21" s="250">
        <v>46037</v>
      </c>
      <c r="B21" s="251"/>
      <c r="C21" s="136"/>
      <c r="D21" s="136"/>
      <c r="E21" s="139"/>
      <c r="F21" s="139"/>
      <c r="G21" s="140"/>
      <c r="H21" s="140"/>
      <c r="I21" s="139"/>
      <c r="J21" s="134">
        <v>0</v>
      </c>
      <c r="K21" s="136">
        <v>1</v>
      </c>
      <c r="L21" s="137">
        <f t="shared" si="0"/>
        <v>0</v>
      </c>
      <c r="M21" s="137">
        <f t="shared" si="1"/>
        <v>0</v>
      </c>
      <c r="N21" s="137">
        <f t="shared" si="2"/>
        <v>0</v>
      </c>
      <c r="O21" s="137">
        <f t="shared" si="3"/>
        <v>0</v>
      </c>
      <c r="P21" s="137">
        <f t="shared" si="3"/>
        <v>0</v>
      </c>
      <c r="Q21" s="137">
        <f t="shared" si="5"/>
        <v>0</v>
      </c>
      <c r="R21" s="137">
        <f t="shared" si="6"/>
        <v>21.6</v>
      </c>
      <c r="S21" s="141">
        <f t="shared" si="4"/>
        <v>21.6</v>
      </c>
    </row>
    <row r="22" spans="1:19">
      <c r="A22" s="250">
        <v>46038</v>
      </c>
      <c r="B22" s="251"/>
      <c r="C22" s="136"/>
      <c r="D22" s="136"/>
      <c r="E22" s="139"/>
      <c r="F22" s="139"/>
      <c r="G22" s="140"/>
      <c r="H22" s="140"/>
      <c r="I22" s="139"/>
      <c r="J22" s="134">
        <v>0</v>
      </c>
      <c r="K22" s="136">
        <v>1</v>
      </c>
      <c r="L22" s="137">
        <f t="shared" si="0"/>
        <v>0</v>
      </c>
      <c r="M22" s="137">
        <f t="shared" si="1"/>
        <v>0</v>
      </c>
      <c r="N22" s="137">
        <f t="shared" si="2"/>
        <v>0</v>
      </c>
      <c r="O22" s="137">
        <f t="shared" si="3"/>
        <v>0</v>
      </c>
      <c r="P22" s="137">
        <f t="shared" si="3"/>
        <v>0</v>
      </c>
      <c r="Q22" s="137">
        <f t="shared" si="5"/>
        <v>0</v>
      </c>
      <c r="R22" s="137">
        <f t="shared" si="6"/>
        <v>21.6</v>
      </c>
      <c r="S22" s="141">
        <f t="shared" si="4"/>
        <v>21.6</v>
      </c>
    </row>
    <row r="23" spans="1:19">
      <c r="A23" s="250">
        <v>46039</v>
      </c>
      <c r="B23" s="251"/>
      <c r="C23" s="136"/>
      <c r="D23" s="136"/>
      <c r="E23" s="139"/>
      <c r="F23" s="139"/>
      <c r="G23" s="140"/>
      <c r="H23" s="140"/>
      <c r="I23" s="139"/>
      <c r="J23" s="134">
        <v>0</v>
      </c>
      <c r="K23" s="136">
        <v>1</v>
      </c>
      <c r="L23" s="137">
        <f t="shared" si="0"/>
        <v>0</v>
      </c>
      <c r="M23" s="137">
        <f t="shared" si="1"/>
        <v>0</v>
      </c>
      <c r="N23" s="137">
        <f t="shared" si="2"/>
        <v>0</v>
      </c>
      <c r="O23" s="137">
        <f t="shared" si="3"/>
        <v>0</v>
      </c>
      <c r="P23" s="137">
        <f t="shared" si="3"/>
        <v>0</v>
      </c>
      <c r="Q23" s="137">
        <f t="shared" si="5"/>
        <v>0</v>
      </c>
      <c r="R23" s="137">
        <f t="shared" si="6"/>
        <v>21.6</v>
      </c>
      <c r="S23" s="141">
        <f t="shared" si="4"/>
        <v>21.6</v>
      </c>
    </row>
    <row r="24" spans="1:19">
      <c r="A24" s="250">
        <v>46040</v>
      </c>
      <c r="B24" s="251"/>
      <c r="C24" s="136"/>
      <c r="D24" s="136"/>
      <c r="E24" s="139"/>
      <c r="F24" s="139"/>
      <c r="G24" s="140"/>
      <c r="H24" s="140"/>
      <c r="I24" s="139"/>
      <c r="J24" s="134">
        <v>0</v>
      </c>
      <c r="K24" s="136">
        <v>1</v>
      </c>
      <c r="L24" s="137">
        <f t="shared" si="0"/>
        <v>0</v>
      </c>
      <c r="M24" s="137">
        <f t="shared" si="1"/>
        <v>0</v>
      </c>
      <c r="N24" s="137">
        <f t="shared" si="2"/>
        <v>0</v>
      </c>
      <c r="O24" s="137">
        <f t="shared" si="3"/>
        <v>0</v>
      </c>
      <c r="P24" s="137">
        <f t="shared" si="3"/>
        <v>0</v>
      </c>
      <c r="Q24" s="137">
        <f t="shared" si="5"/>
        <v>0</v>
      </c>
      <c r="R24" s="137">
        <f t="shared" si="6"/>
        <v>21.6</v>
      </c>
      <c r="S24" s="141">
        <f t="shared" si="4"/>
        <v>21.6</v>
      </c>
    </row>
    <row r="25" spans="1:19">
      <c r="A25" s="250">
        <v>46041</v>
      </c>
      <c r="B25" s="251"/>
      <c r="C25" s="136"/>
      <c r="D25" s="136"/>
      <c r="E25" s="139"/>
      <c r="F25" s="139"/>
      <c r="G25" s="140"/>
      <c r="H25" s="140"/>
      <c r="I25" s="139"/>
      <c r="J25" s="134">
        <v>0</v>
      </c>
      <c r="K25" s="136">
        <v>1</v>
      </c>
      <c r="L25" s="137">
        <f t="shared" si="0"/>
        <v>0</v>
      </c>
      <c r="M25" s="137">
        <f t="shared" si="1"/>
        <v>0</v>
      </c>
      <c r="N25" s="137">
        <f t="shared" si="2"/>
        <v>0</v>
      </c>
      <c r="O25" s="137">
        <f t="shared" si="3"/>
        <v>0</v>
      </c>
      <c r="P25" s="137">
        <f t="shared" si="3"/>
        <v>0</v>
      </c>
      <c r="Q25" s="137">
        <f t="shared" si="5"/>
        <v>0</v>
      </c>
      <c r="R25" s="137">
        <f t="shared" si="6"/>
        <v>21.6</v>
      </c>
      <c r="S25" s="141">
        <f t="shared" si="4"/>
        <v>21.6</v>
      </c>
    </row>
    <row r="26" spans="1:19">
      <c r="A26" s="250">
        <v>46042</v>
      </c>
      <c r="B26" s="251"/>
      <c r="C26" s="136"/>
      <c r="D26" s="136"/>
      <c r="E26" s="139"/>
      <c r="F26" s="139"/>
      <c r="G26" s="140"/>
      <c r="H26" s="140"/>
      <c r="I26" s="139"/>
      <c r="J26" s="134">
        <v>0</v>
      </c>
      <c r="K26" s="136">
        <v>1</v>
      </c>
      <c r="L26" s="137">
        <f t="shared" si="0"/>
        <v>0</v>
      </c>
      <c r="M26" s="137">
        <f t="shared" si="1"/>
        <v>0</v>
      </c>
      <c r="N26" s="137">
        <f t="shared" si="2"/>
        <v>0</v>
      </c>
      <c r="O26" s="137">
        <f t="shared" si="3"/>
        <v>0</v>
      </c>
      <c r="P26" s="137">
        <f t="shared" si="3"/>
        <v>0</v>
      </c>
      <c r="Q26" s="137">
        <f t="shared" si="5"/>
        <v>0</v>
      </c>
      <c r="R26" s="137">
        <f t="shared" si="6"/>
        <v>21.6</v>
      </c>
      <c r="S26" s="141">
        <f t="shared" si="4"/>
        <v>21.6</v>
      </c>
    </row>
    <row r="27" spans="1:19">
      <c r="A27" s="250">
        <v>46043</v>
      </c>
      <c r="B27" s="251"/>
      <c r="C27" s="136"/>
      <c r="D27" s="136"/>
      <c r="E27" s="139"/>
      <c r="F27" s="139"/>
      <c r="G27" s="140"/>
      <c r="H27" s="140"/>
      <c r="I27" s="139"/>
      <c r="J27" s="134">
        <v>0</v>
      </c>
      <c r="K27" s="136">
        <v>1</v>
      </c>
      <c r="L27" s="137">
        <f t="shared" si="0"/>
        <v>0</v>
      </c>
      <c r="M27" s="137">
        <f t="shared" si="1"/>
        <v>0</v>
      </c>
      <c r="N27" s="137">
        <f t="shared" si="2"/>
        <v>0</v>
      </c>
      <c r="O27" s="137">
        <f t="shared" si="3"/>
        <v>0</v>
      </c>
      <c r="P27" s="137">
        <f t="shared" si="3"/>
        <v>0</v>
      </c>
      <c r="Q27" s="137">
        <f t="shared" si="5"/>
        <v>0</v>
      </c>
      <c r="R27" s="137">
        <f t="shared" si="6"/>
        <v>21.6</v>
      </c>
      <c r="S27" s="141">
        <f t="shared" si="4"/>
        <v>21.6</v>
      </c>
    </row>
    <row r="28" spans="1:19">
      <c r="A28" s="250">
        <v>46044</v>
      </c>
      <c r="B28" s="251"/>
      <c r="C28" s="136"/>
      <c r="D28" s="136"/>
      <c r="E28" s="139"/>
      <c r="F28" s="139"/>
      <c r="G28" s="140"/>
      <c r="H28" s="140"/>
      <c r="I28" s="139"/>
      <c r="J28" s="134">
        <v>0</v>
      </c>
      <c r="K28" s="136">
        <v>1</v>
      </c>
      <c r="L28" s="137">
        <f t="shared" si="0"/>
        <v>0</v>
      </c>
      <c r="M28" s="137">
        <f t="shared" si="1"/>
        <v>0</v>
      </c>
      <c r="N28" s="137">
        <f t="shared" si="2"/>
        <v>0</v>
      </c>
      <c r="O28" s="137">
        <f t="shared" si="3"/>
        <v>0</v>
      </c>
      <c r="P28" s="137">
        <f t="shared" si="3"/>
        <v>0</v>
      </c>
      <c r="Q28" s="137">
        <f t="shared" si="5"/>
        <v>0</v>
      </c>
      <c r="R28" s="137">
        <f t="shared" si="6"/>
        <v>21.6</v>
      </c>
      <c r="S28" s="141">
        <f t="shared" si="4"/>
        <v>21.6</v>
      </c>
    </row>
    <row r="29" spans="1:19">
      <c r="A29" s="250">
        <v>46045</v>
      </c>
      <c r="B29" s="251"/>
      <c r="C29" s="145"/>
      <c r="D29" s="145"/>
      <c r="E29" s="145"/>
      <c r="F29" s="145"/>
      <c r="G29" s="145"/>
      <c r="H29" s="145"/>
      <c r="I29" s="145"/>
      <c r="J29" s="134">
        <v>0</v>
      </c>
      <c r="K29" s="136">
        <v>1</v>
      </c>
      <c r="L29" s="137">
        <f t="shared" si="0"/>
        <v>0</v>
      </c>
      <c r="M29" s="137">
        <f t="shared" si="1"/>
        <v>0</v>
      </c>
      <c r="N29" s="137">
        <f t="shared" si="2"/>
        <v>0</v>
      </c>
      <c r="O29" s="137">
        <f t="shared" si="3"/>
        <v>0</v>
      </c>
      <c r="P29" s="137">
        <f t="shared" si="3"/>
        <v>0</v>
      </c>
      <c r="Q29" s="137">
        <f t="shared" si="5"/>
        <v>0</v>
      </c>
      <c r="R29" s="137">
        <f t="shared" si="6"/>
        <v>21.6</v>
      </c>
      <c r="S29" s="141">
        <f t="shared" si="4"/>
        <v>21.6</v>
      </c>
    </row>
    <row r="30" spans="1:19">
      <c r="A30" s="250">
        <v>46046</v>
      </c>
      <c r="B30" s="251"/>
      <c r="C30" s="136"/>
      <c r="D30" s="136"/>
      <c r="E30" s="139"/>
      <c r="F30" s="139"/>
      <c r="G30" s="140"/>
      <c r="H30" s="140"/>
      <c r="I30" s="139"/>
      <c r="J30" s="134">
        <v>0</v>
      </c>
      <c r="K30" s="136">
        <v>1</v>
      </c>
      <c r="L30" s="137">
        <f t="shared" si="0"/>
        <v>0</v>
      </c>
      <c r="M30" s="137">
        <f t="shared" si="1"/>
        <v>0</v>
      </c>
      <c r="N30" s="137">
        <f t="shared" si="2"/>
        <v>0</v>
      </c>
      <c r="O30" s="137">
        <f t="shared" si="3"/>
        <v>0</v>
      </c>
      <c r="P30" s="137">
        <f t="shared" si="3"/>
        <v>0</v>
      </c>
      <c r="Q30" s="137">
        <f t="shared" si="5"/>
        <v>0</v>
      </c>
      <c r="R30" s="137">
        <f t="shared" si="6"/>
        <v>21.6</v>
      </c>
      <c r="S30" s="141">
        <f t="shared" si="4"/>
        <v>21.6</v>
      </c>
    </row>
    <row r="31" spans="1:19">
      <c r="A31" s="250">
        <v>46047</v>
      </c>
      <c r="B31" s="251"/>
      <c r="C31" s="136"/>
      <c r="D31" s="136"/>
      <c r="E31" s="139"/>
      <c r="F31" s="139"/>
      <c r="G31" s="140"/>
      <c r="H31" s="140"/>
      <c r="I31" s="139"/>
      <c r="J31" s="134">
        <v>0</v>
      </c>
      <c r="K31" s="136">
        <v>1</v>
      </c>
      <c r="L31" s="137">
        <f t="shared" si="0"/>
        <v>0</v>
      </c>
      <c r="M31" s="137">
        <f t="shared" si="1"/>
        <v>0</v>
      </c>
      <c r="N31" s="137">
        <f t="shared" si="2"/>
        <v>0</v>
      </c>
      <c r="O31" s="137">
        <f t="shared" si="3"/>
        <v>0</v>
      </c>
      <c r="P31" s="137">
        <f t="shared" si="3"/>
        <v>0</v>
      </c>
      <c r="Q31" s="137">
        <f t="shared" si="5"/>
        <v>0</v>
      </c>
      <c r="R31" s="137">
        <f t="shared" si="6"/>
        <v>21.6</v>
      </c>
      <c r="S31" s="141">
        <f t="shared" si="4"/>
        <v>21.6</v>
      </c>
    </row>
    <row r="32" spans="1:19">
      <c r="A32" s="250">
        <v>46048</v>
      </c>
      <c r="B32" s="251"/>
      <c r="C32" s="136"/>
      <c r="D32" s="136"/>
      <c r="E32" s="139"/>
      <c r="F32" s="139"/>
      <c r="G32" s="140"/>
      <c r="H32" s="140"/>
      <c r="I32" s="139"/>
      <c r="J32" s="134">
        <v>0</v>
      </c>
      <c r="K32" s="136">
        <v>1</v>
      </c>
      <c r="L32" s="137">
        <f t="shared" si="0"/>
        <v>0</v>
      </c>
      <c r="M32" s="137">
        <f t="shared" si="1"/>
        <v>0</v>
      </c>
      <c r="N32" s="137">
        <f t="shared" si="2"/>
        <v>0</v>
      </c>
      <c r="O32" s="137">
        <f t="shared" si="3"/>
        <v>0</v>
      </c>
      <c r="P32" s="137">
        <f t="shared" si="3"/>
        <v>0</v>
      </c>
      <c r="Q32" s="137">
        <f t="shared" si="5"/>
        <v>0</v>
      </c>
      <c r="R32" s="137">
        <f t="shared" si="6"/>
        <v>21.6</v>
      </c>
      <c r="S32" s="141">
        <f t="shared" si="4"/>
        <v>21.6</v>
      </c>
    </row>
    <row r="33" spans="1:19">
      <c r="A33" s="250">
        <v>46049</v>
      </c>
      <c r="B33" s="251"/>
      <c r="C33" s="136"/>
      <c r="D33" s="136"/>
      <c r="E33" s="139"/>
      <c r="F33" s="139"/>
      <c r="G33" s="140"/>
      <c r="H33" s="140"/>
      <c r="I33" s="139"/>
      <c r="J33" s="134">
        <v>0</v>
      </c>
      <c r="K33" s="136">
        <v>1</v>
      </c>
      <c r="L33" s="137">
        <f t="shared" si="0"/>
        <v>0</v>
      </c>
      <c r="M33" s="137">
        <f t="shared" si="1"/>
        <v>0</v>
      </c>
      <c r="N33" s="137">
        <f t="shared" si="2"/>
        <v>0</v>
      </c>
      <c r="O33" s="137">
        <f t="shared" si="3"/>
        <v>0</v>
      </c>
      <c r="P33" s="137">
        <f t="shared" si="3"/>
        <v>0</v>
      </c>
      <c r="Q33" s="137">
        <f t="shared" si="5"/>
        <v>0</v>
      </c>
      <c r="R33" s="137">
        <f t="shared" si="6"/>
        <v>21.6</v>
      </c>
      <c r="S33" s="141">
        <f t="shared" si="4"/>
        <v>21.6</v>
      </c>
    </row>
    <row r="34" spans="1:19">
      <c r="A34" s="250">
        <v>46050</v>
      </c>
      <c r="B34" s="251"/>
      <c r="C34" s="136"/>
      <c r="D34" s="136"/>
      <c r="E34" s="139"/>
      <c r="F34" s="139"/>
      <c r="G34" s="139"/>
      <c r="H34" s="140"/>
      <c r="I34" s="139"/>
      <c r="J34" s="134">
        <v>0</v>
      </c>
      <c r="K34" s="136">
        <v>1</v>
      </c>
      <c r="L34" s="137">
        <f t="shared" si="0"/>
        <v>0</v>
      </c>
      <c r="M34" s="137">
        <f t="shared" si="1"/>
        <v>0</v>
      </c>
      <c r="N34" s="137">
        <f t="shared" si="2"/>
        <v>0</v>
      </c>
      <c r="O34" s="137">
        <f t="shared" si="3"/>
        <v>0</v>
      </c>
      <c r="P34" s="137">
        <f t="shared" si="3"/>
        <v>0</v>
      </c>
      <c r="Q34" s="137">
        <f t="shared" si="5"/>
        <v>0</v>
      </c>
      <c r="R34" s="137">
        <f t="shared" si="6"/>
        <v>21.6</v>
      </c>
      <c r="S34" s="141">
        <f t="shared" si="4"/>
        <v>21.6</v>
      </c>
    </row>
    <row r="35" spans="1:19">
      <c r="A35" s="250">
        <v>46051</v>
      </c>
      <c r="B35" s="251"/>
      <c r="C35" s="136"/>
      <c r="D35" s="136"/>
      <c r="E35" s="139"/>
      <c r="F35" s="139"/>
      <c r="G35" s="139"/>
      <c r="H35" s="140"/>
      <c r="I35" s="139"/>
      <c r="J35" s="134">
        <v>0</v>
      </c>
      <c r="K35" s="136">
        <v>1</v>
      </c>
      <c r="L35" s="137">
        <f t="shared" si="0"/>
        <v>0</v>
      </c>
      <c r="M35" s="137">
        <f t="shared" si="1"/>
        <v>0</v>
      </c>
      <c r="N35" s="137">
        <f t="shared" si="2"/>
        <v>0</v>
      </c>
      <c r="O35" s="137">
        <f t="shared" si="3"/>
        <v>0</v>
      </c>
      <c r="P35" s="137">
        <f t="shared" si="3"/>
        <v>0</v>
      </c>
      <c r="Q35" s="137">
        <f t="shared" si="5"/>
        <v>0</v>
      </c>
      <c r="R35" s="137">
        <f t="shared" si="6"/>
        <v>21.6</v>
      </c>
      <c r="S35" s="141">
        <f t="shared" si="4"/>
        <v>21.6</v>
      </c>
    </row>
    <row r="36" spans="1:19">
      <c r="A36" s="250">
        <v>46052</v>
      </c>
      <c r="B36" s="251"/>
      <c r="C36" s="136"/>
      <c r="D36" s="136"/>
      <c r="E36" s="139"/>
      <c r="F36" s="139"/>
      <c r="G36" s="139"/>
      <c r="H36" s="140"/>
      <c r="I36" s="139"/>
      <c r="J36" s="134">
        <v>0</v>
      </c>
      <c r="K36" s="136">
        <v>1</v>
      </c>
      <c r="L36" s="137">
        <f t="shared" si="0"/>
        <v>0</v>
      </c>
      <c r="M36" s="137">
        <f t="shared" si="1"/>
        <v>0</v>
      </c>
      <c r="N36" s="137">
        <f t="shared" si="2"/>
        <v>0</v>
      </c>
      <c r="O36" s="137">
        <f t="shared" si="3"/>
        <v>0</v>
      </c>
      <c r="P36" s="137">
        <f t="shared" si="3"/>
        <v>0</v>
      </c>
      <c r="Q36" s="137">
        <f t="shared" si="5"/>
        <v>0</v>
      </c>
      <c r="R36" s="137">
        <f t="shared" si="6"/>
        <v>21.6</v>
      </c>
      <c r="S36" s="141">
        <f t="shared" si="4"/>
        <v>21.6</v>
      </c>
    </row>
    <row r="37" spans="1:19" ht="15.75" thickBot="1">
      <c r="A37" s="250">
        <v>46053</v>
      </c>
      <c r="B37" s="251"/>
      <c r="C37" s="136"/>
      <c r="D37" s="136"/>
      <c r="E37" s="139"/>
      <c r="F37" s="139"/>
      <c r="G37" s="139"/>
      <c r="H37" s="140"/>
      <c r="I37" s="139"/>
      <c r="J37" s="134">
        <v>0</v>
      </c>
      <c r="K37" s="136">
        <v>1</v>
      </c>
      <c r="L37" s="137">
        <f t="shared" si="0"/>
        <v>0</v>
      </c>
      <c r="M37" s="137">
        <f t="shared" si="1"/>
        <v>0</v>
      </c>
      <c r="N37" s="137">
        <f t="shared" si="2"/>
        <v>0</v>
      </c>
      <c r="O37" s="137">
        <f t="shared" si="3"/>
        <v>0</v>
      </c>
      <c r="P37" s="137">
        <f t="shared" si="3"/>
        <v>0</v>
      </c>
      <c r="Q37" s="137">
        <f t="shared" si="5"/>
        <v>0</v>
      </c>
      <c r="R37" s="137">
        <f t="shared" si="6"/>
        <v>21.6</v>
      </c>
      <c r="S37" s="141">
        <f t="shared" si="4"/>
        <v>21.6</v>
      </c>
    </row>
    <row r="38" spans="1:19" ht="15.75" thickBot="1">
      <c r="A38" s="257" t="s">
        <v>26</v>
      </c>
      <c r="B38" s="258"/>
      <c r="C38" s="146">
        <f t="shared" ref="C38:K38" si="7">SUM(C7:C37)</f>
        <v>4</v>
      </c>
      <c r="D38" s="146">
        <f t="shared" si="7"/>
        <v>0</v>
      </c>
      <c r="E38" s="146">
        <f t="shared" si="7"/>
        <v>4</v>
      </c>
      <c r="F38" s="146">
        <f t="shared" si="7"/>
        <v>0</v>
      </c>
      <c r="G38" s="146">
        <f t="shared" si="7"/>
        <v>0</v>
      </c>
      <c r="H38" s="146">
        <f t="shared" si="7"/>
        <v>0</v>
      </c>
      <c r="I38" s="146">
        <f t="shared" si="7"/>
        <v>0</v>
      </c>
      <c r="J38" s="146">
        <f t="shared" si="7"/>
        <v>0</v>
      </c>
      <c r="K38" s="146">
        <f t="shared" si="7"/>
        <v>31</v>
      </c>
      <c r="L38" s="147">
        <f>SUM(L7:L37)</f>
        <v>672</v>
      </c>
      <c r="M38" s="147">
        <f t="shared" ref="M38:R38" si="8">SUM(M7:M37)</f>
        <v>0</v>
      </c>
      <c r="N38" s="147">
        <f t="shared" si="8"/>
        <v>672</v>
      </c>
      <c r="O38" s="147">
        <f t="shared" si="8"/>
        <v>0</v>
      </c>
      <c r="P38" s="147">
        <f t="shared" si="8"/>
        <v>0</v>
      </c>
      <c r="Q38" s="147">
        <f t="shared" si="8"/>
        <v>0</v>
      </c>
      <c r="R38" s="148">
        <f t="shared" si="8"/>
        <v>669.60000000000036</v>
      </c>
      <c r="S38" s="149">
        <f>SUM(S7:S37)</f>
        <v>2013.5999999999985</v>
      </c>
    </row>
    <row r="39" spans="1:19" ht="15.75">
      <c r="C39" s="129"/>
      <c r="D39" s="129"/>
      <c r="E39" s="129"/>
      <c r="F39" s="129"/>
      <c r="G39" s="129"/>
      <c r="H39" s="129"/>
      <c r="I39" s="129"/>
      <c r="J39" s="129"/>
      <c r="K39" s="129"/>
      <c r="R39" s="150" t="s">
        <v>26</v>
      </c>
      <c r="S39" s="151">
        <f>S38</f>
        <v>2013.5999999999985</v>
      </c>
    </row>
  </sheetData>
  <mergeCells count="55">
    <mergeCell ref="A38:B38"/>
    <mergeCell ref="A32:B32"/>
    <mergeCell ref="A33:B33"/>
    <mergeCell ref="A34:B34"/>
    <mergeCell ref="A35:B35"/>
    <mergeCell ref="A36:B36"/>
    <mergeCell ref="A37:B37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O5:O6"/>
    <mergeCell ref="P5:P6"/>
    <mergeCell ref="Q5:Q6"/>
    <mergeCell ref="R5:R6"/>
    <mergeCell ref="S5:S6"/>
    <mergeCell ref="A7:B7"/>
    <mergeCell ref="H5:H6"/>
    <mergeCell ref="I5:I6"/>
    <mergeCell ref="J5:J6"/>
    <mergeCell ref="L5:L6"/>
    <mergeCell ref="M5:M6"/>
    <mergeCell ref="N5:N6"/>
    <mergeCell ref="A5:B6"/>
    <mergeCell ref="C5:C6"/>
    <mergeCell ref="D5:D6"/>
    <mergeCell ref="E5:E6"/>
    <mergeCell ref="F5:F6"/>
    <mergeCell ref="G5:G6"/>
    <mergeCell ref="L4:S4"/>
    <mergeCell ref="H1:I1"/>
    <mergeCell ref="H2:I2"/>
    <mergeCell ref="H3:I3"/>
    <mergeCell ref="A4:G4"/>
    <mergeCell ref="H4: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D37-BF6D-47EA-BDE2-C123E01C6538}">
  <sheetPr codeName="Лист15"/>
  <dimension ref="A1:K36"/>
  <sheetViews>
    <sheetView topLeftCell="A13" workbookViewId="0">
      <selection activeCell="K25" sqref="K25"/>
    </sheetView>
  </sheetViews>
  <sheetFormatPr defaultRowHeight="15"/>
  <cols>
    <col min="1" max="4" width="8.796875" style="2"/>
    <col min="5" max="5" width="9" style="2" customWidth="1"/>
    <col min="6" max="10" width="8.796875" style="2"/>
    <col min="11" max="11" width="7.59765625" style="2" customWidth="1"/>
    <col min="12" max="16384" width="8.796875" style="2"/>
  </cols>
  <sheetData>
    <row r="1" spans="1:11">
      <c r="A1" s="152">
        <f>K36</f>
        <v>21000</v>
      </c>
    </row>
    <row r="2" spans="1:11" ht="21">
      <c r="A2" s="208" t="s">
        <v>167</v>
      </c>
      <c r="B2" s="208"/>
      <c r="C2" s="208"/>
      <c r="D2" s="208"/>
      <c r="E2" s="208"/>
      <c r="F2" s="208"/>
      <c r="G2" s="208"/>
      <c r="H2" s="208"/>
    </row>
    <row r="3" spans="1:11" ht="28.9" customHeight="1">
      <c r="A3" s="209" t="s">
        <v>0</v>
      </c>
      <c r="B3" s="211" t="s">
        <v>1</v>
      </c>
      <c r="C3" s="212"/>
      <c r="D3" s="209" t="s">
        <v>146</v>
      </c>
      <c r="E3" s="259" t="s">
        <v>168</v>
      </c>
      <c r="F3" s="260"/>
      <c r="G3" s="4" t="s">
        <v>4</v>
      </c>
      <c r="H3" s="209" t="s">
        <v>11</v>
      </c>
      <c r="I3" s="209" t="s">
        <v>169</v>
      </c>
      <c r="J3" s="209" t="s">
        <v>13</v>
      </c>
      <c r="K3" s="209" t="s">
        <v>18</v>
      </c>
    </row>
    <row r="4" spans="1:11" ht="30">
      <c r="A4" s="210"/>
      <c r="B4" s="213"/>
      <c r="C4" s="214"/>
      <c r="D4" s="210"/>
      <c r="E4" s="153" t="s">
        <v>170</v>
      </c>
      <c r="F4" s="153" t="s">
        <v>171</v>
      </c>
      <c r="G4" s="5" t="s">
        <v>156</v>
      </c>
      <c r="H4" s="210"/>
      <c r="I4" s="210"/>
      <c r="J4" s="210"/>
      <c r="K4" s="210"/>
    </row>
    <row r="5" spans="1:11">
      <c r="A5" s="6">
        <v>1</v>
      </c>
      <c r="B5" s="216">
        <v>46023</v>
      </c>
      <c r="C5" s="217"/>
      <c r="D5" s="120"/>
      <c r="E5" s="78"/>
      <c r="F5" s="78"/>
      <c r="G5" s="154">
        <v>42</v>
      </c>
      <c r="H5" s="78">
        <f t="shared" ref="H5:H35" si="0">SUM(D5*60)</f>
        <v>0</v>
      </c>
      <c r="I5" s="78">
        <f>SUM(E5*25+F5*7)</f>
        <v>0</v>
      </c>
      <c r="J5" s="78">
        <f t="shared" ref="J5:J35" si="1">SUM(G5*15)</f>
        <v>630</v>
      </c>
      <c r="K5" s="78">
        <f t="shared" ref="K5:K35" si="2">SUM(H5:J5)</f>
        <v>630</v>
      </c>
    </row>
    <row r="6" spans="1:11">
      <c r="A6" s="6">
        <v>2</v>
      </c>
      <c r="B6" s="216">
        <v>46024</v>
      </c>
      <c r="C6" s="217"/>
      <c r="D6" s="120"/>
      <c r="E6" s="78"/>
      <c r="F6" s="78"/>
      <c r="G6" s="154">
        <v>42</v>
      </c>
      <c r="H6" s="78">
        <f t="shared" si="0"/>
        <v>0</v>
      </c>
      <c r="I6" s="78">
        <f>SUM(E6*25+F6*7)</f>
        <v>0</v>
      </c>
      <c r="J6" s="78">
        <f t="shared" si="1"/>
        <v>630</v>
      </c>
      <c r="K6" s="78">
        <f t="shared" si="2"/>
        <v>630</v>
      </c>
    </row>
    <row r="7" spans="1:11">
      <c r="A7" s="6">
        <v>3</v>
      </c>
      <c r="B7" s="216">
        <v>46025</v>
      </c>
      <c r="C7" s="217"/>
      <c r="D7" s="120"/>
      <c r="E7" s="78"/>
      <c r="F7" s="78"/>
      <c r="G7" s="154">
        <v>42</v>
      </c>
      <c r="H7" s="78">
        <f t="shared" si="0"/>
        <v>0</v>
      </c>
      <c r="I7" s="78">
        <f>SUM(E7*25+F7*7)</f>
        <v>0</v>
      </c>
      <c r="J7" s="78">
        <f t="shared" si="1"/>
        <v>630</v>
      </c>
      <c r="K7" s="78">
        <f t="shared" si="2"/>
        <v>630</v>
      </c>
    </row>
    <row r="8" spans="1:11">
      <c r="A8" s="6">
        <v>4</v>
      </c>
      <c r="B8" s="216">
        <v>46026</v>
      </c>
      <c r="C8" s="217"/>
      <c r="D8" s="120"/>
      <c r="E8" s="78"/>
      <c r="F8" s="78"/>
      <c r="G8" s="154">
        <v>42</v>
      </c>
      <c r="H8" s="78">
        <f t="shared" si="0"/>
        <v>0</v>
      </c>
      <c r="I8" s="78">
        <f t="shared" ref="I8:I35" si="3">SUM(E8*25+F8*7)</f>
        <v>0</v>
      </c>
      <c r="J8" s="78">
        <f t="shared" si="1"/>
        <v>630</v>
      </c>
      <c r="K8" s="78">
        <f t="shared" si="2"/>
        <v>630</v>
      </c>
    </row>
    <row r="9" spans="1:11">
      <c r="A9" s="6">
        <v>5</v>
      </c>
      <c r="B9" s="216">
        <v>46027</v>
      </c>
      <c r="C9" s="217"/>
      <c r="D9" s="120"/>
      <c r="E9" s="78"/>
      <c r="F9" s="78"/>
      <c r="G9" s="154">
        <v>42</v>
      </c>
      <c r="H9" s="78">
        <f t="shared" si="0"/>
        <v>0</v>
      </c>
      <c r="I9" s="78">
        <f t="shared" si="3"/>
        <v>0</v>
      </c>
      <c r="J9" s="78">
        <f t="shared" si="1"/>
        <v>630</v>
      </c>
      <c r="K9" s="78">
        <f t="shared" si="2"/>
        <v>630</v>
      </c>
    </row>
    <row r="10" spans="1:11">
      <c r="A10" s="6">
        <v>6</v>
      </c>
      <c r="B10" s="216">
        <v>46028</v>
      </c>
      <c r="C10" s="217"/>
      <c r="D10" s="120"/>
      <c r="E10" s="78"/>
      <c r="F10" s="78"/>
      <c r="G10" s="154">
        <v>42</v>
      </c>
      <c r="H10" s="78">
        <f t="shared" si="0"/>
        <v>0</v>
      </c>
      <c r="I10" s="78">
        <f t="shared" si="3"/>
        <v>0</v>
      </c>
      <c r="J10" s="78">
        <f t="shared" si="1"/>
        <v>630</v>
      </c>
      <c r="K10" s="78">
        <f t="shared" si="2"/>
        <v>630</v>
      </c>
    </row>
    <row r="11" spans="1:11">
      <c r="A11" s="6">
        <v>7</v>
      </c>
      <c r="B11" s="216">
        <v>46029</v>
      </c>
      <c r="C11" s="217"/>
      <c r="D11" s="120"/>
      <c r="E11" s="78"/>
      <c r="F11" s="78"/>
      <c r="G11" s="154">
        <v>42</v>
      </c>
      <c r="H11" s="78">
        <f t="shared" si="0"/>
        <v>0</v>
      </c>
      <c r="I11" s="78">
        <f t="shared" si="3"/>
        <v>0</v>
      </c>
      <c r="J11" s="78">
        <f t="shared" si="1"/>
        <v>630</v>
      </c>
      <c r="K11" s="78">
        <f t="shared" si="2"/>
        <v>630</v>
      </c>
    </row>
    <row r="12" spans="1:11">
      <c r="A12" s="6">
        <v>8</v>
      </c>
      <c r="B12" s="216">
        <v>46030</v>
      </c>
      <c r="C12" s="217"/>
      <c r="D12" s="120"/>
      <c r="E12" s="78"/>
      <c r="F12" s="78"/>
      <c r="G12" s="154">
        <v>42</v>
      </c>
      <c r="H12" s="78">
        <f t="shared" si="0"/>
        <v>0</v>
      </c>
      <c r="I12" s="78">
        <f t="shared" si="3"/>
        <v>0</v>
      </c>
      <c r="J12" s="78">
        <f t="shared" si="1"/>
        <v>630</v>
      </c>
      <c r="K12" s="78">
        <f t="shared" si="2"/>
        <v>630</v>
      </c>
    </row>
    <row r="13" spans="1:11">
      <c r="A13" s="6">
        <v>9</v>
      </c>
      <c r="B13" s="216">
        <v>46031</v>
      </c>
      <c r="C13" s="217"/>
      <c r="D13" s="120"/>
      <c r="E13" s="78"/>
      <c r="F13" s="78"/>
      <c r="G13" s="154">
        <v>42</v>
      </c>
      <c r="H13" s="78">
        <f t="shared" si="0"/>
        <v>0</v>
      </c>
      <c r="I13" s="78">
        <f t="shared" si="3"/>
        <v>0</v>
      </c>
      <c r="J13" s="78">
        <f t="shared" si="1"/>
        <v>630</v>
      </c>
      <c r="K13" s="78">
        <f t="shared" si="2"/>
        <v>630</v>
      </c>
    </row>
    <row r="14" spans="1:11">
      <c r="A14" s="6">
        <v>10</v>
      </c>
      <c r="B14" s="216">
        <v>46032</v>
      </c>
      <c r="C14" s="217"/>
      <c r="D14" s="120"/>
      <c r="E14" s="78"/>
      <c r="F14" s="78"/>
      <c r="G14" s="154">
        <v>42</v>
      </c>
      <c r="H14" s="78">
        <f t="shared" si="0"/>
        <v>0</v>
      </c>
      <c r="I14" s="78">
        <f t="shared" si="3"/>
        <v>0</v>
      </c>
      <c r="J14" s="78">
        <f t="shared" si="1"/>
        <v>630</v>
      </c>
      <c r="K14" s="78">
        <f t="shared" si="2"/>
        <v>630</v>
      </c>
    </row>
    <row r="15" spans="1:11">
      <c r="A15" s="6">
        <v>11</v>
      </c>
      <c r="B15" s="216">
        <v>46033</v>
      </c>
      <c r="C15" s="217"/>
      <c r="D15" s="120"/>
      <c r="E15" s="78"/>
      <c r="F15" s="78"/>
      <c r="G15" s="154">
        <v>42</v>
      </c>
      <c r="H15" s="78">
        <f t="shared" si="0"/>
        <v>0</v>
      </c>
      <c r="I15" s="78">
        <f t="shared" si="3"/>
        <v>0</v>
      </c>
      <c r="J15" s="78">
        <f t="shared" si="1"/>
        <v>630</v>
      </c>
      <c r="K15" s="78">
        <f t="shared" si="2"/>
        <v>630</v>
      </c>
    </row>
    <row r="16" spans="1:11">
      <c r="A16" s="6">
        <v>12</v>
      </c>
      <c r="B16" s="216">
        <v>46034</v>
      </c>
      <c r="C16" s="217"/>
      <c r="D16" s="120"/>
      <c r="E16" s="78"/>
      <c r="F16" s="78"/>
      <c r="G16" s="154">
        <v>42</v>
      </c>
      <c r="H16" s="78">
        <f t="shared" si="0"/>
        <v>0</v>
      </c>
      <c r="I16" s="78">
        <f t="shared" si="3"/>
        <v>0</v>
      </c>
      <c r="J16" s="78">
        <f t="shared" si="1"/>
        <v>630</v>
      </c>
      <c r="K16" s="78">
        <f t="shared" si="2"/>
        <v>630</v>
      </c>
    </row>
    <row r="17" spans="1:11">
      <c r="A17" s="6">
        <v>13</v>
      </c>
      <c r="B17" s="216">
        <v>46035</v>
      </c>
      <c r="C17" s="217"/>
      <c r="D17" s="120"/>
      <c r="E17" s="78"/>
      <c r="F17" s="78"/>
      <c r="G17" s="154">
        <v>42</v>
      </c>
      <c r="H17" s="78">
        <f t="shared" si="0"/>
        <v>0</v>
      </c>
      <c r="I17" s="78">
        <f t="shared" si="3"/>
        <v>0</v>
      </c>
      <c r="J17" s="78">
        <f t="shared" si="1"/>
        <v>630</v>
      </c>
      <c r="K17" s="78">
        <f t="shared" si="2"/>
        <v>630</v>
      </c>
    </row>
    <row r="18" spans="1:11">
      <c r="A18" s="6">
        <v>14</v>
      </c>
      <c r="B18" s="216">
        <v>46036</v>
      </c>
      <c r="C18" s="217"/>
      <c r="D18" s="120"/>
      <c r="E18" s="78"/>
      <c r="F18" s="78"/>
      <c r="G18" s="154">
        <v>42</v>
      </c>
      <c r="H18" s="78">
        <f t="shared" si="0"/>
        <v>0</v>
      </c>
      <c r="I18" s="78">
        <f t="shared" si="3"/>
        <v>0</v>
      </c>
      <c r="J18" s="78">
        <f t="shared" si="1"/>
        <v>630</v>
      </c>
      <c r="K18" s="78">
        <f t="shared" si="2"/>
        <v>630</v>
      </c>
    </row>
    <row r="19" spans="1:11">
      <c r="A19" s="6">
        <v>15</v>
      </c>
      <c r="B19" s="216">
        <v>46037</v>
      </c>
      <c r="C19" s="217"/>
      <c r="D19" s="120"/>
      <c r="E19" s="78"/>
      <c r="F19" s="78"/>
      <c r="G19" s="154">
        <v>42</v>
      </c>
      <c r="H19" s="78">
        <f t="shared" si="0"/>
        <v>0</v>
      </c>
      <c r="I19" s="78">
        <f t="shared" si="3"/>
        <v>0</v>
      </c>
      <c r="J19" s="78">
        <f t="shared" si="1"/>
        <v>630</v>
      </c>
      <c r="K19" s="78">
        <f t="shared" si="2"/>
        <v>630</v>
      </c>
    </row>
    <row r="20" spans="1:11">
      <c r="A20" s="6">
        <v>16</v>
      </c>
      <c r="B20" s="216">
        <v>46038</v>
      </c>
      <c r="C20" s="217"/>
      <c r="D20" s="120"/>
      <c r="E20" s="78"/>
      <c r="F20" s="78"/>
      <c r="G20" s="154">
        <v>42</v>
      </c>
      <c r="H20" s="78">
        <f t="shared" si="0"/>
        <v>0</v>
      </c>
      <c r="I20" s="78">
        <f t="shared" si="3"/>
        <v>0</v>
      </c>
      <c r="J20" s="78">
        <f t="shared" si="1"/>
        <v>630</v>
      </c>
      <c r="K20" s="78">
        <f t="shared" si="2"/>
        <v>630</v>
      </c>
    </row>
    <row r="21" spans="1:11">
      <c r="A21" s="6">
        <v>17</v>
      </c>
      <c r="B21" s="216">
        <v>46039</v>
      </c>
      <c r="C21" s="217"/>
      <c r="D21" s="120"/>
      <c r="E21" s="78"/>
      <c r="F21" s="78"/>
      <c r="G21" s="154">
        <v>42</v>
      </c>
      <c r="H21" s="78">
        <f t="shared" si="0"/>
        <v>0</v>
      </c>
      <c r="I21" s="78">
        <f t="shared" si="3"/>
        <v>0</v>
      </c>
      <c r="J21" s="78">
        <f t="shared" si="1"/>
        <v>630</v>
      </c>
      <c r="K21" s="78">
        <f t="shared" si="2"/>
        <v>630</v>
      </c>
    </row>
    <row r="22" spans="1:11">
      <c r="A22" s="6">
        <v>18</v>
      </c>
      <c r="B22" s="216">
        <v>46040</v>
      </c>
      <c r="C22" s="217"/>
      <c r="D22" s="120"/>
      <c r="E22" s="78"/>
      <c r="F22" s="78"/>
      <c r="G22" s="154">
        <v>42</v>
      </c>
      <c r="H22" s="78">
        <f t="shared" si="0"/>
        <v>0</v>
      </c>
      <c r="I22" s="78">
        <f t="shared" si="3"/>
        <v>0</v>
      </c>
      <c r="J22" s="78">
        <f t="shared" si="1"/>
        <v>630</v>
      </c>
      <c r="K22" s="78">
        <f t="shared" si="2"/>
        <v>630</v>
      </c>
    </row>
    <row r="23" spans="1:11">
      <c r="A23" s="6">
        <v>19</v>
      </c>
      <c r="B23" s="216">
        <v>46041</v>
      </c>
      <c r="C23" s="217"/>
      <c r="D23" s="120"/>
      <c r="E23" s="78"/>
      <c r="F23" s="78"/>
      <c r="G23" s="154">
        <v>42</v>
      </c>
      <c r="H23" s="78">
        <f t="shared" si="0"/>
        <v>0</v>
      </c>
      <c r="I23" s="78">
        <f t="shared" si="3"/>
        <v>0</v>
      </c>
      <c r="J23" s="78">
        <f t="shared" si="1"/>
        <v>630</v>
      </c>
      <c r="K23" s="78">
        <f t="shared" si="2"/>
        <v>630</v>
      </c>
    </row>
    <row r="24" spans="1:11">
      <c r="A24" s="6">
        <v>20</v>
      </c>
      <c r="B24" s="216">
        <v>46042</v>
      </c>
      <c r="C24" s="217"/>
      <c r="D24" s="120"/>
      <c r="E24" s="78"/>
      <c r="F24" s="78"/>
      <c r="G24" s="154">
        <v>42</v>
      </c>
      <c r="H24" s="78">
        <f t="shared" si="0"/>
        <v>0</v>
      </c>
      <c r="I24" s="78">
        <f t="shared" si="3"/>
        <v>0</v>
      </c>
      <c r="J24" s="78">
        <f t="shared" si="1"/>
        <v>630</v>
      </c>
      <c r="K24" s="78">
        <f t="shared" si="2"/>
        <v>630</v>
      </c>
    </row>
    <row r="25" spans="1:11">
      <c r="A25" s="6">
        <v>21</v>
      </c>
      <c r="B25" s="216">
        <v>46043</v>
      </c>
      <c r="C25" s="217"/>
      <c r="D25" s="120"/>
      <c r="E25" s="78"/>
      <c r="F25" s="78"/>
      <c r="G25" s="154">
        <v>42</v>
      </c>
      <c r="H25" s="78">
        <f t="shared" si="0"/>
        <v>0</v>
      </c>
      <c r="I25" s="78">
        <f t="shared" si="3"/>
        <v>0</v>
      </c>
      <c r="J25" s="78">
        <f t="shared" si="1"/>
        <v>630</v>
      </c>
      <c r="K25" s="78">
        <f t="shared" si="2"/>
        <v>630</v>
      </c>
    </row>
    <row r="26" spans="1:11">
      <c r="A26" s="6">
        <v>22</v>
      </c>
      <c r="B26" s="216">
        <v>46044</v>
      </c>
      <c r="C26" s="217"/>
      <c r="D26" s="120"/>
      <c r="E26" s="78"/>
      <c r="F26" s="78"/>
      <c r="G26" s="154">
        <v>42</v>
      </c>
      <c r="H26" s="78">
        <f t="shared" si="0"/>
        <v>0</v>
      </c>
      <c r="I26" s="78">
        <f t="shared" si="3"/>
        <v>0</v>
      </c>
      <c r="J26" s="78">
        <f t="shared" si="1"/>
        <v>630</v>
      </c>
      <c r="K26" s="78">
        <f t="shared" si="2"/>
        <v>630</v>
      </c>
    </row>
    <row r="27" spans="1:11">
      <c r="A27" s="6">
        <v>23</v>
      </c>
      <c r="B27" s="216">
        <v>46045</v>
      </c>
      <c r="C27" s="217"/>
      <c r="D27" s="120"/>
      <c r="E27" s="78"/>
      <c r="F27" s="78"/>
      <c r="G27" s="154">
        <v>42</v>
      </c>
      <c r="H27" s="78">
        <f t="shared" si="0"/>
        <v>0</v>
      </c>
      <c r="I27" s="78">
        <f t="shared" si="3"/>
        <v>0</v>
      </c>
      <c r="J27" s="78">
        <f t="shared" si="1"/>
        <v>630</v>
      </c>
      <c r="K27" s="78">
        <f t="shared" si="2"/>
        <v>630</v>
      </c>
    </row>
    <row r="28" spans="1:11">
      <c r="A28" s="6">
        <v>24</v>
      </c>
      <c r="B28" s="216">
        <v>46046</v>
      </c>
      <c r="C28" s="217"/>
      <c r="D28" s="120"/>
      <c r="E28" s="78"/>
      <c r="F28" s="78"/>
      <c r="G28" s="154">
        <v>42</v>
      </c>
      <c r="H28" s="78">
        <f t="shared" si="0"/>
        <v>0</v>
      </c>
      <c r="I28" s="78">
        <f t="shared" si="3"/>
        <v>0</v>
      </c>
      <c r="J28" s="78">
        <f t="shared" si="1"/>
        <v>630</v>
      </c>
      <c r="K28" s="78">
        <f t="shared" si="2"/>
        <v>630</v>
      </c>
    </row>
    <row r="29" spans="1:11">
      <c r="A29" s="6">
        <v>25</v>
      </c>
      <c r="B29" s="216">
        <v>46047</v>
      </c>
      <c r="C29" s="217"/>
      <c r="D29" s="120"/>
      <c r="E29" s="78"/>
      <c r="F29" s="78"/>
      <c r="G29" s="154">
        <v>42</v>
      </c>
      <c r="H29" s="78">
        <f t="shared" si="0"/>
        <v>0</v>
      </c>
      <c r="I29" s="78">
        <f t="shared" si="3"/>
        <v>0</v>
      </c>
      <c r="J29" s="78">
        <f t="shared" si="1"/>
        <v>630</v>
      </c>
      <c r="K29" s="78">
        <f t="shared" si="2"/>
        <v>630</v>
      </c>
    </row>
    <row r="30" spans="1:11">
      <c r="A30" s="6">
        <v>26</v>
      </c>
      <c r="B30" s="216">
        <v>46048</v>
      </c>
      <c r="C30" s="217"/>
      <c r="D30" s="120"/>
      <c r="E30" s="78"/>
      <c r="F30" s="78"/>
      <c r="G30" s="154">
        <v>42</v>
      </c>
      <c r="H30" s="78">
        <f t="shared" si="0"/>
        <v>0</v>
      </c>
      <c r="I30" s="78">
        <f t="shared" si="3"/>
        <v>0</v>
      </c>
      <c r="J30" s="78">
        <f t="shared" si="1"/>
        <v>630</v>
      </c>
      <c r="K30" s="78">
        <f t="shared" si="2"/>
        <v>630</v>
      </c>
    </row>
    <row r="31" spans="1:11">
      <c r="A31" s="6">
        <v>27</v>
      </c>
      <c r="B31" s="216">
        <v>46049</v>
      </c>
      <c r="C31" s="217"/>
      <c r="D31" s="120"/>
      <c r="E31" s="78">
        <v>18</v>
      </c>
      <c r="F31" s="78"/>
      <c r="G31" s="154">
        <v>42</v>
      </c>
      <c r="H31" s="78">
        <f t="shared" si="0"/>
        <v>0</v>
      </c>
      <c r="I31" s="78">
        <f t="shared" si="3"/>
        <v>450</v>
      </c>
      <c r="J31" s="78">
        <f t="shared" si="1"/>
        <v>630</v>
      </c>
      <c r="K31" s="78">
        <f t="shared" si="2"/>
        <v>1080</v>
      </c>
    </row>
    <row r="32" spans="1:11">
      <c r="A32" s="6">
        <v>28</v>
      </c>
      <c r="B32" s="216">
        <v>46050</v>
      </c>
      <c r="C32" s="217"/>
      <c r="D32" s="120">
        <v>10</v>
      </c>
      <c r="E32" s="78"/>
      <c r="F32" s="78"/>
      <c r="G32" s="154">
        <v>49</v>
      </c>
      <c r="H32" s="78">
        <f t="shared" si="0"/>
        <v>600</v>
      </c>
      <c r="I32" s="78">
        <f t="shared" si="3"/>
        <v>0</v>
      </c>
      <c r="J32" s="78">
        <f t="shared" si="1"/>
        <v>735</v>
      </c>
      <c r="K32" s="78">
        <f t="shared" si="2"/>
        <v>1335</v>
      </c>
    </row>
    <row r="33" spans="1:11">
      <c r="A33" s="6">
        <v>29</v>
      </c>
      <c r="B33" s="216">
        <v>46051</v>
      </c>
      <c r="C33" s="217"/>
      <c r="D33" s="120"/>
      <c r="E33" s="78"/>
      <c r="F33" s="78"/>
      <c r="G33" s="154">
        <v>49</v>
      </c>
      <c r="H33" s="78">
        <f t="shared" si="0"/>
        <v>0</v>
      </c>
      <c r="I33" s="78">
        <f t="shared" si="3"/>
        <v>0</v>
      </c>
      <c r="J33" s="78">
        <f t="shared" si="1"/>
        <v>735</v>
      </c>
      <c r="K33" s="78">
        <f t="shared" si="2"/>
        <v>735</v>
      </c>
    </row>
    <row r="34" spans="1:11">
      <c r="A34" s="6">
        <v>30</v>
      </c>
      <c r="B34" s="216">
        <v>46052</v>
      </c>
      <c r="C34" s="217"/>
      <c r="D34" s="120"/>
      <c r="E34" s="78"/>
      <c r="F34" s="78"/>
      <c r="G34" s="154">
        <v>49</v>
      </c>
      <c r="H34" s="78">
        <f t="shared" si="0"/>
        <v>0</v>
      </c>
      <c r="I34" s="78">
        <f t="shared" si="3"/>
        <v>0</v>
      </c>
      <c r="J34" s="78">
        <f t="shared" si="1"/>
        <v>735</v>
      </c>
      <c r="K34" s="78">
        <f t="shared" si="2"/>
        <v>735</v>
      </c>
    </row>
    <row r="35" spans="1:11">
      <c r="A35" s="6"/>
      <c r="B35" s="216">
        <v>46053</v>
      </c>
      <c r="C35" s="217"/>
      <c r="D35" s="120"/>
      <c r="E35" s="78"/>
      <c r="F35" s="78"/>
      <c r="G35" s="154">
        <v>49</v>
      </c>
      <c r="H35" s="78">
        <f t="shared" si="0"/>
        <v>0</v>
      </c>
      <c r="I35" s="78">
        <f t="shared" si="3"/>
        <v>0</v>
      </c>
      <c r="J35" s="78">
        <f t="shared" si="1"/>
        <v>735</v>
      </c>
      <c r="K35" s="78">
        <f t="shared" si="2"/>
        <v>735</v>
      </c>
    </row>
    <row r="36" spans="1:11">
      <c r="D36" s="78"/>
      <c r="E36" s="78"/>
      <c r="F36" s="78"/>
      <c r="G36" s="78">
        <f>SUM(G5:G35)</f>
        <v>1330</v>
      </c>
      <c r="H36" s="78">
        <f>SUM(H5:H35)</f>
        <v>600</v>
      </c>
      <c r="I36" s="78">
        <f>SUM(I5:I35)</f>
        <v>450</v>
      </c>
      <c r="J36" s="78">
        <f>SUM(J5:J35)</f>
        <v>19950</v>
      </c>
      <c r="K36" s="155">
        <f>SUM(K5:K35)</f>
        <v>21000</v>
      </c>
    </row>
  </sheetData>
  <mergeCells count="4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I3:I4"/>
    <mergeCell ref="J3:J4"/>
    <mergeCell ref="K3:K4"/>
    <mergeCell ref="B5:C5"/>
    <mergeCell ref="B6:C6"/>
    <mergeCell ref="B7:C7"/>
    <mergeCell ref="B8:C8"/>
    <mergeCell ref="B9:C9"/>
    <mergeCell ref="B10:C10"/>
    <mergeCell ref="B11:C11"/>
    <mergeCell ref="B12:C12"/>
    <mergeCell ref="A2:H2"/>
    <mergeCell ref="A3:A4"/>
    <mergeCell ref="B3:C4"/>
    <mergeCell ref="D3:D4"/>
    <mergeCell ref="E3:F3"/>
    <mergeCell ref="H3:H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65B9-CA59-4914-BDB8-FB8B9CB88AA3}">
  <sheetPr codeName="Лист16">
    <pageSetUpPr fitToPage="1"/>
  </sheetPr>
  <dimension ref="A1:AE1000"/>
  <sheetViews>
    <sheetView workbookViewId="0">
      <pane ySplit="6" topLeftCell="A28" activePane="bottomLeft" state="frozen"/>
      <selection activeCell="K5" sqref="K5:K6"/>
      <selection pane="bottomLeft" activeCell="Q33" sqref="Q33"/>
    </sheetView>
  </sheetViews>
  <sheetFormatPr defaultColWidth="10.09765625" defaultRowHeight="15" customHeight="1"/>
  <cols>
    <col min="1" max="1" width="9" style="157" customWidth="1"/>
    <col min="2" max="2" width="5.296875" style="157" customWidth="1"/>
    <col min="3" max="3" width="7" style="157" customWidth="1"/>
    <col min="4" max="4" width="6.59765625" style="157" customWidth="1"/>
    <col min="5" max="5" width="6.296875" style="157" customWidth="1"/>
    <col min="6" max="6" width="4.69921875" style="157" customWidth="1"/>
    <col min="7" max="7" width="5.8984375" style="157" customWidth="1"/>
    <col min="8" max="8" width="5.19921875" style="157" customWidth="1"/>
    <col min="9" max="9" width="4.09765625" style="157" customWidth="1"/>
    <col min="10" max="10" width="6.5" style="157" customWidth="1"/>
    <col min="11" max="11" width="5.296875" style="157" customWidth="1"/>
    <col min="12" max="12" width="5.5" style="157" customWidth="1"/>
    <col min="13" max="13" width="6.5" style="157" customWidth="1"/>
    <col min="14" max="14" width="7.19921875" style="157" customWidth="1"/>
    <col min="15" max="15" width="6.69921875" style="157" customWidth="1"/>
    <col min="16" max="16" width="6.8984375" style="157" customWidth="1"/>
    <col min="17" max="17" width="12.3984375" style="157" bestFit="1" customWidth="1"/>
    <col min="18" max="18" width="10.8984375" style="157" bestFit="1" customWidth="1"/>
    <col min="19" max="19" width="11" style="157" bestFit="1" customWidth="1"/>
    <col min="20" max="20" width="10.3984375" style="157" bestFit="1" customWidth="1"/>
    <col min="21" max="21" width="9.19921875" style="157" bestFit="1" customWidth="1"/>
    <col min="22" max="22" width="7" style="157" customWidth="1"/>
    <col min="23" max="23" width="8.296875" style="157" bestFit="1" customWidth="1"/>
    <col min="24" max="24" width="11.19921875" style="157" bestFit="1" customWidth="1"/>
    <col min="25" max="25" width="8.69921875" style="157" bestFit="1" customWidth="1"/>
    <col min="26" max="26" width="9.19921875" style="157" bestFit="1" customWidth="1"/>
    <col min="27" max="27" width="13.296875" style="157" bestFit="1" customWidth="1"/>
    <col min="28" max="28" width="10.796875" style="157" bestFit="1" customWidth="1"/>
    <col min="29" max="29" width="11.59765625" style="157" bestFit="1" customWidth="1"/>
    <col min="30" max="30" width="9.19921875" style="157" bestFit="1" customWidth="1"/>
    <col min="31" max="31" width="13.09765625" style="157" customWidth="1"/>
    <col min="32" max="16384" width="10.09765625" style="157"/>
  </cols>
  <sheetData>
    <row r="1" spans="1:31" ht="15.75">
      <c r="A1" s="156">
        <f>AE41</f>
        <v>8184</v>
      </c>
      <c r="C1" s="158"/>
      <c r="D1" s="158"/>
      <c r="E1" s="158"/>
      <c r="F1" s="158"/>
      <c r="G1" s="158"/>
      <c r="H1" s="261"/>
      <c r="I1" s="261"/>
      <c r="J1" s="261"/>
      <c r="K1" s="261"/>
      <c r="L1" s="261"/>
      <c r="M1" s="158"/>
      <c r="N1" s="158"/>
      <c r="O1" s="158"/>
      <c r="P1" s="158"/>
      <c r="AE1" s="159"/>
    </row>
    <row r="2" spans="1:31" ht="18.75" customHeight="1">
      <c r="C2" s="158"/>
      <c r="D2" s="158"/>
      <c r="E2" s="158"/>
      <c r="F2" s="158"/>
      <c r="G2" s="158"/>
      <c r="H2" s="261"/>
      <c r="I2" s="261"/>
      <c r="J2" s="261"/>
      <c r="K2" s="261"/>
      <c r="L2" s="261"/>
      <c r="M2" s="158"/>
      <c r="N2" s="158"/>
      <c r="O2" s="158"/>
      <c r="P2" s="158"/>
      <c r="AE2" s="159"/>
    </row>
    <row r="3" spans="1:31" ht="18.75" customHeight="1" thickBot="1">
      <c r="C3" s="158"/>
      <c r="D3" s="158"/>
      <c r="E3" s="158"/>
      <c r="F3" s="158"/>
      <c r="G3" s="158"/>
      <c r="H3" s="261"/>
      <c r="I3" s="261"/>
      <c r="J3" s="261"/>
      <c r="K3" s="261"/>
      <c r="L3" s="261"/>
      <c r="M3" s="158"/>
      <c r="N3" s="158"/>
      <c r="O3" s="158"/>
      <c r="P3" s="158"/>
      <c r="AE3" s="159"/>
    </row>
    <row r="4" spans="1:31" ht="23.25" customHeight="1" thickBot="1">
      <c r="A4" s="262" t="s">
        <v>172</v>
      </c>
      <c r="B4" s="263"/>
      <c r="C4" s="263"/>
      <c r="D4" s="263"/>
      <c r="E4" s="263"/>
      <c r="F4" s="263"/>
      <c r="G4" s="263"/>
      <c r="H4" s="261"/>
      <c r="I4" s="261"/>
      <c r="J4" s="261"/>
      <c r="K4" s="261"/>
      <c r="L4" s="261"/>
      <c r="M4" s="158"/>
      <c r="N4" s="158"/>
      <c r="O4" s="158"/>
      <c r="P4" s="158"/>
      <c r="Q4" s="264" t="s">
        <v>158</v>
      </c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6"/>
    </row>
    <row r="5" spans="1:31" ht="28.5" customHeight="1">
      <c r="A5" s="267" t="s">
        <v>1</v>
      </c>
      <c r="B5" s="268"/>
      <c r="C5" s="271" t="s">
        <v>159</v>
      </c>
      <c r="D5" s="271" t="s">
        <v>160</v>
      </c>
      <c r="E5" s="271" t="s">
        <v>161</v>
      </c>
      <c r="F5" s="271" t="s">
        <v>162</v>
      </c>
      <c r="G5" s="271" t="s">
        <v>163</v>
      </c>
      <c r="H5" s="271" t="s">
        <v>173</v>
      </c>
      <c r="I5" s="271" t="s">
        <v>174</v>
      </c>
      <c r="J5" s="271" t="s">
        <v>175</v>
      </c>
      <c r="K5" s="271" t="s">
        <v>176</v>
      </c>
      <c r="L5" s="271" t="s">
        <v>177</v>
      </c>
      <c r="M5" s="271" t="s">
        <v>178</v>
      </c>
      <c r="N5" s="271" t="s">
        <v>179</v>
      </c>
      <c r="O5" s="271" t="s">
        <v>164</v>
      </c>
      <c r="P5" s="160" t="s">
        <v>4</v>
      </c>
      <c r="Q5" s="273" t="s">
        <v>165</v>
      </c>
      <c r="R5" s="271" t="s">
        <v>160</v>
      </c>
      <c r="S5" s="271" t="s">
        <v>161</v>
      </c>
      <c r="T5" s="271" t="s">
        <v>162</v>
      </c>
      <c r="U5" s="271" t="s">
        <v>166</v>
      </c>
      <c r="V5" s="271" t="s">
        <v>180</v>
      </c>
      <c r="W5" s="271" t="s">
        <v>181</v>
      </c>
      <c r="X5" s="271" t="s">
        <v>175</v>
      </c>
      <c r="Y5" s="271" t="s">
        <v>176</v>
      </c>
      <c r="Z5" s="271" t="s">
        <v>178</v>
      </c>
      <c r="AA5" s="271" t="s">
        <v>182</v>
      </c>
      <c r="AB5" s="271" t="s">
        <v>179</v>
      </c>
      <c r="AC5" s="271" t="s">
        <v>8</v>
      </c>
      <c r="AD5" s="271" t="s">
        <v>4</v>
      </c>
      <c r="AE5" s="277" t="s">
        <v>18</v>
      </c>
    </row>
    <row r="6" spans="1:31" ht="47.25" customHeight="1" thickBot="1">
      <c r="A6" s="269"/>
      <c r="B6" s="270"/>
      <c r="C6" s="272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161">
        <v>8</v>
      </c>
      <c r="Q6" s="274"/>
      <c r="R6" s="272"/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8"/>
    </row>
    <row r="7" spans="1:31" ht="14.25" customHeight="1">
      <c r="A7" s="275">
        <v>46023</v>
      </c>
      <c r="B7" s="276"/>
      <c r="C7" s="162"/>
      <c r="D7" s="162"/>
      <c r="E7" s="163"/>
      <c r="F7" s="163"/>
      <c r="G7" s="164"/>
      <c r="H7" s="164"/>
      <c r="I7" s="163"/>
      <c r="J7" s="164"/>
      <c r="K7" s="163">
        <f t="shared" ref="K7:K36" si="0">J7</f>
        <v>0</v>
      </c>
      <c r="L7" s="164"/>
      <c r="M7" s="164"/>
      <c r="N7" s="164"/>
      <c r="O7" s="163">
        <f>E7</f>
        <v>0</v>
      </c>
      <c r="P7" s="162">
        <f>ROUND(P6+C7+H7-E7,0)</f>
        <v>8</v>
      </c>
      <c r="Q7" s="165">
        <f>C7*225</f>
        <v>0</v>
      </c>
      <c r="R7" s="165">
        <f>D7*15.6</f>
        <v>0</v>
      </c>
      <c r="S7" s="165">
        <f>E7*225</f>
        <v>0</v>
      </c>
      <c r="T7" s="165">
        <f>F7*15.6</f>
        <v>0</v>
      </c>
      <c r="U7" s="165">
        <f>G7*19</f>
        <v>0</v>
      </c>
      <c r="V7" s="165">
        <f>H7*675</f>
        <v>0</v>
      </c>
      <c r="W7" s="165">
        <f>I7*430</f>
        <v>0</v>
      </c>
      <c r="X7" s="165">
        <f>J7*3.3</f>
        <v>0</v>
      </c>
      <c r="Y7" s="165">
        <f>K7*1.9</f>
        <v>0</v>
      </c>
      <c r="Z7" s="165">
        <f>M7*21.6</f>
        <v>0</v>
      </c>
      <c r="AA7" s="165">
        <f>L7*11.5</f>
        <v>0</v>
      </c>
      <c r="AB7" s="165">
        <f>N7*24</f>
        <v>0</v>
      </c>
      <c r="AC7" s="165">
        <f>O7*243</f>
        <v>0</v>
      </c>
      <c r="AD7" s="165">
        <f>P7*33</f>
        <v>264</v>
      </c>
      <c r="AE7" s="166">
        <f>SUM(Q7:AD7)</f>
        <v>264</v>
      </c>
    </row>
    <row r="8" spans="1:31" ht="14.25" customHeight="1">
      <c r="A8" s="275">
        <v>46024</v>
      </c>
      <c r="B8" s="276"/>
      <c r="C8" s="167"/>
      <c r="D8" s="167"/>
      <c r="E8" s="168"/>
      <c r="F8" s="168"/>
      <c r="G8" s="169"/>
      <c r="H8" s="169"/>
      <c r="I8" s="168"/>
      <c r="J8" s="169"/>
      <c r="K8" s="168">
        <f t="shared" si="0"/>
        <v>0</v>
      </c>
      <c r="L8" s="169"/>
      <c r="M8" s="169"/>
      <c r="N8" s="169"/>
      <c r="O8" s="168">
        <f t="shared" ref="O8:O37" si="1">E8</f>
        <v>0</v>
      </c>
      <c r="P8" s="167">
        <f t="shared" ref="P8:P37" si="2">ROUND(P7+C8+H8-E8,0)</f>
        <v>8</v>
      </c>
      <c r="Q8" s="165">
        <f t="shared" ref="Q8:Q37" si="3">C8*225</f>
        <v>0</v>
      </c>
      <c r="R8" s="165">
        <f t="shared" ref="R8:R37" si="4">D8*15.6</f>
        <v>0</v>
      </c>
      <c r="S8" s="165">
        <f t="shared" ref="S8:S37" si="5">E8*225</f>
        <v>0</v>
      </c>
      <c r="T8" s="165">
        <f t="shared" ref="T8:T37" si="6">F8*15.6</f>
        <v>0</v>
      </c>
      <c r="U8" s="165">
        <f t="shared" ref="U8:U37" si="7">G8*19</f>
        <v>0</v>
      </c>
      <c r="V8" s="165">
        <f t="shared" ref="V8:V37" si="8">H8*675</f>
        <v>0</v>
      </c>
      <c r="W8" s="165">
        <f t="shared" ref="W8:W37" si="9">I8*430</f>
        <v>0</v>
      </c>
      <c r="X8" s="165">
        <f t="shared" ref="X8:X37" si="10">J8*3.3</f>
        <v>0</v>
      </c>
      <c r="Y8" s="165">
        <f t="shared" ref="Y8:Y37" si="11">K8*1.9</f>
        <v>0</v>
      </c>
      <c r="Z8" s="165">
        <f t="shared" ref="Z8:Z37" si="12">M8*21.6</f>
        <v>0</v>
      </c>
      <c r="AA8" s="165">
        <f t="shared" ref="AA8:AA37" si="13">L8*11.5</f>
        <v>0</v>
      </c>
      <c r="AB8" s="165">
        <f t="shared" ref="AB8:AB37" si="14">N8*24</f>
        <v>0</v>
      </c>
      <c r="AC8" s="165">
        <f t="shared" ref="AC8:AC37" si="15">O8*243</f>
        <v>0</v>
      </c>
      <c r="AD8" s="165">
        <f t="shared" ref="AD8:AD37" si="16">P8*33</f>
        <v>264</v>
      </c>
      <c r="AE8" s="170">
        <f t="shared" ref="AE8:AE36" si="17">SUM(Q8:AD8)</f>
        <v>264</v>
      </c>
    </row>
    <row r="9" spans="1:31" ht="14.25" customHeight="1">
      <c r="A9" s="275">
        <v>46025</v>
      </c>
      <c r="B9" s="276"/>
      <c r="C9" s="167"/>
      <c r="D9" s="167"/>
      <c r="E9" s="168"/>
      <c r="F9" s="168"/>
      <c r="G9" s="169"/>
      <c r="H9" s="169"/>
      <c r="I9" s="168"/>
      <c r="J9" s="169"/>
      <c r="K9" s="168">
        <f t="shared" si="0"/>
        <v>0</v>
      </c>
      <c r="L9" s="169"/>
      <c r="M9" s="169"/>
      <c r="N9" s="169"/>
      <c r="O9" s="168">
        <f t="shared" si="1"/>
        <v>0</v>
      </c>
      <c r="P9" s="167">
        <f t="shared" si="2"/>
        <v>8</v>
      </c>
      <c r="Q9" s="165">
        <f t="shared" si="3"/>
        <v>0</v>
      </c>
      <c r="R9" s="165">
        <f t="shared" si="4"/>
        <v>0</v>
      </c>
      <c r="S9" s="165">
        <f t="shared" si="5"/>
        <v>0</v>
      </c>
      <c r="T9" s="165">
        <f t="shared" si="6"/>
        <v>0</v>
      </c>
      <c r="U9" s="165">
        <f t="shared" si="7"/>
        <v>0</v>
      </c>
      <c r="V9" s="165">
        <f t="shared" si="8"/>
        <v>0</v>
      </c>
      <c r="W9" s="165">
        <f t="shared" si="9"/>
        <v>0</v>
      </c>
      <c r="X9" s="165">
        <f t="shared" si="10"/>
        <v>0</v>
      </c>
      <c r="Y9" s="165">
        <f t="shared" si="11"/>
        <v>0</v>
      </c>
      <c r="Z9" s="165">
        <f t="shared" si="12"/>
        <v>0</v>
      </c>
      <c r="AA9" s="165">
        <f t="shared" si="13"/>
        <v>0</v>
      </c>
      <c r="AB9" s="165">
        <f t="shared" si="14"/>
        <v>0</v>
      </c>
      <c r="AC9" s="165">
        <f t="shared" si="15"/>
        <v>0</v>
      </c>
      <c r="AD9" s="165">
        <f t="shared" si="16"/>
        <v>264</v>
      </c>
      <c r="AE9" s="170">
        <f t="shared" si="17"/>
        <v>264</v>
      </c>
    </row>
    <row r="10" spans="1:31" ht="14.25" customHeight="1">
      <c r="A10" s="275">
        <v>46026</v>
      </c>
      <c r="B10" s="276"/>
      <c r="C10" s="167"/>
      <c r="D10" s="167"/>
      <c r="E10" s="168"/>
      <c r="F10" s="168"/>
      <c r="G10" s="169"/>
      <c r="H10" s="169"/>
      <c r="I10" s="168"/>
      <c r="J10" s="169"/>
      <c r="K10" s="168">
        <f t="shared" si="0"/>
        <v>0</v>
      </c>
      <c r="L10" s="169"/>
      <c r="M10" s="169"/>
      <c r="N10" s="169"/>
      <c r="O10" s="168">
        <f t="shared" si="1"/>
        <v>0</v>
      </c>
      <c r="P10" s="167">
        <f t="shared" si="2"/>
        <v>8</v>
      </c>
      <c r="Q10" s="165">
        <f t="shared" si="3"/>
        <v>0</v>
      </c>
      <c r="R10" s="165">
        <f t="shared" si="4"/>
        <v>0</v>
      </c>
      <c r="S10" s="165">
        <f t="shared" si="5"/>
        <v>0</v>
      </c>
      <c r="T10" s="165">
        <f t="shared" si="6"/>
        <v>0</v>
      </c>
      <c r="U10" s="165">
        <f t="shared" si="7"/>
        <v>0</v>
      </c>
      <c r="V10" s="165">
        <f t="shared" si="8"/>
        <v>0</v>
      </c>
      <c r="W10" s="165">
        <f t="shared" si="9"/>
        <v>0</v>
      </c>
      <c r="X10" s="165">
        <f t="shared" si="10"/>
        <v>0</v>
      </c>
      <c r="Y10" s="165">
        <f t="shared" si="11"/>
        <v>0</v>
      </c>
      <c r="Z10" s="165">
        <f t="shared" si="12"/>
        <v>0</v>
      </c>
      <c r="AA10" s="165">
        <f t="shared" si="13"/>
        <v>0</v>
      </c>
      <c r="AB10" s="165">
        <f t="shared" si="14"/>
        <v>0</v>
      </c>
      <c r="AC10" s="165">
        <f t="shared" si="15"/>
        <v>0</v>
      </c>
      <c r="AD10" s="165">
        <f t="shared" si="16"/>
        <v>264</v>
      </c>
      <c r="AE10" s="170">
        <f t="shared" si="17"/>
        <v>264</v>
      </c>
    </row>
    <row r="11" spans="1:31" ht="14.25" customHeight="1">
      <c r="A11" s="275">
        <v>46027</v>
      </c>
      <c r="B11" s="276"/>
      <c r="C11" s="167"/>
      <c r="D11" s="167"/>
      <c r="E11" s="168"/>
      <c r="F11" s="168"/>
      <c r="G11" s="169"/>
      <c r="H11" s="169"/>
      <c r="I11" s="168"/>
      <c r="J11" s="169"/>
      <c r="K11" s="168">
        <f t="shared" si="0"/>
        <v>0</v>
      </c>
      <c r="L11" s="169"/>
      <c r="M11" s="169"/>
      <c r="N11" s="169"/>
      <c r="O11" s="168">
        <f t="shared" si="1"/>
        <v>0</v>
      </c>
      <c r="P11" s="167">
        <f t="shared" si="2"/>
        <v>8</v>
      </c>
      <c r="Q11" s="165">
        <f t="shared" si="3"/>
        <v>0</v>
      </c>
      <c r="R11" s="165">
        <f t="shared" si="4"/>
        <v>0</v>
      </c>
      <c r="S11" s="165">
        <f t="shared" si="5"/>
        <v>0</v>
      </c>
      <c r="T11" s="165">
        <f t="shared" si="6"/>
        <v>0</v>
      </c>
      <c r="U11" s="165">
        <f t="shared" si="7"/>
        <v>0</v>
      </c>
      <c r="V11" s="165">
        <f t="shared" si="8"/>
        <v>0</v>
      </c>
      <c r="W11" s="165">
        <f t="shared" si="9"/>
        <v>0</v>
      </c>
      <c r="X11" s="165">
        <f t="shared" si="10"/>
        <v>0</v>
      </c>
      <c r="Y11" s="165">
        <f t="shared" si="11"/>
        <v>0</v>
      </c>
      <c r="Z11" s="165">
        <f t="shared" si="12"/>
        <v>0</v>
      </c>
      <c r="AA11" s="165">
        <f t="shared" si="13"/>
        <v>0</v>
      </c>
      <c r="AB11" s="165">
        <f t="shared" si="14"/>
        <v>0</v>
      </c>
      <c r="AC11" s="165">
        <f t="shared" si="15"/>
        <v>0</v>
      </c>
      <c r="AD11" s="165">
        <f t="shared" si="16"/>
        <v>264</v>
      </c>
      <c r="AE11" s="170">
        <f t="shared" si="17"/>
        <v>264</v>
      </c>
    </row>
    <row r="12" spans="1:31" ht="14.25" customHeight="1">
      <c r="A12" s="275">
        <v>46028</v>
      </c>
      <c r="B12" s="276"/>
      <c r="C12" s="167"/>
      <c r="D12" s="167"/>
      <c r="E12" s="168"/>
      <c r="F12" s="168"/>
      <c r="G12" s="169"/>
      <c r="H12" s="169"/>
      <c r="I12" s="168"/>
      <c r="J12" s="169"/>
      <c r="K12" s="168">
        <f t="shared" si="0"/>
        <v>0</v>
      </c>
      <c r="L12" s="169"/>
      <c r="M12" s="169"/>
      <c r="N12" s="169"/>
      <c r="O12" s="168">
        <f t="shared" si="1"/>
        <v>0</v>
      </c>
      <c r="P12" s="167">
        <f t="shared" si="2"/>
        <v>8</v>
      </c>
      <c r="Q12" s="165">
        <f t="shared" si="3"/>
        <v>0</v>
      </c>
      <c r="R12" s="165">
        <f t="shared" si="4"/>
        <v>0</v>
      </c>
      <c r="S12" s="165">
        <f t="shared" si="5"/>
        <v>0</v>
      </c>
      <c r="T12" s="165">
        <f t="shared" si="6"/>
        <v>0</v>
      </c>
      <c r="U12" s="165">
        <f t="shared" si="7"/>
        <v>0</v>
      </c>
      <c r="V12" s="165">
        <f t="shared" si="8"/>
        <v>0</v>
      </c>
      <c r="W12" s="165">
        <f t="shared" si="9"/>
        <v>0</v>
      </c>
      <c r="X12" s="165">
        <f t="shared" si="10"/>
        <v>0</v>
      </c>
      <c r="Y12" s="165">
        <f t="shared" si="11"/>
        <v>0</v>
      </c>
      <c r="Z12" s="165">
        <f t="shared" si="12"/>
        <v>0</v>
      </c>
      <c r="AA12" s="165">
        <f t="shared" si="13"/>
        <v>0</v>
      </c>
      <c r="AB12" s="165">
        <f t="shared" si="14"/>
        <v>0</v>
      </c>
      <c r="AC12" s="165">
        <f t="shared" si="15"/>
        <v>0</v>
      </c>
      <c r="AD12" s="165">
        <f t="shared" si="16"/>
        <v>264</v>
      </c>
      <c r="AE12" s="170">
        <f t="shared" si="17"/>
        <v>264</v>
      </c>
    </row>
    <row r="13" spans="1:31" ht="15" customHeight="1">
      <c r="A13" s="275">
        <v>46029</v>
      </c>
      <c r="B13" s="276"/>
      <c r="C13" s="167"/>
      <c r="D13" s="167"/>
      <c r="E13" s="168"/>
      <c r="F13" s="168"/>
      <c r="G13" s="169"/>
      <c r="H13" s="169"/>
      <c r="I13" s="168"/>
      <c r="J13" s="169"/>
      <c r="K13" s="168">
        <f t="shared" si="0"/>
        <v>0</v>
      </c>
      <c r="L13" s="169"/>
      <c r="M13" s="169"/>
      <c r="N13" s="169"/>
      <c r="O13" s="168">
        <f t="shared" si="1"/>
        <v>0</v>
      </c>
      <c r="P13" s="167">
        <f t="shared" si="2"/>
        <v>8</v>
      </c>
      <c r="Q13" s="165">
        <f t="shared" si="3"/>
        <v>0</v>
      </c>
      <c r="R13" s="165">
        <f t="shared" si="4"/>
        <v>0</v>
      </c>
      <c r="S13" s="165">
        <f t="shared" si="5"/>
        <v>0</v>
      </c>
      <c r="T13" s="165">
        <f t="shared" si="6"/>
        <v>0</v>
      </c>
      <c r="U13" s="165">
        <f t="shared" si="7"/>
        <v>0</v>
      </c>
      <c r="V13" s="165">
        <f t="shared" si="8"/>
        <v>0</v>
      </c>
      <c r="W13" s="165">
        <f t="shared" si="9"/>
        <v>0</v>
      </c>
      <c r="X13" s="165">
        <f t="shared" si="10"/>
        <v>0</v>
      </c>
      <c r="Y13" s="165">
        <f t="shared" si="11"/>
        <v>0</v>
      </c>
      <c r="Z13" s="165">
        <f t="shared" si="12"/>
        <v>0</v>
      </c>
      <c r="AA13" s="165">
        <f t="shared" si="13"/>
        <v>0</v>
      </c>
      <c r="AB13" s="165">
        <f t="shared" si="14"/>
        <v>0</v>
      </c>
      <c r="AC13" s="165">
        <f t="shared" si="15"/>
        <v>0</v>
      </c>
      <c r="AD13" s="165">
        <f t="shared" si="16"/>
        <v>264</v>
      </c>
      <c r="AE13" s="170">
        <f t="shared" si="17"/>
        <v>264</v>
      </c>
    </row>
    <row r="14" spans="1:31" ht="14.25" customHeight="1">
      <c r="A14" s="275">
        <v>46030</v>
      </c>
      <c r="B14" s="276"/>
      <c r="C14" s="167"/>
      <c r="D14" s="167"/>
      <c r="E14" s="168"/>
      <c r="F14" s="168"/>
      <c r="G14" s="169"/>
      <c r="H14" s="169"/>
      <c r="I14" s="168"/>
      <c r="J14" s="169"/>
      <c r="K14" s="168">
        <f t="shared" si="0"/>
        <v>0</v>
      </c>
      <c r="L14" s="169"/>
      <c r="M14" s="169"/>
      <c r="N14" s="169"/>
      <c r="O14" s="168">
        <f t="shared" si="1"/>
        <v>0</v>
      </c>
      <c r="P14" s="167">
        <f t="shared" si="2"/>
        <v>8</v>
      </c>
      <c r="Q14" s="165">
        <f t="shared" si="3"/>
        <v>0</v>
      </c>
      <c r="R14" s="165">
        <f t="shared" si="4"/>
        <v>0</v>
      </c>
      <c r="S14" s="165">
        <f t="shared" si="5"/>
        <v>0</v>
      </c>
      <c r="T14" s="165">
        <f t="shared" si="6"/>
        <v>0</v>
      </c>
      <c r="U14" s="165">
        <f t="shared" si="7"/>
        <v>0</v>
      </c>
      <c r="V14" s="165">
        <f t="shared" si="8"/>
        <v>0</v>
      </c>
      <c r="W14" s="165">
        <f t="shared" si="9"/>
        <v>0</v>
      </c>
      <c r="X14" s="165">
        <f t="shared" si="10"/>
        <v>0</v>
      </c>
      <c r="Y14" s="165">
        <f t="shared" si="11"/>
        <v>0</v>
      </c>
      <c r="Z14" s="165">
        <f t="shared" si="12"/>
        <v>0</v>
      </c>
      <c r="AA14" s="165">
        <f t="shared" si="13"/>
        <v>0</v>
      </c>
      <c r="AB14" s="165">
        <f t="shared" si="14"/>
        <v>0</v>
      </c>
      <c r="AC14" s="165">
        <f t="shared" si="15"/>
        <v>0</v>
      </c>
      <c r="AD14" s="165">
        <f t="shared" si="16"/>
        <v>264</v>
      </c>
      <c r="AE14" s="170">
        <f t="shared" si="17"/>
        <v>264</v>
      </c>
    </row>
    <row r="15" spans="1:31" ht="14.25" customHeight="1">
      <c r="A15" s="275">
        <v>46031</v>
      </c>
      <c r="B15" s="276"/>
      <c r="C15" s="167"/>
      <c r="D15" s="167"/>
      <c r="E15" s="168"/>
      <c r="F15" s="168"/>
      <c r="G15" s="169"/>
      <c r="H15" s="169"/>
      <c r="I15" s="168"/>
      <c r="J15" s="169"/>
      <c r="K15" s="168">
        <f t="shared" si="0"/>
        <v>0</v>
      </c>
      <c r="L15" s="169"/>
      <c r="M15" s="169"/>
      <c r="N15" s="169"/>
      <c r="O15" s="168">
        <f t="shared" si="1"/>
        <v>0</v>
      </c>
      <c r="P15" s="167">
        <f t="shared" si="2"/>
        <v>8</v>
      </c>
      <c r="Q15" s="165">
        <f t="shared" si="3"/>
        <v>0</v>
      </c>
      <c r="R15" s="165">
        <f t="shared" si="4"/>
        <v>0</v>
      </c>
      <c r="S15" s="165">
        <f t="shared" si="5"/>
        <v>0</v>
      </c>
      <c r="T15" s="165">
        <f t="shared" si="6"/>
        <v>0</v>
      </c>
      <c r="U15" s="165">
        <f t="shared" si="7"/>
        <v>0</v>
      </c>
      <c r="V15" s="165">
        <f t="shared" si="8"/>
        <v>0</v>
      </c>
      <c r="W15" s="165">
        <f t="shared" si="9"/>
        <v>0</v>
      </c>
      <c r="X15" s="165">
        <f t="shared" si="10"/>
        <v>0</v>
      </c>
      <c r="Y15" s="165">
        <f t="shared" si="11"/>
        <v>0</v>
      </c>
      <c r="Z15" s="165">
        <f t="shared" si="12"/>
        <v>0</v>
      </c>
      <c r="AA15" s="165">
        <f t="shared" si="13"/>
        <v>0</v>
      </c>
      <c r="AB15" s="165">
        <f t="shared" si="14"/>
        <v>0</v>
      </c>
      <c r="AC15" s="165">
        <f t="shared" si="15"/>
        <v>0</v>
      </c>
      <c r="AD15" s="165">
        <f t="shared" si="16"/>
        <v>264</v>
      </c>
      <c r="AE15" s="170">
        <f t="shared" si="17"/>
        <v>264</v>
      </c>
    </row>
    <row r="16" spans="1:31" ht="14.25" customHeight="1">
      <c r="A16" s="275">
        <v>46032</v>
      </c>
      <c r="B16" s="276"/>
      <c r="C16" s="167"/>
      <c r="D16" s="167"/>
      <c r="E16" s="168"/>
      <c r="F16" s="168"/>
      <c r="G16" s="169"/>
      <c r="H16" s="169"/>
      <c r="I16" s="168"/>
      <c r="J16" s="169"/>
      <c r="K16" s="168">
        <f t="shared" si="0"/>
        <v>0</v>
      </c>
      <c r="L16" s="169"/>
      <c r="M16" s="169"/>
      <c r="N16" s="169"/>
      <c r="O16" s="168">
        <f t="shared" si="1"/>
        <v>0</v>
      </c>
      <c r="P16" s="167">
        <f t="shared" si="2"/>
        <v>8</v>
      </c>
      <c r="Q16" s="165">
        <f t="shared" si="3"/>
        <v>0</v>
      </c>
      <c r="R16" s="165">
        <f t="shared" si="4"/>
        <v>0</v>
      </c>
      <c r="S16" s="165">
        <f t="shared" si="5"/>
        <v>0</v>
      </c>
      <c r="T16" s="165">
        <f t="shared" si="6"/>
        <v>0</v>
      </c>
      <c r="U16" s="165">
        <f t="shared" si="7"/>
        <v>0</v>
      </c>
      <c r="V16" s="165">
        <f t="shared" si="8"/>
        <v>0</v>
      </c>
      <c r="W16" s="165">
        <f t="shared" si="9"/>
        <v>0</v>
      </c>
      <c r="X16" s="165">
        <f t="shared" si="10"/>
        <v>0</v>
      </c>
      <c r="Y16" s="165">
        <f t="shared" si="11"/>
        <v>0</v>
      </c>
      <c r="Z16" s="165">
        <f t="shared" si="12"/>
        <v>0</v>
      </c>
      <c r="AA16" s="165">
        <f t="shared" si="13"/>
        <v>0</v>
      </c>
      <c r="AB16" s="165">
        <f t="shared" si="14"/>
        <v>0</v>
      </c>
      <c r="AC16" s="165">
        <f t="shared" si="15"/>
        <v>0</v>
      </c>
      <c r="AD16" s="165">
        <f t="shared" si="16"/>
        <v>264</v>
      </c>
      <c r="AE16" s="170">
        <f t="shared" si="17"/>
        <v>264</v>
      </c>
    </row>
    <row r="17" spans="1:31" ht="14.25" customHeight="1">
      <c r="A17" s="275">
        <v>46033</v>
      </c>
      <c r="B17" s="276"/>
      <c r="C17" s="167"/>
      <c r="D17" s="167"/>
      <c r="E17" s="168"/>
      <c r="F17" s="168"/>
      <c r="G17" s="169"/>
      <c r="H17" s="169"/>
      <c r="I17" s="168"/>
      <c r="J17" s="169"/>
      <c r="K17" s="168">
        <f t="shared" si="0"/>
        <v>0</v>
      </c>
      <c r="L17" s="169"/>
      <c r="M17" s="169"/>
      <c r="N17" s="169"/>
      <c r="O17" s="168">
        <f t="shared" si="1"/>
        <v>0</v>
      </c>
      <c r="P17" s="167">
        <f t="shared" si="2"/>
        <v>8</v>
      </c>
      <c r="Q17" s="165">
        <f t="shared" si="3"/>
        <v>0</v>
      </c>
      <c r="R17" s="165">
        <f t="shared" si="4"/>
        <v>0</v>
      </c>
      <c r="S17" s="165">
        <f t="shared" si="5"/>
        <v>0</v>
      </c>
      <c r="T17" s="165">
        <f t="shared" si="6"/>
        <v>0</v>
      </c>
      <c r="U17" s="165">
        <f t="shared" si="7"/>
        <v>0</v>
      </c>
      <c r="V17" s="165">
        <f t="shared" si="8"/>
        <v>0</v>
      </c>
      <c r="W17" s="165">
        <f t="shared" si="9"/>
        <v>0</v>
      </c>
      <c r="X17" s="165">
        <f t="shared" si="10"/>
        <v>0</v>
      </c>
      <c r="Y17" s="165">
        <f t="shared" si="11"/>
        <v>0</v>
      </c>
      <c r="Z17" s="165">
        <f t="shared" si="12"/>
        <v>0</v>
      </c>
      <c r="AA17" s="165">
        <f t="shared" si="13"/>
        <v>0</v>
      </c>
      <c r="AB17" s="165">
        <f t="shared" si="14"/>
        <v>0</v>
      </c>
      <c r="AC17" s="165">
        <f t="shared" si="15"/>
        <v>0</v>
      </c>
      <c r="AD17" s="165">
        <f t="shared" si="16"/>
        <v>264</v>
      </c>
      <c r="AE17" s="170">
        <f t="shared" si="17"/>
        <v>264</v>
      </c>
    </row>
    <row r="18" spans="1:31" ht="14.25" customHeight="1">
      <c r="A18" s="275">
        <v>46034</v>
      </c>
      <c r="B18" s="276"/>
      <c r="C18" s="171"/>
      <c r="D18" s="171"/>
      <c r="E18" s="172"/>
      <c r="F18" s="172"/>
      <c r="G18" s="173"/>
      <c r="H18" s="173"/>
      <c r="I18" s="172"/>
      <c r="J18" s="173"/>
      <c r="K18" s="168">
        <f t="shared" si="0"/>
        <v>0</v>
      </c>
      <c r="L18" s="173"/>
      <c r="M18" s="173"/>
      <c r="N18" s="169"/>
      <c r="O18" s="168">
        <f t="shared" si="1"/>
        <v>0</v>
      </c>
      <c r="P18" s="167">
        <f t="shared" si="2"/>
        <v>8</v>
      </c>
      <c r="Q18" s="165">
        <f t="shared" si="3"/>
        <v>0</v>
      </c>
      <c r="R18" s="165">
        <f t="shared" si="4"/>
        <v>0</v>
      </c>
      <c r="S18" s="165">
        <f t="shared" si="5"/>
        <v>0</v>
      </c>
      <c r="T18" s="165">
        <f t="shared" si="6"/>
        <v>0</v>
      </c>
      <c r="U18" s="165">
        <f t="shared" si="7"/>
        <v>0</v>
      </c>
      <c r="V18" s="165">
        <f t="shared" si="8"/>
        <v>0</v>
      </c>
      <c r="W18" s="165">
        <f t="shared" si="9"/>
        <v>0</v>
      </c>
      <c r="X18" s="165">
        <f t="shared" si="10"/>
        <v>0</v>
      </c>
      <c r="Y18" s="165">
        <f t="shared" si="11"/>
        <v>0</v>
      </c>
      <c r="Z18" s="165">
        <f t="shared" si="12"/>
        <v>0</v>
      </c>
      <c r="AA18" s="165">
        <f t="shared" si="13"/>
        <v>0</v>
      </c>
      <c r="AB18" s="165">
        <f t="shared" si="14"/>
        <v>0</v>
      </c>
      <c r="AC18" s="165">
        <f t="shared" si="15"/>
        <v>0</v>
      </c>
      <c r="AD18" s="165">
        <f t="shared" si="16"/>
        <v>264</v>
      </c>
      <c r="AE18" s="170">
        <f t="shared" si="17"/>
        <v>264</v>
      </c>
    </row>
    <row r="19" spans="1:31" ht="14.25" customHeight="1">
      <c r="A19" s="275">
        <v>46035</v>
      </c>
      <c r="B19" s="276"/>
      <c r="C19" s="167"/>
      <c r="D19" s="167"/>
      <c r="E19" s="168"/>
      <c r="F19" s="168"/>
      <c r="G19" s="169"/>
      <c r="H19" s="169"/>
      <c r="I19" s="168"/>
      <c r="J19" s="169"/>
      <c r="K19" s="168">
        <f t="shared" si="0"/>
        <v>0</v>
      </c>
      <c r="L19" s="169"/>
      <c r="M19" s="169"/>
      <c r="N19" s="169"/>
      <c r="O19" s="168">
        <f t="shared" si="1"/>
        <v>0</v>
      </c>
      <c r="P19" s="167">
        <f t="shared" si="2"/>
        <v>8</v>
      </c>
      <c r="Q19" s="165">
        <f t="shared" si="3"/>
        <v>0</v>
      </c>
      <c r="R19" s="165">
        <f t="shared" si="4"/>
        <v>0</v>
      </c>
      <c r="S19" s="165">
        <f t="shared" si="5"/>
        <v>0</v>
      </c>
      <c r="T19" s="165">
        <f t="shared" si="6"/>
        <v>0</v>
      </c>
      <c r="U19" s="165">
        <f t="shared" si="7"/>
        <v>0</v>
      </c>
      <c r="V19" s="165">
        <f t="shared" si="8"/>
        <v>0</v>
      </c>
      <c r="W19" s="165">
        <f t="shared" si="9"/>
        <v>0</v>
      </c>
      <c r="X19" s="165">
        <f t="shared" si="10"/>
        <v>0</v>
      </c>
      <c r="Y19" s="165">
        <f t="shared" si="11"/>
        <v>0</v>
      </c>
      <c r="Z19" s="165">
        <f t="shared" si="12"/>
        <v>0</v>
      </c>
      <c r="AA19" s="165">
        <f t="shared" si="13"/>
        <v>0</v>
      </c>
      <c r="AB19" s="165">
        <f t="shared" si="14"/>
        <v>0</v>
      </c>
      <c r="AC19" s="165">
        <f t="shared" si="15"/>
        <v>0</v>
      </c>
      <c r="AD19" s="165">
        <f t="shared" si="16"/>
        <v>264</v>
      </c>
      <c r="AE19" s="170">
        <f t="shared" si="17"/>
        <v>264</v>
      </c>
    </row>
    <row r="20" spans="1:31" ht="14.25" customHeight="1">
      <c r="A20" s="275">
        <v>46036</v>
      </c>
      <c r="B20" s="276"/>
      <c r="C20" s="167"/>
      <c r="D20" s="167"/>
      <c r="E20" s="168"/>
      <c r="F20" s="168"/>
      <c r="G20" s="169"/>
      <c r="H20" s="169"/>
      <c r="I20" s="168"/>
      <c r="J20" s="169"/>
      <c r="K20" s="168">
        <f t="shared" si="0"/>
        <v>0</v>
      </c>
      <c r="L20" s="169"/>
      <c r="M20" s="169"/>
      <c r="N20" s="169"/>
      <c r="O20" s="168">
        <f t="shared" si="1"/>
        <v>0</v>
      </c>
      <c r="P20" s="167">
        <f t="shared" si="2"/>
        <v>8</v>
      </c>
      <c r="Q20" s="165">
        <f t="shared" si="3"/>
        <v>0</v>
      </c>
      <c r="R20" s="165">
        <f t="shared" si="4"/>
        <v>0</v>
      </c>
      <c r="S20" s="165">
        <f t="shared" si="5"/>
        <v>0</v>
      </c>
      <c r="T20" s="165">
        <f t="shared" si="6"/>
        <v>0</v>
      </c>
      <c r="U20" s="165">
        <f t="shared" si="7"/>
        <v>0</v>
      </c>
      <c r="V20" s="165">
        <f t="shared" si="8"/>
        <v>0</v>
      </c>
      <c r="W20" s="165">
        <f t="shared" si="9"/>
        <v>0</v>
      </c>
      <c r="X20" s="165">
        <f t="shared" si="10"/>
        <v>0</v>
      </c>
      <c r="Y20" s="165">
        <f t="shared" si="11"/>
        <v>0</v>
      </c>
      <c r="Z20" s="165">
        <f t="shared" si="12"/>
        <v>0</v>
      </c>
      <c r="AA20" s="165">
        <f t="shared" si="13"/>
        <v>0</v>
      </c>
      <c r="AB20" s="165">
        <f t="shared" si="14"/>
        <v>0</v>
      </c>
      <c r="AC20" s="165">
        <f t="shared" si="15"/>
        <v>0</v>
      </c>
      <c r="AD20" s="165">
        <f t="shared" si="16"/>
        <v>264</v>
      </c>
      <c r="AE20" s="170">
        <f t="shared" si="17"/>
        <v>264</v>
      </c>
    </row>
    <row r="21" spans="1:31" ht="14.25" customHeight="1">
      <c r="A21" s="275">
        <v>46037</v>
      </c>
      <c r="B21" s="276"/>
      <c r="C21" s="167"/>
      <c r="D21" s="167"/>
      <c r="E21" s="168"/>
      <c r="F21" s="168"/>
      <c r="G21" s="169"/>
      <c r="H21" s="169"/>
      <c r="I21" s="168"/>
      <c r="J21" s="169"/>
      <c r="K21" s="168">
        <f t="shared" si="0"/>
        <v>0</v>
      </c>
      <c r="L21" s="169"/>
      <c r="M21" s="169"/>
      <c r="N21" s="169"/>
      <c r="O21" s="168">
        <f t="shared" si="1"/>
        <v>0</v>
      </c>
      <c r="P21" s="167">
        <f t="shared" si="2"/>
        <v>8</v>
      </c>
      <c r="Q21" s="165">
        <f t="shared" si="3"/>
        <v>0</v>
      </c>
      <c r="R21" s="165">
        <f t="shared" si="4"/>
        <v>0</v>
      </c>
      <c r="S21" s="165">
        <f t="shared" si="5"/>
        <v>0</v>
      </c>
      <c r="T21" s="165">
        <f t="shared" si="6"/>
        <v>0</v>
      </c>
      <c r="U21" s="165">
        <f t="shared" si="7"/>
        <v>0</v>
      </c>
      <c r="V21" s="165">
        <f t="shared" si="8"/>
        <v>0</v>
      </c>
      <c r="W21" s="165">
        <f t="shared" si="9"/>
        <v>0</v>
      </c>
      <c r="X21" s="165">
        <f t="shared" si="10"/>
        <v>0</v>
      </c>
      <c r="Y21" s="165">
        <f t="shared" si="11"/>
        <v>0</v>
      </c>
      <c r="Z21" s="165">
        <f t="shared" si="12"/>
        <v>0</v>
      </c>
      <c r="AA21" s="165">
        <f t="shared" si="13"/>
        <v>0</v>
      </c>
      <c r="AB21" s="165">
        <f t="shared" si="14"/>
        <v>0</v>
      </c>
      <c r="AC21" s="165">
        <f t="shared" si="15"/>
        <v>0</v>
      </c>
      <c r="AD21" s="165">
        <f t="shared" si="16"/>
        <v>264</v>
      </c>
      <c r="AE21" s="170">
        <f t="shared" si="17"/>
        <v>264</v>
      </c>
    </row>
    <row r="22" spans="1:31" ht="14.25" customHeight="1">
      <c r="A22" s="275">
        <v>46038</v>
      </c>
      <c r="B22" s="276"/>
      <c r="C22" s="167"/>
      <c r="D22" s="167"/>
      <c r="E22" s="168"/>
      <c r="F22" s="168"/>
      <c r="G22" s="169"/>
      <c r="H22" s="169"/>
      <c r="I22" s="168"/>
      <c r="J22" s="169"/>
      <c r="K22" s="168">
        <f t="shared" si="0"/>
        <v>0</v>
      </c>
      <c r="L22" s="169"/>
      <c r="M22" s="169"/>
      <c r="N22" s="169"/>
      <c r="O22" s="168">
        <f t="shared" si="1"/>
        <v>0</v>
      </c>
      <c r="P22" s="167">
        <f t="shared" si="2"/>
        <v>8</v>
      </c>
      <c r="Q22" s="165">
        <f t="shared" si="3"/>
        <v>0</v>
      </c>
      <c r="R22" s="165">
        <f t="shared" si="4"/>
        <v>0</v>
      </c>
      <c r="S22" s="165">
        <f t="shared" si="5"/>
        <v>0</v>
      </c>
      <c r="T22" s="165">
        <f t="shared" si="6"/>
        <v>0</v>
      </c>
      <c r="U22" s="165">
        <f t="shared" si="7"/>
        <v>0</v>
      </c>
      <c r="V22" s="165">
        <f t="shared" si="8"/>
        <v>0</v>
      </c>
      <c r="W22" s="165">
        <f t="shared" si="9"/>
        <v>0</v>
      </c>
      <c r="X22" s="165">
        <f t="shared" si="10"/>
        <v>0</v>
      </c>
      <c r="Y22" s="165">
        <f t="shared" si="11"/>
        <v>0</v>
      </c>
      <c r="Z22" s="165">
        <f t="shared" si="12"/>
        <v>0</v>
      </c>
      <c r="AA22" s="165">
        <f t="shared" si="13"/>
        <v>0</v>
      </c>
      <c r="AB22" s="165">
        <f t="shared" si="14"/>
        <v>0</v>
      </c>
      <c r="AC22" s="165">
        <f t="shared" si="15"/>
        <v>0</v>
      </c>
      <c r="AD22" s="165">
        <f t="shared" si="16"/>
        <v>264</v>
      </c>
      <c r="AE22" s="170">
        <f t="shared" si="17"/>
        <v>264</v>
      </c>
    </row>
    <row r="23" spans="1:31" ht="14.25" customHeight="1">
      <c r="A23" s="275">
        <v>46039</v>
      </c>
      <c r="B23" s="276"/>
      <c r="C23" s="167"/>
      <c r="D23" s="167"/>
      <c r="E23" s="168"/>
      <c r="F23" s="168"/>
      <c r="G23" s="169"/>
      <c r="H23" s="169"/>
      <c r="I23" s="168"/>
      <c r="J23" s="169"/>
      <c r="K23" s="168">
        <f t="shared" si="0"/>
        <v>0</v>
      </c>
      <c r="L23" s="169"/>
      <c r="M23" s="169"/>
      <c r="N23" s="169"/>
      <c r="O23" s="168">
        <f t="shared" si="1"/>
        <v>0</v>
      </c>
      <c r="P23" s="167">
        <f t="shared" si="2"/>
        <v>8</v>
      </c>
      <c r="Q23" s="165">
        <f t="shared" si="3"/>
        <v>0</v>
      </c>
      <c r="R23" s="165">
        <f t="shared" si="4"/>
        <v>0</v>
      </c>
      <c r="S23" s="165">
        <f t="shared" si="5"/>
        <v>0</v>
      </c>
      <c r="T23" s="165">
        <f t="shared" si="6"/>
        <v>0</v>
      </c>
      <c r="U23" s="165">
        <f t="shared" si="7"/>
        <v>0</v>
      </c>
      <c r="V23" s="165">
        <f t="shared" si="8"/>
        <v>0</v>
      </c>
      <c r="W23" s="165">
        <f t="shared" si="9"/>
        <v>0</v>
      </c>
      <c r="X23" s="165">
        <f t="shared" si="10"/>
        <v>0</v>
      </c>
      <c r="Y23" s="165">
        <f t="shared" si="11"/>
        <v>0</v>
      </c>
      <c r="Z23" s="165">
        <f t="shared" si="12"/>
        <v>0</v>
      </c>
      <c r="AA23" s="165">
        <f t="shared" si="13"/>
        <v>0</v>
      </c>
      <c r="AB23" s="165">
        <f t="shared" si="14"/>
        <v>0</v>
      </c>
      <c r="AC23" s="165">
        <f t="shared" si="15"/>
        <v>0</v>
      </c>
      <c r="AD23" s="165">
        <f t="shared" si="16"/>
        <v>264</v>
      </c>
      <c r="AE23" s="170">
        <f t="shared" si="17"/>
        <v>264</v>
      </c>
    </row>
    <row r="24" spans="1:31" ht="14.25" customHeight="1">
      <c r="A24" s="275">
        <v>46040</v>
      </c>
      <c r="B24" s="276"/>
      <c r="C24" s="167"/>
      <c r="D24" s="167"/>
      <c r="E24" s="168"/>
      <c r="F24" s="168"/>
      <c r="G24" s="169"/>
      <c r="H24" s="169"/>
      <c r="I24" s="168"/>
      <c r="J24" s="169"/>
      <c r="K24" s="168">
        <f t="shared" si="0"/>
        <v>0</v>
      </c>
      <c r="L24" s="169"/>
      <c r="M24" s="169"/>
      <c r="N24" s="169"/>
      <c r="O24" s="168">
        <f t="shared" si="1"/>
        <v>0</v>
      </c>
      <c r="P24" s="167">
        <f t="shared" si="2"/>
        <v>8</v>
      </c>
      <c r="Q24" s="165">
        <f t="shared" si="3"/>
        <v>0</v>
      </c>
      <c r="R24" s="165">
        <f t="shared" si="4"/>
        <v>0</v>
      </c>
      <c r="S24" s="165">
        <f t="shared" si="5"/>
        <v>0</v>
      </c>
      <c r="T24" s="165">
        <f t="shared" si="6"/>
        <v>0</v>
      </c>
      <c r="U24" s="165">
        <f t="shared" si="7"/>
        <v>0</v>
      </c>
      <c r="V24" s="165">
        <f t="shared" si="8"/>
        <v>0</v>
      </c>
      <c r="W24" s="165">
        <f t="shared" si="9"/>
        <v>0</v>
      </c>
      <c r="X24" s="165">
        <f t="shared" si="10"/>
        <v>0</v>
      </c>
      <c r="Y24" s="165">
        <f t="shared" si="11"/>
        <v>0</v>
      </c>
      <c r="Z24" s="165">
        <f t="shared" si="12"/>
        <v>0</v>
      </c>
      <c r="AA24" s="165">
        <f t="shared" si="13"/>
        <v>0</v>
      </c>
      <c r="AB24" s="165">
        <f t="shared" si="14"/>
        <v>0</v>
      </c>
      <c r="AC24" s="165">
        <f t="shared" si="15"/>
        <v>0</v>
      </c>
      <c r="AD24" s="165">
        <f t="shared" si="16"/>
        <v>264</v>
      </c>
      <c r="AE24" s="170">
        <f t="shared" si="17"/>
        <v>264</v>
      </c>
    </row>
    <row r="25" spans="1:31" ht="14.25" customHeight="1">
      <c r="A25" s="275">
        <v>46041</v>
      </c>
      <c r="B25" s="276"/>
      <c r="C25" s="167"/>
      <c r="D25" s="167"/>
      <c r="E25" s="168"/>
      <c r="F25" s="168"/>
      <c r="G25" s="169"/>
      <c r="H25" s="169"/>
      <c r="I25" s="168"/>
      <c r="J25" s="169"/>
      <c r="K25" s="168">
        <f t="shared" si="0"/>
        <v>0</v>
      </c>
      <c r="L25" s="169"/>
      <c r="M25" s="169"/>
      <c r="N25" s="169"/>
      <c r="O25" s="168">
        <f t="shared" si="1"/>
        <v>0</v>
      </c>
      <c r="P25" s="167">
        <f t="shared" si="2"/>
        <v>8</v>
      </c>
      <c r="Q25" s="165">
        <f t="shared" si="3"/>
        <v>0</v>
      </c>
      <c r="R25" s="165">
        <f t="shared" si="4"/>
        <v>0</v>
      </c>
      <c r="S25" s="165">
        <f t="shared" si="5"/>
        <v>0</v>
      </c>
      <c r="T25" s="165">
        <f t="shared" si="6"/>
        <v>0</v>
      </c>
      <c r="U25" s="165">
        <f t="shared" si="7"/>
        <v>0</v>
      </c>
      <c r="V25" s="165">
        <f t="shared" si="8"/>
        <v>0</v>
      </c>
      <c r="W25" s="165">
        <f t="shared" si="9"/>
        <v>0</v>
      </c>
      <c r="X25" s="165">
        <f t="shared" si="10"/>
        <v>0</v>
      </c>
      <c r="Y25" s="165">
        <f t="shared" si="11"/>
        <v>0</v>
      </c>
      <c r="Z25" s="165">
        <f t="shared" si="12"/>
        <v>0</v>
      </c>
      <c r="AA25" s="165">
        <f t="shared" si="13"/>
        <v>0</v>
      </c>
      <c r="AB25" s="165">
        <f t="shared" si="14"/>
        <v>0</v>
      </c>
      <c r="AC25" s="165">
        <f t="shared" si="15"/>
        <v>0</v>
      </c>
      <c r="AD25" s="165">
        <f t="shared" si="16"/>
        <v>264</v>
      </c>
      <c r="AE25" s="170">
        <f t="shared" si="17"/>
        <v>264</v>
      </c>
    </row>
    <row r="26" spans="1:31" ht="14.25" customHeight="1">
      <c r="A26" s="275">
        <v>46042</v>
      </c>
      <c r="B26" s="276"/>
      <c r="C26" s="167"/>
      <c r="D26" s="167"/>
      <c r="E26" s="168"/>
      <c r="F26" s="168"/>
      <c r="G26" s="169"/>
      <c r="H26" s="169"/>
      <c r="I26" s="168"/>
      <c r="J26" s="169"/>
      <c r="K26" s="168">
        <f t="shared" si="0"/>
        <v>0</v>
      </c>
      <c r="L26" s="169"/>
      <c r="M26" s="169"/>
      <c r="N26" s="169"/>
      <c r="O26" s="168">
        <f t="shared" si="1"/>
        <v>0</v>
      </c>
      <c r="P26" s="167">
        <f t="shared" si="2"/>
        <v>8</v>
      </c>
      <c r="Q26" s="165">
        <f t="shared" si="3"/>
        <v>0</v>
      </c>
      <c r="R26" s="165">
        <f t="shared" si="4"/>
        <v>0</v>
      </c>
      <c r="S26" s="165">
        <f t="shared" si="5"/>
        <v>0</v>
      </c>
      <c r="T26" s="165">
        <f t="shared" si="6"/>
        <v>0</v>
      </c>
      <c r="U26" s="165">
        <f t="shared" si="7"/>
        <v>0</v>
      </c>
      <c r="V26" s="165">
        <f t="shared" si="8"/>
        <v>0</v>
      </c>
      <c r="W26" s="165">
        <f t="shared" si="9"/>
        <v>0</v>
      </c>
      <c r="X26" s="165">
        <f t="shared" si="10"/>
        <v>0</v>
      </c>
      <c r="Y26" s="165">
        <f t="shared" si="11"/>
        <v>0</v>
      </c>
      <c r="Z26" s="165">
        <f t="shared" si="12"/>
        <v>0</v>
      </c>
      <c r="AA26" s="165">
        <f t="shared" si="13"/>
        <v>0</v>
      </c>
      <c r="AB26" s="165">
        <f t="shared" si="14"/>
        <v>0</v>
      </c>
      <c r="AC26" s="165">
        <f t="shared" si="15"/>
        <v>0</v>
      </c>
      <c r="AD26" s="165">
        <f t="shared" si="16"/>
        <v>264</v>
      </c>
      <c r="AE26" s="170">
        <f t="shared" si="17"/>
        <v>264</v>
      </c>
    </row>
    <row r="27" spans="1:31" ht="14.25" customHeight="1">
      <c r="A27" s="275">
        <v>46043</v>
      </c>
      <c r="B27" s="276"/>
      <c r="C27" s="167"/>
      <c r="D27" s="167"/>
      <c r="E27" s="168"/>
      <c r="F27" s="168"/>
      <c r="G27" s="169"/>
      <c r="H27" s="169"/>
      <c r="I27" s="168"/>
      <c r="J27" s="169"/>
      <c r="K27" s="168">
        <f t="shared" si="0"/>
        <v>0</v>
      </c>
      <c r="L27" s="169"/>
      <c r="M27" s="169"/>
      <c r="N27" s="169"/>
      <c r="O27" s="168">
        <f t="shared" si="1"/>
        <v>0</v>
      </c>
      <c r="P27" s="167">
        <f t="shared" si="2"/>
        <v>8</v>
      </c>
      <c r="Q27" s="165">
        <f t="shared" si="3"/>
        <v>0</v>
      </c>
      <c r="R27" s="165">
        <f t="shared" si="4"/>
        <v>0</v>
      </c>
      <c r="S27" s="165">
        <f t="shared" si="5"/>
        <v>0</v>
      </c>
      <c r="T27" s="165">
        <f t="shared" si="6"/>
        <v>0</v>
      </c>
      <c r="U27" s="165">
        <f t="shared" si="7"/>
        <v>0</v>
      </c>
      <c r="V27" s="165">
        <f t="shared" si="8"/>
        <v>0</v>
      </c>
      <c r="W27" s="165">
        <f t="shared" si="9"/>
        <v>0</v>
      </c>
      <c r="X27" s="165">
        <f t="shared" si="10"/>
        <v>0</v>
      </c>
      <c r="Y27" s="165">
        <f t="shared" si="11"/>
        <v>0</v>
      </c>
      <c r="Z27" s="165">
        <f t="shared" si="12"/>
        <v>0</v>
      </c>
      <c r="AA27" s="165">
        <f t="shared" si="13"/>
        <v>0</v>
      </c>
      <c r="AB27" s="165">
        <f t="shared" si="14"/>
        <v>0</v>
      </c>
      <c r="AC27" s="165">
        <f t="shared" si="15"/>
        <v>0</v>
      </c>
      <c r="AD27" s="165">
        <f t="shared" si="16"/>
        <v>264</v>
      </c>
      <c r="AE27" s="170">
        <f t="shared" si="17"/>
        <v>264</v>
      </c>
    </row>
    <row r="28" spans="1:31" ht="14.25" customHeight="1">
      <c r="A28" s="275">
        <v>46044</v>
      </c>
      <c r="B28" s="276"/>
      <c r="C28" s="167"/>
      <c r="D28" s="167"/>
      <c r="E28" s="168"/>
      <c r="F28" s="168"/>
      <c r="G28" s="169"/>
      <c r="H28" s="169"/>
      <c r="I28" s="168"/>
      <c r="J28" s="169"/>
      <c r="K28" s="168">
        <f t="shared" si="0"/>
        <v>0</v>
      </c>
      <c r="L28" s="169"/>
      <c r="M28" s="169"/>
      <c r="N28" s="169"/>
      <c r="O28" s="168">
        <f t="shared" si="1"/>
        <v>0</v>
      </c>
      <c r="P28" s="167">
        <f t="shared" si="2"/>
        <v>8</v>
      </c>
      <c r="Q28" s="165">
        <f t="shared" si="3"/>
        <v>0</v>
      </c>
      <c r="R28" s="165">
        <f t="shared" si="4"/>
        <v>0</v>
      </c>
      <c r="S28" s="165">
        <f t="shared" si="5"/>
        <v>0</v>
      </c>
      <c r="T28" s="165">
        <f t="shared" si="6"/>
        <v>0</v>
      </c>
      <c r="U28" s="165">
        <f t="shared" si="7"/>
        <v>0</v>
      </c>
      <c r="V28" s="165">
        <f t="shared" si="8"/>
        <v>0</v>
      </c>
      <c r="W28" s="165">
        <f t="shared" si="9"/>
        <v>0</v>
      </c>
      <c r="X28" s="165">
        <f t="shared" si="10"/>
        <v>0</v>
      </c>
      <c r="Y28" s="165">
        <f t="shared" si="11"/>
        <v>0</v>
      </c>
      <c r="Z28" s="165">
        <f t="shared" si="12"/>
        <v>0</v>
      </c>
      <c r="AA28" s="165">
        <f t="shared" si="13"/>
        <v>0</v>
      </c>
      <c r="AB28" s="165">
        <f t="shared" si="14"/>
        <v>0</v>
      </c>
      <c r="AC28" s="165">
        <f t="shared" si="15"/>
        <v>0</v>
      </c>
      <c r="AD28" s="165">
        <f t="shared" si="16"/>
        <v>264</v>
      </c>
      <c r="AE28" s="170">
        <f t="shared" si="17"/>
        <v>264</v>
      </c>
    </row>
    <row r="29" spans="1:31" ht="14.25" customHeight="1">
      <c r="A29" s="275">
        <v>46045</v>
      </c>
      <c r="B29" s="276"/>
      <c r="C29" s="174"/>
      <c r="D29" s="174"/>
      <c r="E29" s="174"/>
      <c r="F29" s="174"/>
      <c r="G29" s="174"/>
      <c r="H29" s="174"/>
      <c r="I29" s="174"/>
      <c r="J29" s="169"/>
      <c r="K29" s="168">
        <f t="shared" si="0"/>
        <v>0</v>
      </c>
      <c r="L29" s="169"/>
      <c r="M29" s="169"/>
      <c r="N29" s="169"/>
      <c r="O29" s="168">
        <f t="shared" si="1"/>
        <v>0</v>
      </c>
      <c r="P29" s="167">
        <f t="shared" si="2"/>
        <v>8</v>
      </c>
      <c r="Q29" s="165">
        <f t="shared" si="3"/>
        <v>0</v>
      </c>
      <c r="R29" s="165">
        <f t="shared" si="4"/>
        <v>0</v>
      </c>
      <c r="S29" s="165">
        <f t="shared" si="5"/>
        <v>0</v>
      </c>
      <c r="T29" s="165">
        <f t="shared" si="6"/>
        <v>0</v>
      </c>
      <c r="U29" s="165">
        <f t="shared" si="7"/>
        <v>0</v>
      </c>
      <c r="V29" s="165">
        <f t="shared" si="8"/>
        <v>0</v>
      </c>
      <c r="W29" s="165">
        <f t="shared" si="9"/>
        <v>0</v>
      </c>
      <c r="X29" s="165">
        <f t="shared" si="10"/>
        <v>0</v>
      </c>
      <c r="Y29" s="165">
        <f t="shared" si="11"/>
        <v>0</v>
      </c>
      <c r="Z29" s="165">
        <f t="shared" si="12"/>
        <v>0</v>
      </c>
      <c r="AA29" s="165">
        <f t="shared" si="13"/>
        <v>0</v>
      </c>
      <c r="AB29" s="165">
        <f t="shared" si="14"/>
        <v>0</v>
      </c>
      <c r="AC29" s="165">
        <f t="shared" si="15"/>
        <v>0</v>
      </c>
      <c r="AD29" s="165">
        <f t="shared" si="16"/>
        <v>264</v>
      </c>
      <c r="AE29" s="170">
        <f t="shared" si="17"/>
        <v>264</v>
      </c>
    </row>
    <row r="30" spans="1:31" ht="14.25" customHeight="1">
      <c r="A30" s="275">
        <v>46046</v>
      </c>
      <c r="B30" s="276"/>
      <c r="C30" s="167"/>
      <c r="D30" s="167"/>
      <c r="E30" s="168"/>
      <c r="F30" s="168"/>
      <c r="G30" s="169"/>
      <c r="H30" s="169"/>
      <c r="I30" s="168"/>
      <c r="J30" s="169"/>
      <c r="K30" s="168">
        <f t="shared" si="0"/>
        <v>0</v>
      </c>
      <c r="L30" s="169"/>
      <c r="M30" s="169"/>
      <c r="N30" s="169"/>
      <c r="O30" s="168">
        <f t="shared" si="1"/>
        <v>0</v>
      </c>
      <c r="P30" s="167">
        <f t="shared" si="2"/>
        <v>8</v>
      </c>
      <c r="Q30" s="165">
        <f t="shared" si="3"/>
        <v>0</v>
      </c>
      <c r="R30" s="165">
        <f t="shared" si="4"/>
        <v>0</v>
      </c>
      <c r="S30" s="165">
        <f t="shared" si="5"/>
        <v>0</v>
      </c>
      <c r="T30" s="165">
        <f t="shared" si="6"/>
        <v>0</v>
      </c>
      <c r="U30" s="165">
        <f t="shared" si="7"/>
        <v>0</v>
      </c>
      <c r="V30" s="165">
        <f t="shared" si="8"/>
        <v>0</v>
      </c>
      <c r="W30" s="165">
        <f t="shared" si="9"/>
        <v>0</v>
      </c>
      <c r="X30" s="165">
        <f t="shared" si="10"/>
        <v>0</v>
      </c>
      <c r="Y30" s="165">
        <f t="shared" si="11"/>
        <v>0</v>
      </c>
      <c r="Z30" s="165">
        <f t="shared" si="12"/>
        <v>0</v>
      </c>
      <c r="AA30" s="165">
        <f t="shared" si="13"/>
        <v>0</v>
      </c>
      <c r="AB30" s="165">
        <f t="shared" si="14"/>
        <v>0</v>
      </c>
      <c r="AC30" s="165">
        <f t="shared" si="15"/>
        <v>0</v>
      </c>
      <c r="AD30" s="165">
        <f t="shared" si="16"/>
        <v>264</v>
      </c>
      <c r="AE30" s="170">
        <f t="shared" si="17"/>
        <v>264</v>
      </c>
    </row>
    <row r="31" spans="1:31" ht="14.25" customHeight="1">
      <c r="A31" s="275">
        <v>46047</v>
      </c>
      <c r="B31" s="276"/>
      <c r="C31" s="167"/>
      <c r="D31" s="167"/>
      <c r="E31" s="168"/>
      <c r="F31" s="168"/>
      <c r="G31" s="169"/>
      <c r="H31" s="169"/>
      <c r="I31" s="168"/>
      <c r="J31" s="169"/>
      <c r="K31" s="168">
        <f t="shared" si="0"/>
        <v>0</v>
      </c>
      <c r="L31" s="169"/>
      <c r="M31" s="169"/>
      <c r="N31" s="169"/>
      <c r="O31" s="168">
        <f t="shared" si="1"/>
        <v>0</v>
      </c>
      <c r="P31" s="167">
        <f t="shared" si="2"/>
        <v>8</v>
      </c>
      <c r="Q31" s="165">
        <f t="shared" si="3"/>
        <v>0</v>
      </c>
      <c r="R31" s="165">
        <f t="shared" si="4"/>
        <v>0</v>
      </c>
      <c r="S31" s="165">
        <f t="shared" si="5"/>
        <v>0</v>
      </c>
      <c r="T31" s="165">
        <f t="shared" si="6"/>
        <v>0</v>
      </c>
      <c r="U31" s="165">
        <f t="shared" si="7"/>
        <v>0</v>
      </c>
      <c r="V31" s="165">
        <f t="shared" si="8"/>
        <v>0</v>
      </c>
      <c r="W31" s="165">
        <f t="shared" si="9"/>
        <v>0</v>
      </c>
      <c r="X31" s="165">
        <f t="shared" si="10"/>
        <v>0</v>
      </c>
      <c r="Y31" s="165">
        <f t="shared" si="11"/>
        <v>0</v>
      </c>
      <c r="Z31" s="165">
        <f t="shared" si="12"/>
        <v>0</v>
      </c>
      <c r="AA31" s="165">
        <f t="shared" si="13"/>
        <v>0</v>
      </c>
      <c r="AB31" s="165">
        <f t="shared" si="14"/>
        <v>0</v>
      </c>
      <c r="AC31" s="165">
        <f t="shared" si="15"/>
        <v>0</v>
      </c>
      <c r="AD31" s="165">
        <f t="shared" si="16"/>
        <v>264</v>
      </c>
      <c r="AE31" s="170">
        <f t="shared" si="17"/>
        <v>264</v>
      </c>
    </row>
    <row r="32" spans="1:31" ht="14.25" customHeight="1">
      <c r="A32" s="275">
        <v>46048</v>
      </c>
      <c r="B32" s="276"/>
      <c r="C32" s="167"/>
      <c r="D32" s="167"/>
      <c r="E32" s="168"/>
      <c r="F32" s="168"/>
      <c r="G32" s="169"/>
      <c r="H32" s="169"/>
      <c r="I32" s="168"/>
      <c r="J32" s="169"/>
      <c r="K32" s="168">
        <f t="shared" si="0"/>
        <v>0</v>
      </c>
      <c r="L32" s="169"/>
      <c r="M32" s="169"/>
      <c r="N32" s="169"/>
      <c r="O32" s="168">
        <f t="shared" si="1"/>
        <v>0</v>
      </c>
      <c r="P32" s="167">
        <f t="shared" si="2"/>
        <v>8</v>
      </c>
      <c r="Q32" s="165">
        <f t="shared" si="3"/>
        <v>0</v>
      </c>
      <c r="R32" s="165">
        <f t="shared" si="4"/>
        <v>0</v>
      </c>
      <c r="S32" s="165">
        <f t="shared" si="5"/>
        <v>0</v>
      </c>
      <c r="T32" s="165">
        <f t="shared" si="6"/>
        <v>0</v>
      </c>
      <c r="U32" s="165">
        <f t="shared" si="7"/>
        <v>0</v>
      </c>
      <c r="V32" s="165">
        <f t="shared" si="8"/>
        <v>0</v>
      </c>
      <c r="W32" s="165">
        <f t="shared" si="9"/>
        <v>0</v>
      </c>
      <c r="X32" s="165">
        <f t="shared" si="10"/>
        <v>0</v>
      </c>
      <c r="Y32" s="165">
        <f t="shared" si="11"/>
        <v>0</v>
      </c>
      <c r="Z32" s="165">
        <f t="shared" si="12"/>
        <v>0</v>
      </c>
      <c r="AA32" s="165">
        <f t="shared" si="13"/>
        <v>0</v>
      </c>
      <c r="AB32" s="165">
        <f t="shared" si="14"/>
        <v>0</v>
      </c>
      <c r="AC32" s="165">
        <f t="shared" si="15"/>
        <v>0</v>
      </c>
      <c r="AD32" s="165">
        <f t="shared" si="16"/>
        <v>264</v>
      </c>
      <c r="AE32" s="170">
        <f t="shared" si="17"/>
        <v>264</v>
      </c>
    </row>
    <row r="33" spans="1:31" ht="14.25" customHeight="1">
      <c r="A33" s="275">
        <v>46049</v>
      </c>
      <c r="B33" s="276"/>
      <c r="C33" s="167"/>
      <c r="D33" s="167"/>
      <c r="E33" s="168"/>
      <c r="F33" s="168"/>
      <c r="G33" s="169"/>
      <c r="H33" s="169"/>
      <c r="I33" s="168"/>
      <c r="J33" s="169"/>
      <c r="K33" s="168">
        <f t="shared" si="0"/>
        <v>0</v>
      </c>
      <c r="L33" s="169"/>
      <c r="M33" s="169"/>
      <c r="N33" s="169"/>
      <c r="O33" s="168">
        <f t="shared" si="1"/>
        <v>0</v>
      </c>
      <c r="P33" s="167">
        <f t="shared" si="2"/>
        <v>8</v>
      </c>
      <c r="Q33" s="165">
        <f t="shared" si="3"/>
        <v>0</v>
      </c>
      <c r="R33" s="165">
        <f t="shared" si="4"/>
        <v>0</v>
      </c>
      <c r="S33" s="165">
        <f t="shared" si="5"/>
        <v>0</v>
      </c>
      <c r="T33" s="165">
        <f t="shared" si="6"/>
        <v>0</v>
      </c>
      <c r="U33" s="165">
        <f t="shared" si="7"/>
        <v>0</v>
      </c>
      <c r="V33" s="165">
        <f t="shared" si="8"/>
        <v>0</v>
      </c>
      <c r="W33" s="165">
        <f t="shared" si="9"/>
        <v>0</v>
      </c>
      <c r="X33" s="165">
        <f t="shared" si="10"/>
        <v>0</v>
      </c>
      <c r="Y33" s="165">
        <f t="shared" si="11"/>
        <v>0</v>
      </c>
      <c r="Z33" s="165">
        <f t="shared" si="12"/>
        <v>0</v>
      </c>
      <c r="AA33" s="165">
        <f t="shared" si="13"/>
        <v>0</v>
      </c>
      <c r="AB33" s="165">
        <f t="shared" si="14"/>
        <v>0</v>
      </c>
      <c r="AC33" s="165">
        <f t="shared" si="15"/>
        <v>0</v>
      </c>
      <c r="AD33" s="165">
        <f t="shared" si="16"/>
        <v>264</v>
      </c>
      <c r="AE33" s="170">
        <f t="shared" si="17"/>
        <v>264</v>
      </c>
    </row>
    <row r="34" spans="1:31" ht="14.25" customHeight="1">
      <c r="A34" s="275">
        <v>46050</v>
      </c>
      <c r="B34" s="276"/>
      <c r="C34" s="167"/>
      <c r="D34" s="167"/>
      <c r="E34" s="168"/>
      <c r="F34" s="168"/>
      <c r="G34" s="168"/>
      <c r="H34" s="169"/>
      <c r="I34" s="168"/>
      <c r="J34" s="169"/>
      <c r="K34" s="168">
        <f t="shared" si="0"/>
        <v>0</v>
      </c>
      <c r="L34" s="168"/>
      <c r="M34" s="168"/>
      <c r="N34" s="168"/>
      <c r="O34" s="168">
        <f t="shared" si="1"/>
        <v>0</v>
      </c>
      <c r="P34" s="167">
        <f t="shared" si="2"/>
        <v>8</v>
      </c>
      <c r="Q34" s="165">
        <f t="shared" si="3"/>
        <v>0</v>
      </c>
      <c r="R34" s="165">
        <f t="shared" si="4"/>
        <v>0</v>
      </c>
      <c r="S34" s="165">
        <f t="shared" si="5"/>
        <v>0</v>
      </c>
      <c r="T34" s="165">
        <f t="shared" si="6"/>
        <v>0</v>
      </c>
      <c r="U34" s="165">
        <f t="shared" si="7"/>
        <v>0</v>
      </c>
      <c r="V34" s="165">
        <f t="shared" si="8"/>
        <v>0</v>
      </c>
      <c r="W34" s="165">
        <f t="shared" si="9"/>
        <v>0</v>
      </c>
      <c r="X34" s="165">
        <f t="shared" si="10"/>
        <v>0</v>
      </c>
      <c r="Y34" s="165">
        <f t="shared" si="11"/>
        <v>0</v>
      </c>
      <c r="Z34" s="165">
        <f t="shared" si="12"/>
        <v>0</v>
      </c>
      <c r="AA34" s="165">
        <f t="shared" si="13"/>
        <v>0</v>
      </c>
      <c r="AB34" s="165">
        <f t="shared" si="14"/>
        <v>0</v>
      </c>
      <c r="AC34" s="165">
        <f t="shared" si="15"/>
        <v>0</v>
      </c>
      <c r="AD34" s="165">
        <f t="shared" si="16"/>
        <v>264</v>
      </c>
      <c r="AE34" s="170">
        <f t="shared" si="17"/>
        <v>264</v>
      </c>
    </row>
    <row r="35" spans="1:31" ht="14.25" customHeight="1">
      <c r="A35" s="275">
        <v>46051</v>
      </c>
      <c r="B35" s="276"/>
      <c r="C35" s="167"/>
      <c r="D35" s="167"/>
      <c r="E35" s="168"/>
      <c r="F35" s="168"/>
      <c r="G35" s="168"/>
      <c r="H35" s="169"/>
      <c r="I35" s="168"/>
      <c r="J35" s="169"/>
      <c r="K35" s="168">
        <f t="shared" si="0"/>
        <v>0</v>
      </c>
      <c r="L35" s="168"/>
      <c r="M35" s="168"/>
      <c r="N35" s="168"/>
      <c r="O35" s="168">
        <f t="shared" si="1"/>
        <v>0</v>
      </c>
      <c r="P35" s="167">
        <f t="shared" si="2"/>
        <v>8</v>
      </c>
      <c r="Q35" s="165">
        <f t="shared" si="3"/>
        <v>0</v>
      </c>
      <c r="R35" s="165">
        <f t="shared" si="4"/>
        <v>0</v>
      </c>
      <c r="S35" s="165">
        <f t="shared" si="5"/>
        <v>0</v>
      </c>
      <c r="T35" s="165">
        <f t="shared" si="6"/>
        <v>0</v>
      </c>
      <c r="U35" s="165">
        <f t="shared" si="7"/>
        <v>0</v>
      </c>
      <c r="V35" s="165">
        <f t="shared" si="8"/>
        <v>0</v>
      </c>
      <c r="W35" s="165">
        <f t="shared" si="9"/>
        <v>0</v>
      </c>
      <c r="X35" s="165">
        <f t="shared" si="10"/>
        <v>0</v>
      </c>
      <c r="Y35" s="165">
        <f t="shared" si="11"/>
        <v>0</v>
      </c>
      <c r="Z35" s="165">
        <f t="shared" si="12"/>
        <v>0</v>
      </c>
      <c r="AA35" s="165">
        <f t="shared" si="13"/>
        <v>0</v>
      </c>
      <c r="AB35" s="165">
        <f t="shared" si="14"/>
        <v>0</v>
      </c>
      <c r="AC35" s="165">
        <f t="shared" si="15"/>
        <v>0</v>
      </c>
      <c r="AD35" s="165">
        <f t="shared" si="16"/>
        <v>264</v>
      </c>
      <c r="AE35" s="170">
        <f t="shared" si="17"/>
        <v>264</v>
      </c>
    </row>
    <row r="36" spans="1:31" ht="14.25" customHeight="1">
      <c r="A36" s="275">
        <v>46052</v>
      </c>
      <c r="B36" s="276"/>
      <c r="C36" s="167"/>
      <c r="D36" s="167"/>
      <c r="E36" s="168"/>
      <c r="F36" s="168"/>
      <c r="G36" s="168"/>
      <c r="H36" s="169"/>
      <c r="I36" s="168"/>
      <c r="J36" s="169"/>
      <c r="K36" s="168">
        <f t="shared" si="0"/>
        <v>0</v>
      </c>
      <c r="L36" s="168"/>
      <c r="M36" s="168"/>
      <c r="N36" s="168"/>
      <c r="O36" s="168">
        <f t="shared" si="1"/>
        <v>0</v>
      </c>
      <c r="P36" s="167">
        <f t="shared" si="2"/>
        <v>8</v>
      </c>
      <c r="Q36" s="165">
        <f t="shared" si="3"/>
        <v>0</v>
      </c>
      <c r="R36" s="165">
        <f t="shared" si="4"/>
        <v>0</v>
      </c>
      <c r="S36" s="165">
        <f t="shared" si="5"/>
        <v>0</v>
      </c>
      <c r="T36" s="165">
        <f t="shared" si="6"/>
        <v>0</v>
      </c>
      <c r="U36" s="165">
        <f t="shared" si="7"/>
        <v>0</v>
      </c>
      <c r="V36" s="165">
        <f t="shared" si="8"/>
        <v>0</v>
      </c>
      <c r="W36" s="165">
        <f t="shared" si="9"/>
        <v>0</v>
      </c>
      <c r="X36" s="165">
        <f t="shared" si="10"/>
        <v>0</v>
      </c>
      <c r="Y36" s="165">
        <f t="shared" si="11"/>
        <v>0</v>
      </c>
      <c r="Z36" s="165">
        <f t="shared" si="12"/>
        <v>0</v>
      </c>
      <c r="AA36" s="165">
        <f t="shared" si="13"/>
        <v>0</v>
      </c>
      <c r="AB36" s="165">
        <f t="shared" si="14"/>
        <v>0</v>
      </c>
      <c r="AC36" s="165">
        <f t="shared" si="15"/>
        <v>0</v>
      </c>
      <c r="AD36" s="165">
        <f t="shared" si="16"/>
        <v>264</v>
      </c>
      <c r="AE36" s="170">
        <f t="shared" si="17"/>
        <v>264</v>
      </c>
    </row>
    <row r="37" spans="1:31" ht="14.25" customHeight="1" thickBot="1">
      <c r="A37" s="275">
        <v>46053</v>
      </c>
      <c r="B37" s="276"/>
      <c r="C37" s="167"/>
      <c r="D37" s="167"/>
      <c r="E37" s="168"/>
      <c r="F37" s="168"/>
      <c r="G37" s="168"/>
      <c r="H37" s="169"/>
      <c r="I37" s="168"/>
      <c r="J37" s="169"/>
      <c r="K37" s="168"/>
      <c r="L37" s="168"/>
      <c r="M37" s="168"/>
      <c r="N37" s="168"/>
      <c r="O37" s="168">
        <f t="shared" si="1"/>
        <v>0</v>
      </c>
      <c r="P37" s="167">
        <f t="shared" si="2"/>
        <v>8</v>
      </c>
      <c r="Q37" s="165">
        <f t="shared" si="3"/>
        <v>0</v>
      </c>
      <c r="R37" s="165">
        <f t="shared" si="4"/>
        <v>0</v>
      </c>
      <c r="S37" s="165">
        <f t="shared" si="5"/>
        <v>0</v>
      </c>
      <c r="T37" s="165">
        <f t="shared" si="6"/>
        <v>0</v>
      </c>
      <c r="U37" s="165">
        <f t="shared" si="7"/>
        <v>0</v>
      </c>
      <c r="V37" s="165">
        <f t="shared" si="8"/>
        <v>0</v>
      </c>
      <c r="W37" s="165">
        <f t="shared" si="9"/>
        <v>0</v>
      </c>
      <c r="X37" s="165">
        <f t="shared" si="10"/>
        <v>0</v>
      </c>
      <c r="Y37" s="165">
        <f t="shared" si="11"/>
        <v>0</v>
      </c>
      <c r="Z37" s="165">
        <f t="shared" si="12"/>
        <v>0</v>
      </c>
      <c r="AA37" s="165">
        <f t="shared" si="13"/>
        <v>0</v>
      </c>
      <c r="AB37" s="165">
        <f t="shared" si="14"/>
        <v>0</v>
      </c>
      <c r="AC37" s="165">
        <f t="shared" si="15"/>
        <v>0</v>
      </c>
      <c r="AD37" s="165">
        <f t="shared" si="16"/>
        <v>264</v>
      </c>
      <c r="AE37" s="170">
        <f t="shared" ref="AE37" si="18">SUM(Q37:AD37)</f>
        <v>264</v>
      </c>
    </row>
    <row r="38" spans="1:31" ht="14.25" customHeight="1" thickBot="1">
      <c r="A38" s="279" t="s">
        <v>26</v>
      </c>
      <c r="B38" s="280"/>
      <c r="C38" s="175">
        <f t="shared" ref="C38:P38" si="19">SUM(C7:C37)</f>
        <v>0</v>
      </c>
      <c r="D38" s="175">
        <f t="shared" si="19"/>
        <v>0</v>
      </c>
      <c r="E38" s="175">
        <f t="shared" si="19"/>
        <v>0</v>
      </c>
      <c r="F38" s="175">
        <f t="shared" si="19"/>
        <v>0</v>
      </c>
      <c r="G38" s="175">
        <f t="shared" si="19"/>
        <v>0</v>
      </c>
      <c r="H38" s="175">
        <f t="shared" si="19"/>
        <v>0</v>
      </c>
      <c r="I38" s="175">
        <f t="shared" si="19"/>
        <v>0</v>
      </c>
      <c r="J38" s="175">
        <f t="shared" si="19"/>
        <v>0</v>
      </c>
      <c r="K38" s="175">
        <f t="shared" si="19"/>
        <v>0</v>
      </c>
      <c r="L38" s="175">
        <f t="shared" si="19"/>
        <v>0</v>
      </c>
      <c r="M38" s="175">
        <f t="shared" si="19"/>
        <v>0</v>
      </c>
      <c r="N38" s="175">
        <f t="shared" si="19"/>
        <v>0</v>
      </c>
      <c r="O38" s="175">
        <f t="shared" si="19"/>
        <v>0</v>
      </c>
      <c r="P38" s="175">
        <f t="shared" si="19"/>
        <v>248</v>
      </c>
      <c r="Q38" s="176">
        <f>SUM(Q7:Q37)</f>
        <v>0</v>
      </c>
      <c r="R38" s="176">
        <f t="shared" ref="R38:AD38" si="20">SUM(R7:R37)</f>
        <v>0</v>
      </c>
      <c r="S38" s="176">
        <f t="shared" si="20"/>
        <v>0</v>
      </c>
      <c r="T38" s="176">
        <f t="shared" si="20"/>
        <v>0</v>
      </c>
      <c r="U38" s="176">
        <f t="shared" si="20"/>
        <v>0</v>
      </c>
      <c r="V38" s="176">
        <f t="shared" si="20"/>
        <v>0</v>
      </c>
      <c r="W38" s="176">
        <f t="shared" si="20"/>
        <v>0</v>
      </c>
      <c r="X38" s="176">
        <f t="shared" si="20"/>
        <v>0</v>
      </c>
      <c r="Y38" s="176">
        <f t="shared" si="20"/>
        <v>0</v>
      </c>
      <c r="Z38" s="176">
        <f t="shared" si="20"/>
        <v>0</v>
      </c>
      <c r="AA38" s="176">
        <f t="shared" si="20"/>
        <v>0</v>
      </c>
      <c r="AB38" s="176">
        <f t="shared" si="20"/>
        <v>0</v>
      </c>
      <c r="AC38" s="176">
        <f t="shared" si="20"/>
        <v>0</v>
      </c>
      <c r="AD38" s="176">
        <f t="shared" si="20"/>
        <v>8184</v>
      </c>
      <c r="AE38" s="177">
        <f>SUM(AE7:AE37)</f>
        <v>8184</v>
      </c>
    </row>
    <row r="39" spans="1:31" ht="14.25" customHeight="1"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AE39" s="178">
        <v>0</v>
      </c>
    </row>
    <row r="40" spans="1:31" ht="14.25" customHeight="1" thickBot="1"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AD40" s="179"/>
      <c r="AE40" s="180">
        <f>-(K3*14+K3*24+K3*2*2.7)</f>
        <v>0</v>
      </c>
    </row>
    <row r="41" spans="1:31" ht="14.25" customHeight="1"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AE41" s="181">
        <f>AE38+AE39+AE40</f>
        <v>8184</v>
      </c>
    </row>
    <row r="42" spans="1:31" ht="14.25" customHeight="1"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AE42" s="159"/>
    </row>
    <row r="43" spans="1:31" ht="14.25" customHeight="1"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AE43" s="159"/>
    </row>
    <row r="44" spans="1:31" ht="14.25" customHeight="1"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AE44" s="159"/>
    </row>
    <row r="45" spans="1:31" ht="14.25" customHeight="1"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AE45" s="159"/>
    </row>
    <row r="46" spans="1:31" ht="14.25" customHeight="1"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AE46" s="159"/>
    </row>
    <row r="47" spans="1:31" ht="14.25" customHeight="1"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AE47" s="159"/>
    </row>
    <row r="48" spans="1:31" ht="14.25" customHeight="1"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AE48" s="159"/>
    </row>
    <row r="49" spans="3:31" ht="14.25" customHeight="1"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AE49" s="159"/>
    </row>
    <row r="50" spans="3:31" ht="14.25" customHeight="1"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AE50" s="159"/>
    </row>
    <row r="51" spans="3:31" ht="14.25" customHeight="1"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AE51" s="159"/>
    </row>
    <row r="52" spans="3:31" ht="14.25" customHeight="1"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AE52" s="159"/>
    </row>
    <row r="53" spans="3:31" ht="14.25" customHeight="1"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AE53" s="159"/>
    </row>
    <row r="54" spans="3:31" ht="14.25" customHeight="1"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AE54" s="159"/>
    </row>
    <row r="55" spans="3:31" ht="14.25" customHeight="1"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AE55" s="159"/>
    </row>
    <row r="56" spans="3:31" ht="14.25" customHeight="1"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AE56" s="159"/>
    </row>
    <row r="57" spans="3:31" ht="14.25" customHeight="1"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AE57" s="159"/>
    </row>
    <row r="58" spans="3:31" ht="14.25" customHeight="1"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AE58" s="159"/>
    </row>
    <row r="59" spans="3:31" ht="14.25" customHeight="1"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AE59" s="159"/>
    </row>
    <row r="60" spans="3:31" ht="14.25" customHeight="1"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AE60" s="159"/>
    </row>
    <row r="61" spans="3:31" ht="14.25" customHeight="1"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AE61" s="159"/>
    </row>
    <row r="62" spans="3:31" ht="14.25" customHeight="1"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AE62" s="159"/>
    </row>
    <row r="63" spans="3:31" ht="14.25" customHeight="1"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AE63" s="159"/>
    </row>
    <row r="64" spans="3:31" ht="14.25" customHeight="1"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AE64" s="159"/>
    </row>
    <row r="65" spans="3:31" ht="14.25" customHeight="1"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AE65" s="159"/>
    </row>
    <row r="66" spans="3:31" ht="14.25" customHeight="1"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AE66" s="159"/>
    </row>
    <row r="67" spans="3:31" ht="14.25" customHeight="1"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AE67" s="159"/>
    </row>
    <row r="68" spans="3:31" ht="14.25" customHeight="1"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AE68" s="159"/>
    </row>
    <row r="69" spans="3:31" ht="14.25" customHeight="1"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AE69" s="159"/>
    </row>
    <row r="70" spans="3:31" ht="14.25" customHeight="1"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AE70" s="159"/>
    </row>
    <row r="71" spans="3:31" ht="14.25" customHeight="1"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AE71" s="159"/>
    </row>
    <row r="72" spans="3:31" ht="14.25" customHeight="1"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AE72" s="159"/>
    </row>
    <row r="73" spans="3:31" ht="14.25" customHeight="1"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AE73" s="159"/>
    </row>
    <row r="74" spans="3:31" ht="14.25" customHeight="1"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AE74" s="159"/>
    </row>
    <row r="75" spans="3:31" ht="14.25" customHeight="1"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AE75" s="159"/>
    </row>
    <row r="76" spans="3:31" ht="14.25" customHeight="1"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AE76" s="159"/>
    </row>
    <row r="77" spans="3:31" ht="14.25" customHeight="1"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AE77" s="159"/>
    </row>
    <row r="78" spans="3:31" ht="14.25" customHeight="1"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AE78" s="159"/>
    </row>
    <row r="79" spans="3:31" ht="14.25" customHeight="1"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AE79" s="159"/>
    </row>
    <row r="80" spans="3:31" ht="14.25" customHeight="1"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AE80" s="159"/>
    </row>
    <row r="81" spans="3:31" ht="14.25" customHeight="1"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AE81" s="159"/>
    </row>
    <row r="82" spans="3:31" ht="14.25" customHeight="1"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AE82" s="159"/>
    </row>
    <row r="83" spans="3:31" ht="14.25" customHeight="1"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AE83" s="159"/>
    </row>
    <row r="84" spans="3:31" ht="14.25" customHeight="1"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AE84" s="159"/>
    </row>
    <row r="85" spans="3:31" ht="14.25" customHeight="1"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AE85" s="159"/>
    </row>
    <row r="86" spans="3:31" ht="14.25" customHeight="1"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AE86" s="159"/>
    </row>
    <row r="87" spans="3:31" ht="14.25" customHeight="1"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AE87" s="159"/>
    </row>
    <row r="88" spans="3:31" ht="14.25" customHeight="1"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AE88" s="159"/>
    </row>
    <row r="89" spans="3:31" ht="14.25" customHeight="1"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AE89" s="159"/>
    </row>
    <row r="90" spans="3:31" ht="14.25" customHeight="1"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AE90" s="159"/>
    </row>
    <row r="91" spans="3:31" ht="14.25" customHeight="1"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AE91" s="159"/>
    </row>
    <row r="92" spans="3:31" ht="14.25" customHeight="1"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AE92" s="159"/>
    </row>
    <row r="93" spans="3:31" ht="14.25" customHeight="1"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AE93" s="159"/>
    </row>
    <row r="94" spans="3:31" ht="14.25" customHeight="1"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AE94" s="159"/>
    </row>
    <row r="95" spans="3:31" ht="14.25" customHeight="1"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AE95" s="159"/>
    </row>
    <row r="96" spans="3:31" ht="14.25" customHeight="1"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AE96" s="159"/>
    </row>
    <row r="97" spans="3:31" ht="14.25" customHeight="1"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AE97" s="159"/>
    </row>
    <row r="98" spans="3:31" ht="14.25" customHeight="1"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AE98" s="159"/>
    </row>
    <row r="99" spans="3:31" ht="14.25" customHeight="1"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AE99" s="159"/>
    </row>
    <row r="100" spans="3:31" ht="14.25" customHeight="1"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AE100" s="159"/>
    </row>
    <row r="101" spans="3:31" ht="14.25" customHeight="1"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AE101" s="159"/>
    </row>
    <row r="102" spans="3:31" ht="14.25" customHeight="1"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AE102" s="159"/>
    </row>
    <row r="103" spans="3:31" ht="14.25" customHeight="1"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AE103" s="159"/>
    </row>
    <row r="104" spans="3:31" ht="14.25" customHeight="1"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AE104" s="159"/>
    </row>
    <row r="105" spans="3:31" ht="14.25" customHeight="1"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AE105" s="159"/>
    </row>
    <row r="106" spans="3:31" ht="14.25" customHeight="1"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AE106" s="159"/>
    </row>
    <row r="107" spans="3:31" ht="14.25" customHeight="1"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AE107" s="159"/>
    </row>
    <row r="108" spans="3:31" ht="14.25" customHeight="1"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AE108" s="159"/>
    </row>
    <row r="109" spans="3:31" ht="14.25" customHeight="1"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AE109" s="159"/>
    </row>
    <row r="110" spans="3:31" ht="14.25" customHeight="1"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AE110" s="159"/>
    </row>
    <row r="111" spans="3:31" ht="14.25" customHeight="1"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AE111" s="159"/>
    </row>
    <row r="112" spans="3:31" ht="14.25" customHeight="1"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AE112" s="159"/>
    </row>
    <row r="113" spans="3:31" ht="14.25" customHeight="1"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AE113" s="159"/>
    </row>
    <row r="114" spans="3:31" ht="14.25" customHeight="1"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AE114" s="159"/>
    </row>
    <row r="115" spans="3:31" ht="14.25" customHeight="1"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AE115" s="159"/>
    </row>
    <row r="116" spans="3:31" ht="14.25" customHeight="1"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AE116" s="159"/>
    </row>
    <row r="117" spans="3:31" ht="14.25" customHeight="1"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AE117" s="159"/>
    </row>
    <row r="118" spans="3:31" ht="14.25" customHeight="1"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AE118" s="159"/>
    </row>
    <row r="119" spans="3:31" ht="14.25" customHeight="1"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AE119" s="159"/>
    </row>
    <row r="120" spans="3:31" ht="14.25" customHeight="1"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AE120" s="159"/>
    </row>
    <row r="121" spans="3:31" ht="14.25" customHeight="1"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AE121" s="159"/>
    </row>
    <row r="122" spans="3:31" ht="14.25" customHeight="1"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AE122" s="159"/>
    </row>
    <row r="123" spans="3:31" ht="14.25" customHeight="1"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AE123" s="159"/>
    </row>
    <row r="124" spans="3:31" ht="14.25" customHeight="1"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AE124" s="159"/>
    </row>
    <row r="125" spans="3:31" ht="14.25" customHeight="1"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AE125" s="159"/>
    </row>
    <row r="126" spans="3:31" ht="14.25" customHeight="1"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AE126" s="159"/>
    </row>
    <row r="127" spans="3:31" ht="14.25" customHeight="1"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AE127" s="159"/>
    </row>
    <row r="128" spans="3:31" ht="14.25" customHeight="1"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AE128" s="159"/>
    </row>
    <row r="129" spans="3:31" ht="14.25" customHeight="1"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AE129" s="159"/>
    </row>
    <row r="130" spans="3:31" ht="14.25" customHeight="1"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AE130" s="159"/>
    </row>
    <row r="131" spans="3:31" ht="14.25" customHeight="1"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AE131" s="159"/>
    </row>
    <row r="132" spans="3:31" ht="14.25" customHeight="1"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AE132" s="159"/>
    </row>
    <row r="133" spans="3:31" ht="14.25" customHeight="1"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AE133" s="159"/>
    </row>
    <row r="134" spans="3:31" ht="14.25" customHeight="1"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AE134" s="159"/>
    </row>
    <row r="135" spans="3:31" ht="14.25" customHeight="1"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AE135" s="159"/>
    </row>
    <row r="136" spans="3:31" ht="14.25" customHeight="1"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AE136" s="159"/>
    </row>
    <row r="137" spans="3:31" ht="14.25" customHeight="1"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AE137" s="159"/>
    </row>
    <row r="138" spans="3:31" ht="14.25" customHeight="1"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AE138" s="159"/>
    </row>
    <row r="139" spans="3:31" ht="14.25" customHeight="1"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AE139" s="159"/>
    </row>
    <row r="140" spans="3:31" ht="14.25" customHeight="1"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AE140" s="159"/>
    </row>
    <row r="141" spans="3:31" ht="14.25" customHeight="1"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AE141" s="159"/>
    </row>
    <row r="142" spans="3:31" ht="14.25" customHeight="1"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AE142" s="159"/>
    </row>
    <row r="143" spans="3:31" ht="14.25" customHeight="1"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AE143" s="159"/>
    </row>
    <row r="144" spans="3:31" ht="14.25" customHeight="1"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AE144" s="159"/>
    </row>
    <row r="145" spans="3:31" ht="14.25" customHeight="1"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AE145" s="159"/>
    </row>
    <row r="146" spans="3:31" ht="14.25" customHeight="1"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AE146" s="159"/>
    </row>
    <row r="147" spans="3:31" ht="14.25" customHeight="1"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AE147" s="159"/>
    </row>
    <row r="148" spans="3:31" ht="14.25" customHeight="1"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AE148" s="159"/>
    </row>
    <row r="149" spans="3:31" ht="14.25" customHeight="1"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AE149" s="159"/>
    </row>
    <row r="150" spans="3:31" ht="14.25" customHeight="1"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AE150" s="159"/>
    </row>
    <row r="151" spans="3:31" ht="14.25" customHeight="1"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AE151" s="159"/>
    </row>
    <row r="152" spans="3:31" ht="14.25" customHeight="1"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AE152" s="159"/>
    </row>
    <row r="153" spans="3:31" ht="14.25" customHeight="1"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AE153" s="159"/>
    </row>
    <row r="154" spans="3:31" ht="14.25" customHeight="1"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AE154" s="159"/>
    </row>
    <row r="155" spans="3:31" ht="14.25" customHeight="1"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AE155" s="159"/>
    </row>
    <row r="156" spans="3:31" ht="14.25" customHeight="1"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AE156" s="159"/>
    </row>
    <row r="157" spans="3:31" ht="14.25" customHeight="1"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AE157" s="159"/>
    </row>
    <row r="158" spans="3:31" ht="14.25" customHeight="1"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AE158" s="159"/>
    </row>
    <row r="159" spans="3:31" ht="14.25" customHeight="1"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AE159" s="159"/>
    </row>
    <row r="160" spans="3:31" ht="14.25" customHeight="1"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AE160" s="159"/>
    </row>
    <row r="161" spans="3:31" ht="14.25" customHeight="1"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AE161" s="159"/>
    </row>
    <row r="162" spans="3:31" ht="14.25" customHeight="1"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AE162" s="159"/>
    </row>
    <row r="163" spans="3:31" ht="14.25" customHeight="1"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AE163" s="159"/>
    </row>
    <row r="164" spans="3:31" ht="14.25" customHeight="1"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AE164" s="159"/>
    </row>
    <row r="165" spans="3:31" ht="14.25" customHeight="1"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AE165" s="159"/>
    </row>
    <row r="166" spans="3:31" ht="14.25" customHeight="1"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AE166" s="159"/>
    </row>
    <row r="167" spans="3:31" ht="14.25" customHeight="1"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AE167" s="159"/>
    </row>
    <row r="168" spans="3:31" ht="14.25" customHeight="1"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AE168" s="159"/>
    </row>
    <row r="169" spans="3:31" ht="14.25" customHeight="1"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AE169" s="159"/>
    </row>
    <row r="170" spans="3:31" ht="14.25" customHeight="1"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AE170" s="159"/>
    </row>
    <row r="171" spans="3:31" ht="14.25" customHeight="1"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AE171" s="159"/>
    </row>
    <row r="172" spans="3:31" ht="14.25" customHeight="1"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AE172" s="159"/>
    </row>
    <row r="173" spans="3:31" ht="14.25" customHeight="1"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AE173" s="159"/>
    </row>
    <row r="174" spans="3:31" ht="14.25" customHeight="1"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AE174" s="159"/>
    </row>
    <row r="175" spans="3:31" ht="14.25" customHeight="1"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AE175" s="159"/>
    </row>
    <row r="176" spans="3:31" ht="14.25" customHeight="1"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AE176" s="159"/>
    </row>
    <row r="177" spans="3:31" ht="14.25" customHeight="1"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AE177" s="159"/>
    </row>
    <row r="178" spans="3:31" ht="14.25" customHeight="1"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AE178" s="159"/>
    </row>
    <row r="179" spans="3:31" ht="14.25" customHeight="1"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AE179" s="159"/>
    </row>
    <row r="180" spans="3:31" ht="14.25" customHeight="1"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AE180" s="159"/>
    </row>
    <row r="181" spans="3:31" ht="14.25" customHeight="1"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AE181" s="159"/>
    </row>
    <row r="182" spans="3:31" ht="14.25" customHeight="1"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AE182" s="159"/>
    </row>
    <row r="183" spans="3:31" ht="14.25" customHeight="1"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AE183" s="159"/>
    </row>
    <row r="184" spans="3:31" ht="14.25" customHeight="1"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AE184" s="159"/>
    </row>
    <row r="185" spans="3:31" ht="14.25" customHeight="1"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AE185" s="159"/>
    </row>
    <row r="186" spans="3:31" ht="14.25" customHeight="1"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AE186" s="159"/>
    </row>
    <row r="187" spans="3:31" ht="14.25" customHeight="1"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AE187" s="159"/>
    </row>
    <row r="188" spans="3:31" ht="14.25" customHeight="1"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AE188" s="159"/>
    </row>
    <row r="189" spans="3:31" ht="14.25" customHeight="1"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AE189" s="159"/>
    </row>
    <row r="190" spans="3:31" ht="14.25" customHeight="1"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AE190" s="159"/>
    </row>
    <row r="191" spans="3:31" ht="14.25" customHeight="1"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AE191" s="159"/>
    </row>
    <row r="192" spans="3:31" ht="14.25" customHeight="1"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AE192" s="159"/>
    </row>
    <row r="193" spans="3:31" ht="14.25" customHeight="1"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AE193" s="159"/>
    </row>
    <row r="194" spans="3:31" ht="14.25" customHeight="1"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AE194" s="159"/>
    </row>
    <row r="195" spans="3:31" ht="14.25" customHeight="1"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AE195" s="159"/>
    </row>
    <row r="196" spans="3:31" ht="14.25" customHeight="1"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AE196" s="159"/>
    </row>
    <row r="197" spans="3:31" ht="14.25" customHeight="1"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AE197" s="159"/>
    </row>
    <row r="198" spans="3:31" ht="14.25" customHeight="1"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AE198" s="159"/>
    </row>
    <row r="199" spans="3:31" ht="14.25" customHeight="1"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AE199" s="159"/>
    </row>
    <row r="200" spans="3:31" ht="14.25" customHeight="1"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AE200" s="159"/>
    </row>
    <row r="201" spans="3:31" ht="14.25" customHeight="1"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AE201" s="159"/>
    </row>
    <row r="202" spans="3:31" ht="14.25" customHeight="1"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AE202" s="159"/>
    </row>
    <row r="203" spans="3:31" ht="14.25" customHeight="1"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AE203" s="159"/>
    </row>
    <row r="204" spans="3:31" ht="14.25" customHeight="1"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AE204" s="159"/>
    </row>
    <row r="205" spans="3:31" ht="14.25" customHeight="1"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AE205" s="159"/>
    </row>
    <row r="206" spans="3:31" ht="14.25" customHeight="1"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AE206" s="159"/>
    </row>
    <row r="207" spans="3:31" ht="14.25" customHeight="1"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AE207" s="159"/>
    </row>
    <row r="208" spans="3:31" ht="14.25" customHeight="1"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AE208" s="159"/>
    </row>
    <row r="209" spans="3:31" ht="14.25" customHeight="1"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AE209" s="159"/>
    </row>
    <row r="210" spans="3:31" ht="14.25" customHeight="1"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AE210" s="159"/>
    </row>
    <row r="211" spans="3:31" ht="14.25" customHeight="1"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AE211" s="159"/>
    </row>
    <row r="212" spans="3:31" ht="14.25" customHeight="1"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AE212" s="159"/>
    </row>
    <row r="213" spans="3:31" ht="14.25" customHeight="1"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AE213" s="159"/>
    </row>
    <row r="214" spans="3:31" ht="14.25" customHeight="1"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AE214" s="159"/>
    </row>
    <row r="215" spans="3:31" ht="14.25" customHeight="1"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AE215" s="159"/>
    </row>
    <row r="216" spans="3:31" ht="14.25" customHeight="1"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AE216" s="159"/>
    </row>
    <row r="217" spans="3:31" ht="14.25" customHeight="1"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AE217" s="159"/>
    </row>
    <row r="218" spans="3:31" ht="14.25" customHeight="1"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AE218" s="159"/>
    </row>
    <row r="219" spans="3:31" ht="14.25" customHeight="1"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AE219" s="159"/>
    </row>
    <row r="220" spans="3:31" ht="14.25" customHeight="1"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AE220" s="159"/>
    </row>
    <row r="221" spans="3:31" ht="14.25" customHeight="1"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AE221" s="159"/>
    </row>
    <row r="222" spans="3:31" ht="14.25" customHeight="1"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AE222" s="159"/>
    </row>
    <row r="223" spans="3:31" ht="14.25" customHeight="1"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AE223" s="159"/>
    </row>
    <row r="224" spans="3:31" ht="14.25" customHeight="1"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AE224" s="159"/>
    </row>
    <row r="225" spans="3:31" ht="14.25" customHeight="1"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AE225" s="159"/>
    </row>
    <row r="226" spans="3:31" ht="14.25" customHeight="1"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AE226" s="159"/>
    </row>
    <row r="227" spans="3:31" ht="14.25" customHeight="1"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AE227" s="159"/>
    </row>
    <row r="228" spans="3:31" ht="14.25" customHeight="1"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AE228" s="159"/>
    </row>
    <row r="229" spans="3:31" ht="14.25" customHeight="1"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AE229" s="159"/>
    </row>
    <row r="230" spans="3:31" ht="14.25" customHeight="1"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AE230" s="159"/>
    </row>
    <row r="231" spans="3:31" ht="14.25" customHeight="1"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AE231" s="159"/>
    </row>
    <row r="232" spans="3:31" ht="14.25" customHeight="1"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AE232" s="159"/>
    </row>
    <row r="233" spans="3:31" ht="14.25" customHeight="1"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AE233" s="159"/>
    </row>
    <row r="234" spans="3:31" ht="14.25" customHeight="1"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AE234" s="159"/>
    </row>
    <row r="235" spans="3:31" ht="14.25" customHeight="1"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AE235" s="159"/>
    </row>
    <row r="236" spans="3:31" ht="14.25" customHeight="1"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AE236" s="159"/>
    </row>
    <row r="237" spans="3:31" ht="14.25" customHeight="1"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AE237" s="159"/>
    </row>
    <row r="238" spans="3:31" ht="14.25" customHeight="1"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AE238" s="159"/>
    </row>
    <row r="239" spans="3:31" ht="14.25" customHeight="1"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AE239" s="159"/>
    </row>
    <row r="240" spans="3:31" ht="14.25" customHeight="1"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AE240" s="159"/>
    </row>
    <row r="241" spans="3:31" ht="14.25" customHeight="1"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AE241" s="159"/>
    </row>
    <row r="242" spans="3:31" ht="15.75" customHeight="1"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AE242" s="159"/>
    </row>
    <row r="243" spans="3:31" ht="15.75" customHeight="1"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AE243" s="159"/>
    </row>
    <row r="244" spans="3:31" ht="15.75" customHeight="1"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AE244" s="159"/>
    </row>
    <row r="245" spans="3:31" ht="15.75" customHeight="1"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AE245" s="159"/>
    </row>
    <row r="246" spans="3:31" ht="15.75" customHeight="1"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AE246" s="159"/>
    </row>
    <row r="247" spans="3:31" ht="15.75" customHeight="1"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AE247" s="159"/>
    </row>
    <row r="248" spans="3:31" ht="15.75" customHeight="1"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AE248" s="159"/>
    </row>
    <row r="249" spans="3:31" ht="15.75" customHeight="1"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AE249" s="159"/>
    </row>
    <row r="250" spans="3:31" ht="15.75" customHeight="1"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AE250" s="159"/>
    </row>
    <row r="251" spans="3:31" ht="15.75" customHeight="1"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AE251" s="159"/>
    </row>
    <row r="252" spans="3:31" ht="15.75" customHeight="1"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AE252" s="159"/>
    </row>
    <row r="253" spans="3:31" ht="15.75" customHeight="1"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AE253" s="159"/>
    </row>
    <row r="254" spans="3:31" ht="15.75" customHeight="1"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AE254" s="159"/>
    </row>
    <row r="255" spans="3:31" ht="15.75" customHeight="1"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AE255" s="159"/>
    </row>
    <row r="256" spans="3:31" ht="15.75" customHeight="1"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AE256" s="159"/>
    </row>
    <row r="257" spans="3:31" ht="15.75" customHeight="1"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AE257" s="159"/>
    </row>
    <row r="258" spans="3:31" ht="15.75" customHeight="1"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AE258" s="159"/>
    </row>
    <row r="259" spans="3:31" ht="15.75" customHeight="1"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AE259" s="159"/>
    </row>
    <row r="260" spans="3:31" ht="15.75" customHeight="1"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AE260" s="159"/>
    </row>
    <row r="261" spans="3:31" ht="15.75" customHeight="1"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AE261" s="159"/>
    </row>
    <row r="262" spans="3:31" ht="15.75" customHeight="1"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AE262" s="159"/>
    </row>
    <row r="263" spans="3:31" ht="15.75" customHeight="1"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AE263" s="159"/>
    </row>
    <row r="264" spans="3:31" ht="15.75" customHeight="1"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AE264" s="159"/>
    </row>
    <row r="265" spans="3:31" ht="15.75" customHeight="1"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AE265" s="159"/>
    </row>
    <row r="266" spans="3:31" ht="15.75" customHeight="1"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AE266" s="159"/>
    </row>
    <row r="267" spans="3:31" ht="15.75" customHeight="1"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AE267" s="159"/>
    </row>
    <row r="268" spans="3:31" ht="15.75" customHeight="1"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AE268" s="159"/>
    </row>
    <row r="269" spans="3:31" ht="15.75" customHeight="1"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AE269" s="159"/>
    </row>
    <row r="270" spans="3:31" ht="15.75" customHeight="1"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AE270" s="159"/>
    </row>
    <row r="271" spans="3:31" ht="15.75" customHeight="1"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AE271" s="159"/>
    </row>
    <row r="272" spans="3:31" ht="15.75" customHeight="1"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AE272" s="159"/>
    </row>
    <row r="273" spans="3:31" ht="15.75" customHeight="1"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AE273" s="159"/>
    </row>
    <row r="274" spans="3:31" ht="15.75" customHeight="1"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AE274" s="159"/>
    </row>
    <row r="275" spans="3:31" ht="15.75" customHeight="1"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AE275" s="159"/>
    </row>
    <row r="276" spans="3:31" ht="15.75" customHeight="1"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AE276" s="159"/>
    </row>
    <row r="277" spans="3:31" ht="15.75" customHeight="1"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AE277" s="159"/>
    </row>
    <row r="278" spans="3:31" ht="15.75" customHeight="1"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AE278" s="159"/>
    </row>
    <row r="279" spans="3:31" ht="15.75" customHeight="1"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AE279" s="159"/>
    </row>
    <row r="280" spans="3:31" ht="15.75" customHeight="1"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AE280" s="159"/>
    </row>
    <row r="281" spans="3:31" ht="15.75" customHeight="1"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AE281" s="159"/>
    </row>
    <row r="282" spans="3:31" ht="15.75" customHeight="1"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AE282" s="159"/>
    </row>
    <row r="283" spans="3:31" ht="15.75" customHeight="1"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AE283" s="159"/>
    </row>
    <row r="284" spans="3:31" ht="15.75" customHeight="1"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AE284" s="159"/>
    </row>
    <row r="285" spans="3:31" ht="15.75" customHeight="1"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AE285" s="159"/>
    </row>
    <row r="286" spans="3:31" ht="15.75" customHeight="1"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AE286" s="159"/>
    </row>
    <row r="287" spans="3:31" ht="15.75" customHeight="1"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AE287" s="159"/>
    </row>
    <row r="288" spans="3:31" ht="15.75" customHeight="1"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AE288" s="159"/>
    </row>
    <row r="289" spans="3:31" ht="15.75" customHeight="1"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AE289" s="159"/>
    </row>
    <row r="290" spans="3:31" ht="15.75" customHeight="1"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AE290" s="159"/>
    </row>
    <row r="291" spans="3:31" ht="15.75" customHeight="1"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AE291" s="159"/>
    </row>
    <row r="292" spans="3:31" ht="15.75" customHeight="1"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AE292" s="159"/>
    </row>
    <row r="293" spans="3:31" ht="15.75" customHeight="1"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AE293" s="159"/>
    </row>
    <row r="294" spans="3:31" ht="15.75" customHeight="1"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AE294" s="159"/>
    </row>
    <row r="295" spans="3:31" ht="15.75" customHeight="1"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AE295" s="159"/>
    </row>
    <row r="296" spans="3:31" ht="15.75" customHeight="1"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AE296" s="159"/>
    </row>
    <row r="297" spans="3:31" ht="15.75" customHeight="1"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AE297" s="159"/>
    </row>
    <row r="298" spans="3:31" ht="15.75" customHeight="1"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AE298" s="159"/>
    </row>
    <row r="299" spans="3:31" ht="15.75" customHeight="1"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AE299" s="159"/>
    </row>
    <row r="300" spans="3:31" ht="15.75" customHeight="1"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AE300" s="159"/>
    </row>
    <row r="301" spans="3:31" ht="15.75" customHeight="1"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AE301" s="159"/>
    </row>
    <row r="302" spans="3:31" ht="15.75" customHeight="1"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AE302" s="159"/>
    </row>
    <row r="303" spans="3:31" ht="15.75" customHeight="1"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AE303" s="159"/>
    </row>
    <row r="304" spans="3:31" ht="15.75" customHeight="1"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AE304" s="159"/>
    </row>
    <row r="305" spans="3:31" ht="15.75" customHeight="1"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AE305" s="159"/>
    </row>
    <row r="306" spans="3:31" ht="15.75" customHeight="1"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AE306" s="159"/>
    </row>
    <row r="307" spans="3:31" ht="15.75" customHeight="1"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AE307" s="159"/>
    </row>
    <row r="308" spans="3:31" ht="15.75" customHeight="1"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AE308" s="159"/>
    </row>
    <row r="309" spans="3:31" ht="15.75" customHeight="1"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AE309" s="159"/>
    </row>
    <row r="310" spans="3:31" ht="15.75" customHeight="1"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AE310" s="159"/>
    </row>
    <row r="311" spans="3:31" ht="15.75" customHeight="1"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AE311" s="159"/>
    </row>
    <row r="312" spans="3:31" ht="15.75" customHeight="1"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AE312" s="159"/>
    </row>
    <row r="313" spans="3:31" ht="15.75" customHeight="1"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AE313" s="159"/>
    </row>
    <row r="314" spans="3:31" ht="15.75" customHeight="1"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AE314" s="159"/>
    </row>
    <row r="315" spans="3:31" ht="15.75" customHeight="1"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AE315" s="159"/>
    </row>
    <row r="316" spans="3:31" ht="15.75" customHeight="1"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AE316" s="159"/>
    </row>
    <row r="317" spans="3:31" ht="15.75" customHeight="1"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AE317" s="159"/>
    </row>
    <row r="318" spans="3:31" ht="15.75" customHeight="1"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AE318" s="159"/>
    </row>
    <row r="319" spans="3:31" ht="15.75" customHeight="1"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AE319" s="159"/>
    </row>
    <row r="320" spans="3:31" ht="15.75" customHeight="1"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AE320" s="159"/>
    </row>
    <row r="321" spans="3:31" ht="15.75" customHeight="1"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AE321" s="159"/>
    </row>
    <row r="322" spans="3:31" ht="15.75" customHeight="1"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AE322" s="159"/>
    </row>
    <row r="323" spans="3:31" ht="15.75" customHeight="1"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AE323" s="159"/>
    </row>
    <row r="324" spans="3:31" ht="15.75" customHeight="1"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AE324" s="159"/>
    </row>
    <row r="325" spans="3:31" ht="15.75" customHeight="1"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AE325" s="159"/>
    </row>
    <row r="326" spans="3:31" ht="15.75" customHeight="1"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AE326" s="159"/>
    </row>
    <row r="327" spans="3:31" ht="15.75" customHeight="1"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AE327" s="159"/>
    </row>
    <row r="328" spans="3:31" ht="15.75" customHeight="1"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AE328" s="159"/>
    </row>
    <row r="329" spans="3:31" ht="15.75" customHeight="1"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AE329" s="159"/>
    </row>
    <row r="330" spans="3:31" ht="15.75" customHeight="1"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AE330" s="159"/>
    </row>
    <row r="331" spans="3:31" ht="15.75" customHeight="1"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AE331" s="159"/>
    </row>
    <row r="332" spans="3:31" ht="15.75" customHeight="1"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AE332" s="159"/>
    </row>
    <row r="333" spans="3:31" ht="15.75" customHeight="1"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AE333" s="159"/>
    </row>
    <row r="334" spans="3:31" ht="15.75" customHeight="1"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AE334" s="159"/>
    </row>
    <row r="335" spans="3:31" ht="15.75" customHeight="1"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AE335" s="159"/>
    </row>
    <row r="336" spans="3:31" ht="15.75" customHeight="1"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AE336" s="159"/>
    </row>
    <row r="337" spans="3:31" ht="15.75" customHeight="1"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AE337" s="159"/>
    </row>
    <row r="338" spans="3:31" ht="15.75" customHeight="1"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AE338" s="159"/>
    </row>
    <row r="339" spans="3:31" ht="15.75" customHeight="1"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AE339" s="159"/>
    </row>
    <row r="340" spans="3:31" ht="15.75" customHeight="1"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AE340" s="159"/>
    </row>
    <row r="341" spans="3:31" ht="15.75" customHeight="1"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AE341" s="159"/>
    </row>
    <row r="342" spans="3:31" ht="15.75" customHeight="1"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AE342" s="159"/>
    </row>
    <row r="343" spans="3:31" ht="15.75" customHeight="1"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AE343" s="159"/>
    </row>
    <row r="344" spans="3:31" ht="15.75" customHeight="1"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AE344" s="159"/>
    </row>
    <row r="345" spans="3:31" ht="15.75" customHeight="1"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AE345" s="159"/>
    </row>
    <row r="346" spans="3:31" ht="15.75" customHeight="1"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AE346" s="159"/>
    </row>
    <row r="347" spans="3:31" ht="15.75" customHeight="1"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AE347" s="159"/>
    </row>
    <row r="348" spans="3:31" ht="15.75" customHeight="1"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AE348" s="159"/>
    </row>
    <row r="349" spans="3:31" ht="15.75" customHeight="1"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AE349" s="159"/>
    </row>
    <row r="350" spans="3:31" ht="15.75" customHeight="1"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AE350" s="159"/>
    </row>
    <row r="351" spans="3:31" ht="15.75" customHeight="1"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AE351" s="159"/>
    </row>
    <row r="352" spans="3:31" ht="15.75" customHeight="1"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AE352" s="159"/>
    </row>
    <row r="353" spans="3:31" ht="15.75" customHeight="1"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AE353" s="159"/>
    </row>
    <row r="354" spans="3:31" ht="15.75" customHeight="1"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AE354" s="159"/>
    </row>
    <row r="355" spans="3:31" ht="15.75" customHeight="1"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AE355" s="159"/>
    </row>
    <row r="356" spans="3:31" ht="15.75" customHeight="1"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AE356" s="159"/>
    </row>
    <row r="357" spans="3:31" ht="15.75" customHeight="1"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AE357" s="159"/>
    </row>
    <row r="358" spans="3:31" ht="15.75" customHeight="1"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AE358" s="159"/>
    </row>
    <row r="359" spans="3:31" ht="15.75" customHeight="1"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AE359" s="159"/>
    </row>
    <row r="360" spans="3:31" ht="15.75" customHeight="1"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AE360" s="159"/>
    </row>
    <row r="361" spans="3:31" ht="15.75" customHeight="1"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AE361" s="159"/>
    </row>
    <row r="362" spans="3:31" ht="15.75" customHeight="1"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AE362" s="159"/>
    </row>
    <row r="363" spans="3:31" ht="15.75" customHeight="1"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AE363" s="159"/>
    </row>
    <row r="364" spans="3:31" ht="15.75" customHeight="1"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AE364" s="159"/>
    </row>
    <row r="365" spans="3:31" ht="15.75" customHeight="1"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AE365" s="159"/>
    </row>
    <row r="366" spans="3:31" ht="15.75" customHeight="1"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AE366" s="159"/>
    </row>
    <row r="367" spans="3:31" ht="15.75" customHeight="1"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AE367" s="159"/>
    </row>
    <row r="368" spans="3:31" ht="15.75" customHeight="1"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AE368" s="159"/>
    </row>
    <row r="369" spans="3:31" ht="15.75" customHeight="1"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AE369" s="159"/>
    </row>
    <row r="370" spans="3:31" ht="15.75" customHeight="1"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AE370" s="159"/>
    </row>
    <row r="371" spans="3:31" ht="15.75" customHeight="1"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AE371" s="159"/>
    </row>
    <row r="372" spans="3:31" ht="15.75" customHeight="1"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AE372" s="159"/>
    </row>
    <row r="373" spans="3:31" ht="15.75" customHeight="1"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AE373" s="159"/>
    </row>
    <row r="374" spans="3:31" ht="15.75" customHeight="1"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AE374" s="159"/>
    </row>
    <row r="375" spans="3:31" ht="15.75" customHeight="1"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AE375" s="159"/>
    </row>
    <row r="376" spans="3:31" ht="15.75" customHeight="1"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AE376" s="159"/>
    </row>
    <row r="377" spans="3:31" ht="15.75" customHeight="1"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AE377" s="159"/>
    </row>
    <row r="378" spans="3:31" ht="15.75" customHeight="1"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AE378" s="159"/>
    </row>
    <row r="379" spans="3:31" ht="15.75" customHeight="1"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AE379" s="159"/>
    </row>
    <row r="380" spans="3:31" ht="15.75" customHeight="1"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AE380" s="159"/>
    </row>
    <row r="381" spans="3:31" ht="15.75" customHeight="1"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AE381" s="159"/>
    </row>
    <row r="382" spans="3:31" ht="15.75" customHeight="1"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AE382" s="159"/>
    </row>
    <row r="383" spans="3:31" ht="15.75" customHeight="1"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AE383" s="159"/>
    </row>
    <row r="384" spans="3:31" ht="15.75" customHeight="1"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AE384" s="159"/>
    </row>
    <row r="385" spans="3:31" ht="15.75" customHeight="1"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AE385" s="159"/>
    </row>
    <row r="386" spans="3:31" ht="15.75" customHeight="1"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AE386" s="159"/>
    </row>
    <row r="387" spans="3:31" ht="15.75" customHeight="1"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AE387" s="159"/>
    </row>
    <row r="388" spans="3:31" ht="15.75" customHeight="1"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AE388" s="159"/>
    </row>
    <row r="389" spans="3:31" ht="15.75" customHeight="1"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AE389" s="159"/>
    </row>
    <row r="390" spans="3:31" ht="15.75" customHeight="1"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AE390" s="159"/>
    </row>
    <row r="391" spans="3:31" ht="15.75" customHeight="1"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AE391" s="159"/>
    </row>
    <row r="392" spans="3:31" ht="15.75" customHeight="1"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AE392" s="159"/>
    </row>
    <row r="393" spans="3:31" ht="15.75" customHeight="1"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AE393" s="159"/>
    </row>
    <row r="394" spans="3:31" ht="15.75" customHeight="1"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AE394" s="159"/>
    </row>
    <row r="395" spans="3:31" ht="15.75" customHeight="1"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AE395" s="159"/>
    </row>
    <row r="396" spans="3:31" ht="15.75" customHeight="1"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AE396" s="159"/>
    </row>
    <row r="397" spans="3:31" ht="15.75" customHeight="1"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AE397" s="159"/>
    </row>
    <row r="398" spans="3:31" ht="15.75" customHeight="1"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AE398" s="159"/>
    </row>
    <row r="399" spans="3:31" ht="15.75" customHeight="1"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AE399" s="159"/>
    </row>
    <row r="400" spans="3:31" ht="15.75" customHeight="1"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AE400" s="159"/>
    </row>
    <row r="401" spans="3:31" ht="15.75" customHeight="1"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AE401" s="159"/>
    </row>
    <row r="402" spans="3:31" ht="15.75" customHeight="1"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AE402" s="159"/>
    </row>
    <row r="403" spans="3:31" ht="15.75" customHeight="1"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AE403" s="159"/>
    </row>
    <row r="404" spans="3:31" ht="15.75" customHeight="1"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AE404" s="159"/>
    </row>
    <row r="405" spans="3:31" ht="15.75" customHeight="1"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AE405" s="159"/>
    </row>
    <row r="406" spans="3:31" ht="15.75" customHeight="1"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AE406" s="159"/>
    </row>
    <row r="407" spans="3:31" ht="15.75" customHeight="1"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AE407" s="159"/>
    </row>
    <row r="408" spans="3:31" ht="15.75" customHeight="1"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AE408" s="159"/>
    </row>
    <row r="409" spans="3:31" ht="15.75" customHeight="1"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AE409" s="159"/>
    </row>
    <row r="410" spans="3:31" ht="15.75" customHeight="1"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AE410" s="159"/>
    </row>
    <row r="411" spans="3:31" ht="15.75" customHeight="1"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AE411" s="159"/>
    </row>
    <row r="412" spans="3:31" ht="15.75" customHeight="1"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AE412" s="159"/>
    </row>
    <row r="413" spans="3:31" ht="15.75" customHeight="1"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AE413" s="159"/>
    </row>
    <row r="414" spans="3:31" ht="15.75" customHeight="1"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AE414" s="159"/>
    </row>
    <row r="415" spans="3:31" ht="15.75" customHeight="1"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AE415" s="159"/>
    </row>
    <row r="416" spans="3:31" ht="15.75" customHeight="1"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AE416" s="159"/>
    </row>
    <row r="417" spans="3:31" ht="15.75" customHeight="1"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AE417" s="159"/>
    </row>
    <row r="418" spans="3:31" ht="15.75" customHeight="1"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AE418" s="159"/>
    </row>
    <row r="419" spans="3:31" ht="15.75" customHeight="1"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AE419" s="159"/>
    </row>
    <row r="420" spans="3:31" ht="15.75" customHeight="1"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AE420" s="159"/>
    </row>
    <row r="421" spans="3:31" ht="15.75" customHeight="1"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AE421" s="159"/>
    </row>
    <row r="422" spans="3:31" ht="15.75" customHeight="1"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AE422" s="159"/>
    </row>
    <row r="423" spans="3:31" ht="15.75" customHeight="1"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AE423" s="159"/>
    </row>
    <row r="424" spans="3:31" ht="15.75" customHeight="1"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AE424" s="159"/>
    </row>
    <row r="425" spans="3:31" ht="15.75" customHeight="1"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AE425" s="159"/>
    </row>
    <row r="426" spans="3:31" ht="15.75" customHeight="1"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AE426" s="159"/>
    </row>
    <row r="427" spans="3:31" ht="15.75" customHeight="1"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AE427" s="159"/>
    </row>
    <row r="428" spans="3:31" ht="15.75" customHeight="1"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AE428" s="159"/>
    </row>
    <row r="429" spans="3:31" ht="15.75" customHeight="1"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AE429" s="159"/>
    </row>
    <row r="430" spans="3:31" ht="15.75" customHeight="1"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AE430" s="159"/>
    </row>
    <row r="431" spans="3:31" ht="15.75" customHeight="1"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AE431" s="159"/>
    </row>
    <row r="432" spans="3:31" ht="15.75" customHeight="1"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AE432" s="159"/>
    </row>
    <row r="433" spans="3:31" ht="15.75" customHeight="1"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AE433" s="159"/>
    </row>
    <row r="434" spans="3:31" ht="15.75" customHeight="1"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AE434" s="159"/>
    </row>
    <row r="435" spans="3:31" ht="15.75" customHeight="1"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AE435" s="159"/>
    </row>
    <row r="436" spans="3:31" ht="15.75" customHeight="1"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AE436" s="159"/>
    </row>
    <row r="437" spans="3:31" ht="15.75" customHeight="1"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AE437" s="159"/>
    </row>
    <row r="438" spans="3:31" ht="15.75" customHeight="1"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AE438" s="159"/>
    </row>
    <row r="439" spans="3:31" ht="15.75" customHeight="1"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AE439" s="159"/>
    </row>
    <row r="440" spans="3:31" ht="15.75" customHeight="1"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AE440" s="159"/>
    </row>
    <row r="441" spans="3:31" ht="15.75" customHeight="1"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AE441" s="159"/>
    </row>
    <row r="442" spans="3:31" ht="15.75" customHeight="1"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AE442" s="159"/>
    </row>
    <row r="443" spans="3:31" ht="15.75" customHeight="1"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AE443" s="159"/>
    </row>
    <row r="444" spans="3:31" ht="15.75" customHeight="1"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AE444" s="159"/>
    </row>
    <row r="445" spans="3:31" ht="15.75" customHeight="1"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AE445" s="159"/>
    </row>
    <row r="446" spans="3:31" ht="15.75" customHeight="1"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AE446" s="159"/>
    </row>
    <row r="447" spans="3:31" ht="15.75" customHeight="1"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AE447" s="159"/>
    </row>
    <row r="448" spans="3:31" ht="15.75" customHeight="1"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AE448" s="159"/>
    </row>
    <row r="449" spans="3:31" ht="15.75" customHeight="1"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AE449" s="159"/>
    </row>
    <row r="450" spans="3:31" ht="15.75" customHeight="1"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AE450" s="159"/>
    </row>
    <row r="451" spans="3:31" ht="15.75" customHeight="1"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AE451" s="159"/>
    </row>
    <row r="452" spans="3:31" ht="15.75" customHeight="1"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AE452" s="159"/>
    </row>
    <row r="453" spans="3:31" ht="15.75" customHeight="1"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AE453" s="159"/>
    </row>
    <row r="454" spans="3:31" ht="15.75" customHeight="1"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AE454" s="159"/>
    </row>
    <row r="455" spans="3:31" ht="15.75" customHeight="1"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AE455" s="159"/>
    </row>
    <row r="456" spans="3:31" ht="15.75" customHeight="1"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AE456" s="159"/>
    </row>
    <row r="457" spans="3:31" ht="15.75" customHeight="1"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AE457" s="159"/>
    </row>
    <row r="458" spans="3:31" ht="15.75" customHeight="1"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AE458" s="159"/>
    </row>
    <row r="459" spans="3:31" ht="15.75" customHeight="1"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AE459" s="159"/>
    </row>
    <row r="460" spans="3:31" ht="15.75" customHeight="1"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AE460" s="159"/>
    </row>
    <row r="461" spans="3:31" ht="15.75" customHeight="1"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AE461" s="159"/>
    </row>
    <row r="462" spans="3:31" ht="15.75" customHeight="1"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AE462" s="159"/>
    </row>
    <row r="463" spans="3:31" ht="15.75" customHeight="1"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AE463" s="159"/>
    </row>
    <row r="464" spans="3:31" ht="15.75" customHeight="1"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AE464" s="159"/>
    </row>
    <row r="465" spans="3:31" ht="15.75" customHeight="1"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AE465" s="159"/>
    </row>
    <row r="466" spans="3:31" ht="15.75" customHeight="1"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AE466" s="159"/>
    </row>
    <row r="467" spans="3:31" ht="15.75" customHeight="1"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AE467" s="159"/>
    </row>
    <row r="468" spans="3:31" ht="15.75" customHeight="1"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AE468" s="159"/>
    </row>
    <row r="469" spans="3:31" ht="15.75" customHeight="1"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AE469" s="159"/>
    </row>
    <row r="470" spans="3:31" ht="15.75" customHeight="1"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AE470" s="159"/>
    </row>
    <row r="471" spans="3:31" ht="15.75" customHeight="1"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AE471" s="159"/>
    </row>
    <row r="472" spans="3:31" ht="15.75" customHeight="1"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AE472" s="159"/>
    </row>
    <row r="473" spans="3:31" ht="15.75" customHeight="1"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AE473" s="159"/>
    </row>
    <row r="474" spans="3:31" ht="15.75" customHeight="1"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AE474" s="159"/>
    </row>
    <row r="475" spans="3:31" ht="15.75" customHeight="1"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AE475" s="159"/>
    </row>
    <row r="476" spans="3:31" ht="15.75" customHeight="1"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AE476" s="159"/>
    </row>
    <row r="477" spans="3:31" ht="15.75" customHeight="1"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AE477" s="159"/>
    </row>
    <row r="478" spans="3:31" ht="15.75" customHeight="1"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AE478" s="159"/>
    </row>
    <row r="479" spans="3:31" ht="15.75" customHeight="1"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AE479" s="159"/>
    </row>
    <row r="480" spans="3:31" ht="15.75" customHeight="1"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AE480" s="159"/>
    </row>
    <row r="481" spans="3:31" ht="15.75" customHeight="1"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AE481" s="159"/>
    </row>
    <row r="482" spans="3:31" ht="15.75" customHeight="1"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AE482" s="159"/>
    </row>
    <row r="483" spans="3:31" ht="15.75" customHeight="1"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AE483" s="159"/>
    </row>
    <row r="484" spans="3:31" ht="15.75" customHeight="1"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AE484" s="159"/>
    </row>
    <row r="485" spans="3:31" ht="15.75" customHeight="1"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AE485" s="159"/>
    </row>
    <row r="486" spans="3:31" ht="15.75" customHeight="1"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AE486" s="159"/>
    </row>
    <row r="487" spans="3:31" ht="15.75" customHeight="1"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AE487" s="159"/>
    </row>
    <row r="488" spans="3:31" ht="15.75" customHeight="1"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AE488" s="159"/>
    </row>
    <row r="489" spans="3:31" ht="15.75" customHeight="1"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AE489" s="159"/>
    </row>
    <row r="490" spans="3:31" ht="15.75" customHeight="1"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AE490" s="159"/>
    </row>
    <row r="491" spans="3:31" ht="15.75" customHeight="1"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AE491" s="159"/>
    </row>
    <row r="492" spans="3:31" ht="15.75" customHeight="1"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AE492" s="159"/>
    </row>
    <row r="493" spans="3:31" ht="15.75" customHeight="1"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AE493" s="159"/>
    </row>
    <row r="494" spans="3:31" ht="15.75" customHeight="1"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AE494" s="159"/>
    </row>
    <row r="495" spans="3:31" ht="15.75" customHeight="1"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AE495" s="159"/>
    </row>
    <row r="496" spans="3:31" ht="15.75" customHeight="1"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AE496" s="159"/>
    </row>
    <row r="497" spans="3:31" ht="15.75" customHeight="1"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AE497" s="159"/>
    </row>
    <row r="498" spans="3:31" ht="15.75" customHeight="1"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AE498" s="159"/>
    </row>
    <row r="499" spans="3:31" ht="15.75" customHeight="1"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AE499" s="159"/>
    </row>
    <row r="500" spans="3:31" ht="15.75" customHeight="1"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AE500" s="159"/>
    </row>
    <row r="501" spans="3:31" ht="15.75" customHeight="1"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AE501" s="159"/>
    </row>
    <row r="502" spans="3:31" ht="15.75" customHeight="1"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AE502" s="159"/>
    </row>
    <row r="503" spans="3:31" ht="15.75" customHeight="1"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AE503" s="159"/>
    </row>
    <row r="504" spans="3:31" ht="15.75" customHeight="1"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AE504" s="159"/>
    </row>
    <row r="505" spans="3:31" ht="15.75" customHeight="1"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AE505" s="159"/>
    </row>
    <row r="506" spans="3:31" ht="15.75" customHeight="1"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AE506" s="159"/>
    </row>
    <row r="507" spans="3:31" ht="15.75" customHeight="1"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AE507" s="159"/>
    </row>
    <row r="508" spans="3:31" ht="15.75" customHeight="1"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AE508" s="159"/>
    </row>
    <row r="509" spans="3:31" ht="15.75" customHeight="1"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AE509" s="159"/>
    </row>
    <row r="510" spans="3:31" ht="15.75" customHeight="1"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AE510" s="159"/>
    </row>
    <row r="511" spans="3:31" ht="15.75" customHeight="1"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AE511" s="159"/>
    </row>
    <row r="512" spans="3:31" ht="15.75" customHeight="1"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AE512" s="159"/>
    </row>
    <row r="513" spans="3:31" ht="15.75" customHeight="1"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AE513" s="159"/>
    </row>
    <row r="514" spans="3:31" ht="15.75" customHeight="1"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AE514" s="159"/>
    </row>
    <row r="515" spans="3:31" ht="15.75" customHeight="1"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AE515" s="159"/>
    </row>
    <row r="516" spans="3:31" ht="15.75" customHeight="1"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AE516" s="159"/>
    </row>
    <row r="517" spans="3:31" ht="15.75" customHeight="1"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AE517" s="159"/>
    </row>
    <row r="518" spans="3:31" ht="15.75" customHeight="1"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AE518" s="159"/>
    </row>
    <row r="519" spans="3:31" ht="15.75" customHeight="1"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AE519" s="159"/>
    </row>
    <row r="520" spans="3:31" ht="15.75" customHeight="1"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AE520" s="159"/>
    </row>
    <row r="521" spans="3:31" ht="15.75" customHeight="1"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AE521" s="159"/>
    </row>
    <row r="522" spans="3:31" ht="15.75" customHeight="1"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AE522" s="159"/>
    </row>
    <row r="523" spans="3:31" ht="15.75" customHeight="1"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AE523" s="159"/>
    </row>
    <row r="524" spans="3:31" ht="15.75" customHeight="1"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AE524" s="159"/>
    </row>
    <row r="525" spans="3:31" ht="15.75" customHeight="1"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AE525" s="159"/>
    </row>
    <row r="526" spans="3:31" ht="15.75" customHeight="1"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AE526" s="159"/>
    </row>
    <row r="527" spans="3:31" ht="15.75" customHeight="1"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AE527" s="159"/>
    </row>
    <row r="528" spans="3:31" ht="15.75" customHeight="1"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AE528" s="159"/>
    </row>
    <row r="529" spans="3:31" ht="15.75" customHeight="1"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AE529" s="159"/>
    </row>
    <row r="530" spans="3:31" ht="15.75" customHeight="1"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AE530" s="159"/>
    </row>
    <row r="531" spans="3:31" ht="15.75" customHeight="1"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AE531" s="159"/>
    </row>
    <row r="532" spans="3:31" ht="15.75" customHeight="1"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AE532" s="159"/>
    </row>
    <row r="533" spans="3:31" ht="15.75" customHeight="1"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AE533" s="159"/>
    </row>
    <row r="534" spans="3:31" ht="15.75" customHeight="1"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AE534" s="159"/>
    </row>
    <row r="535" spans="3:31" ht="15.75" customHeight="1"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AE535" s="159"/>
    </row>
    <row r="536" spans="3:31" ht="15.75" customHeight="1"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AE536" s="159"/>
    </row>
    <row r="537" spans="3:31" ht="15.75" customHeight="1"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AE537" s="159"/>
    </row>
    <row r="538" spans="3:31" ht="15.75" customHeight="1"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AE538" s="159"/>
    </row>
    <row r="539" spans="3:31" ht="15.75" customHeight="1"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AE539" s="159"/>
    </row>
    <row r="540" spans="3:31" ht="15.75" customHeight="1"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AE540" s="159"/>
    </row>
    <row r="541" spans="3:31" ht="15.75" customHeight="1"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AE541" s="159"/>
    </row>
    <row r="542" spans="3:31" ht="15.75" customHeight="1"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AE542" s="159"/>
    </row>
    <row r="543" spans="3:31" ht="15.75" customHeight="1"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AE543" s="159"/>
    </row>
    <row r="544" spans="3:31" ht="15.75" customHeight="1"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AE544" s="159"/>
    </row>
    <row r="545" spans="3:31" ht="15.75" customHeight="1"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AE545" s="159"/>
    </row>
    <row r="546" spans="3:31" ht="15.75" customHeight="1"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AE546" s="159"/>
    </row>
    <row r="547" spans="3:31" ht="15.75" customHeight="1"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AE547" s="159"/>
    </row>
    <row r="548" spans="3:31" ht="15.75" customHeight="1"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AE548" s="159"/>
    </row>
    <row r="549" spans="3:31" ht="15.75" customHeight="1"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AE549" s="159"/>
    </row>
    <row r="550" spans="3:31" ht="15.75" customHeight="1"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AE550" s="159"/>
    </row>
    <row r="551" spans="3:31" ht="15.75" customHeight="1"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AE551" s="159"/>
    </row>
    <row r="552" spans="3:31" ht="15.75" customHeight="1"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AE552" s="159"/>
    </row>
    <row r="553" spans="3:31" ht="15.75" customHeight="1"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AE553" s="159"/>
    </row>
    <row r="554" spans="3:31" ht="15.75" customHeight="1"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AE554" s="159"/>
    </row>
    <row r="555" spans="3:31" ht="15.75" customHeight="1"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AE555" s="159"/>
    </row>
    <row r="556" spans="3:31" ht="15.75" customHeight="1"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AE556" s="159"/>
    </row>
    <row r="557" spans="3:31" ht="15.75" customHeight="1"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AE557" s="159"/>
    </row>
    <row r="558" spans="3:31" ht="15.75" customHeight="1"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AE558" s="159"/>
    </row>
    <row r="559" spans="3:31" ht="15.75" customHeight="1"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AE559" s="159"/>
    </row>
    <row r="560" spans="3:31" ht="15.75" customHeight="1"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AE560" s="159"/>
    </row>
    <row r="561" spans="3:31" ht="15.75" customHeight="1"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AE561" s="159"/>
    </row>
    <row r="562" spans="3:31" ht="15.75" customHeight="1"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AE562" s="159"/>
    </row>
    <row r="563" spans="3:31" ht="15.75" customHeight="1"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AE563" s="159"/>
    </row>
    <row r="564" spans="3:31" ht="15.75" customHeight="1"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AE564" s="159"/>
    </row>
    <row r="565" spans="3:31" ht="15.75" customHeight="1"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AE565" s="159"/>
    </row>
    <row r="566" spans="3:31" ht="15.75" customHeight="1"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AE566" s="159"/>
    </row>
    <row r="567" spans="3:31" ht="15.75" customHeight="1"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AE567" s="159"/>
    </row>
    <row r="568" spans="3:31" ht="15.75" customHeight="1"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AE568" s="159"/>
    </row>
    <row r="569" spans="3:31" ht="15.75" customHeight="1"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AE569" s="159"/>
    </row>
    <row r="570" spans="3:31" ht="15.75" customHeight="1"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AE570" s="159"/>
    </row>
    <row r="571" spans="3:31" ht="15.75" customHeight="1"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AE571" s="159"/>
    </row>
    <row r="572" spans="3:31" ht="15.75" customHeight="1"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AE572" s="159"/>
    </row>
    <row r="573" spans="3:31" ht="15.75" customHeight="1"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AE573" s="159"/>
    </row>
    <row r="574" spans="3:31" ht="15.75" customHeight="1"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AE574" s="159"/>
    </row>
    <row r="575" spans="3:31" ht="15.75" customHeight="1"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AE575" s="159"/>
    </row>
    <row r="576" spans="3:31" ht="15.75" customHeight="1"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AE576" s="159"/>
    </row>
    <row r="577" spans="3:31" ht="15.75" customHeight="1"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AE577" s="159"/>
    </row>
    <row r="578" spans="3:31" ht="15.75" customHeight="1"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AE578" s="159"/>
    </row>
    <row r="579" spans="3:31" ht="15.75" customHeight="1"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AE579" s="159"/>
    </row>
    <row r="580" spans="3:31" ht="15.75" customHeight="1"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AE580" s="159"/>
    </row>
    <row r="581" spans="3:31" ht="15.75" customHeight="1"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AE581" s="159"/>
    </row>
    <row r="582" spans="3:31" ht="15.75" customHeight="1"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AE582" s="159"/>
    </row>
    <row r="583" spans="3:31" ht="15.75" customHeight="1"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AE583" s="159"/>
    </row>
    <row r="584" spans="3:31" ht="15.75" customHeight="1"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AE584" s="159"/>
    </row>
    <row r="585" spans="3:31" ht="15.75" customHeight="1"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AE585" s="159"/>
    </row>
    <row r="586" spans="3:31" ht="15.75" customHeight="1"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AE586" s="159"/>
    </row>
    <row r="587" spans="3:31" ht="15.75" customHeight="1"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AE587" s="159"/>
    </row>
    <row r="588" spans="3:31" ht="15.75" customHeight="1"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AE588" s="159"/>
    </row>
    <row r="589" spans="3:31" ht="15.75" customHeight="1"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AE589" s="159"/>
    </row>
    <row r="590" spans="3:31" ht="15.75" customHeight="1"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AE590" s="159"/>
    </row>
    <row r="591" spans="3:31" ht="15.75" customHeight="1"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AE591" s="159"/>
    </row>
    <row r="592" spans="3:31" ht="15.75" customHeight="1"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AE592" s="159"/>
    </row>
    <row r="593" spans="3:31" ht="15.75" customHeight="1"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AE593" s="159"/>
    </row>
    <row r="594" spans="3:31" ht="15.75" customHeight="1"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AE594" s="159"/>
    </row>
    <row r="595" spans="3:31" ht="15.75" customHeight="1"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AE595" s="159"/>
    </row>
    <row r="596" spans="3:31" ht="15.75" customHeight="1"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AE596" s="159"/>
    </row>
    <row r="597" spans="3:31" ht="15.75" customHeight="1"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AE597" s="159"/>
    </row>
    <row r="598" spans="3:31" ht="15.75" customHeight="1"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AE598" s="159"/>
    </row>
    <row r="599" spans="3:31" ht="15.75" customHeight="1"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AE599" s="159"/>
    </row>
    <row r="600" spans="3:31" ht="15.75" customHeight="1"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AE600" s="159"/>
    </row>
    <row r="601" spans="3:31" ht="15.75" customHeight="1"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AE601" s="159"/>
    </row>
    <row r="602" spans="3:31" ht="15.75" customHeight="1"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AE602" s="159"/>
    </row>
    <row r="603" spans="3:31" ht="15.75" customHeight="1"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AE603" s="159"/>
    </row>
    <row r="604" spans="3:31" ht="15.75" customHeight="1"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AE604" s="159"/>
    </row>
    <row r="605" spans="3:31" ht="15.75" customHeight="1"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AE605" s="159"/>
    </row>
    <row r="606" spans="3:31" ht="15.75" customHeight="1"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AE606" s="159"/>
    </row>
    <row r="607" spans="3:31" ht="15.75" customHeight="1"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AE607" s="159"/>
    </row>
    <row r="608" spans="3:31" ht="15.75" customHeight="1"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AE608" s="159"/>
    </row>
    <row r="609" spans="3:31" ht="15.75" customHeight="1"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AE609" s="159"/>
    </row>
    <row r="610" spans="3:31" ht="15.75" customHeight="1"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AE610" s="159"/>
    </row>
    <row r="611" spans="3:31" ht="15.75" customHeight="1"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AE611" s="159"/>
    </row>
    <row r="612" spans="3:31" ht="15.75" customHeight="1"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AE612" s="159"/>
    </row>
    <row r="613" spans="3:31" ht="15.75" customHeight="1"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AE613" s="159"/>
    </row>
    <row r="614" spans="3:31" ht="15.75" customHeight="1"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AE614" s="159"/>
    </row>
    <row r="615" spans="3:31" ht="15.75" customHeight="1"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AE615" s="159"/>
    </row>
    <row r="616" spans="3:31" ht="15.75" customHeight="1"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AE616" s="159"/>
    </row>
    <row r="617" spans="3:31" ht="15.75" customHeight="1"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AE617" s="159"/>
    </row>
    <row r="618" spans="3:31" ht="15.75" customHeight="1"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AE618" s="159"/>
    </row>
    <row r="619" spans="3:31" ht="15.75" customHeight="1"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AE619" s="159"/>
    </row>
    <row r="620" spans="3:31" ht="15.75" customHeight="1"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AE620" s="159"/>
    </row>
    <row r="621" spans="3:31" ht="15.75" customHeight="1"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AE621" s="159"/>
    </row>
    <row r="622" spans="3:31" ht="15.75" customHeight="1"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AE622" s="159"/>
    </row>
    <row r="623" spans="3:31" ht="15.75" customHeight="1"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AE623" s="159"/>
    </row>
    <row r="624" spans="3:31" ht="15.75" customHeight="1"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AE624" s="159"/>
    </row>
    <row r="625" spans="3:31" ht="15.75" customHeight="1"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AE625" s="159"/>
    </row>
    <row r="626" spans="3:31" ht="15.75" customHeight="1"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AE626" s="159"/>
    </row>
    <row r="627" spans="3:31" ht="15.75" customHeight="1"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AE627" s="159"/>
    </row>
    <row r="628" spans="3:31" ht="15.75" customHeight="1"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AE628" s="159"/>
    </row>
    <row r="629" spans="3:31" ht="15.75" customHeight="1"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AE629" s="159"/>
    </row>
    <row r="630" spans="3:31" ht="15.75" customHeight="1"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AE630" s="159"/>
    </row>
    <row r="631" spans="3:31" ht="15.75" customHeight="1"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AE631" s="159"/>
    </row>
    <row r="632" spans="3:31" ht="15.75" customHeight="1"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AE632" s="159"/>
    </row>
    <row r="633" spans="3:31" ht="15.75" customHeight="1"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AE633" s="159"/>
    </row>
    <row r="634" spans="3:31" ht="15.75" customHeight="1"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AE634" s="159"/>
    </row>
    <row r="635" spans="3:31" ht="15.75" customHeight="1"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AE635" s="159"/>
    </row>
    <row r="636" spans="3:31" ht="15.75" customHeight="1"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AE636" s="159"/>
    </row>
    <row r="637" spans="3:31" ht="15.75" customHeight="1"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AE637" s="159"/>
    </row>
    <row r="638" spans="3:31" ht="15.75" customHeight="1"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AE638" s="159"/>
    </row>
    <row r="639" spans="3:31" ht="15.75" customHeight="1"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AE639" s="159"/>
    </row>
    <row r="640" spans="3:31" ht="15.75" customHeight="1"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AE640" s="159"/>
    </row>
    <row r="641" spans="3:31" ht="15.75" customHeight="1"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AE641" s="159"/>
    </row>
    <row r="642" spans="3:31" ht="15.75" customHeight="1"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AE642" s="159"/>
    </row>
    <row r="643" spans="3:31" ht="15.75" customHeight="1"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AE643" s="159"/>
    </row>
    <row r="644" spans="3:31" ht="15.75" customHeight="1"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AE644" s="159"/>
    </row>
    <row r="645" spans="3:31" ht="15.75" customHeight="1"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AE645" s="159"/>
    </row>
    <row r="646" spans="3:31" ht="15.75" customHeight="1"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AE646" s="159"/>
    </row>
    <row r="647" spans="3:31" ht="15.75" customHeight="1"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AE647" s="159"/>
    </row>
    <row r="648" spans="3:31" ht="15.75" customHeight="1"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AE648" s="159"/>
    </row>
    <row r="649" spans="3:31" ht="15.75" customHeight="1"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AE649" s="159"/>
    </row>
    <row r="650" spans="3:31" ht="15.75" customHeight="1"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AE650" s="159"/>
    </row>
    <row r="651" spans="3:31" ht="15.75" customHeight="1"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AE651" s="159"/>
    </row>
    <row r="652" spans="3:31" ht="15.75" customHeight="1"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AE652" s="159"/>
    </row>
    <row r="653" spans="3:31" ht="15.75" customHeight="1"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AE653" s="159"/>
    </row>
    <row r="654" spans="3:31" ht="15.75" customHeight="1"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AE654" s="159"/>
    </row>
    <row r="655" spans="3:31" ht="15.75" customHeight="1"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AE655" s="159"/>
    </row>
    <row r="656" spans="3:31" ht="15.75" customHeight="1"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AE656" s="159"/>
    </row>
    <row r="657" spans="3:31" ht="15.75" customHeight="1"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AE657" s="159"/>
    </row>
    <row r="658" spans="3:31" ht="15.75" customHeight="1"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AE658" s="159"/>
    </row>
    <row r="659" spans="3:31" ht="15.75" customHeight="1"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AE659" s="159"/>
    </row>
    <row r="660" spans="3:31" ht="15.75" customHeight="1"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AE660" s="159"/>
    </row>
    <row r="661" spans="3:31" ht="15.75" customHeight="1"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AE661" s="159"/>
    </row>
    <row r="662" spans="3:31" ht="15.75" customHeight="1"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AE662" s="159"/>
    </row>
    <row r="663" spans="3:31" ht="15.75" customHeight="1"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AE663" s="159"/>
    </row>
    <row r="664" spans="3:31" ht="15.75" customHeight="1"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AE664" s="159"/>
    </row>
    <row r="665" spans="3:31" ht="15.75" customHeight="1"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AE665" s="159"/>
    </row>
    <row r="666" spans="3:31" ht="15.75" customHeight="1"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AE666" s="159"/>
    </row>
    <row r="667" spans="3:31" ht="15.75" customHeight="1"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AE667" s="159"/>
    </row>
    <row r="668" spans="3:31" ht="15.75" customHeight="1"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AE668" s="159"/>
    </row>
    <row r="669" spans="3:31" ht="15.75" customHeight="1"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AE669" s="159"/>
    </row>
    <row r="670" spans="3:31" ht="15.75" customHeight="1"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AE670" s="159"/>
    </row>
    <row r="671" spans="3:31" ht="15.75" customHeight="1"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AE671" s="159"/>
    </row>
    <row r="672" spans="3:31" ht="15.75" customHeight="1"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AE672" s="159"/>
    </row>
    <row r="673" spans="3:31" ht="15.75" customHeight="1"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AE673" s="159"/>
    </row>
    <row r="674" spans="3:31" ht="15.75" customHeight="1"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AE674" s="159"/>
    </row>
    <row r="675" spans="3:31" ht="15.75" customHeight="1"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AE675" s="159"/>
    </row>
    <row r="676" spans="3:31" ht="15.75" customHeight="1"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AE676" s="159"/>
    </row>
    <row r="677" spans="3:31" ht="15.75" customHeight="1"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AE677" s="159"/>
    </row>
    <row r="678" spans="3:31" ht="15.75" customHeight="1"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AE678" s="159"/>
    </row>
    <row r="679" spans="3:31" ht="15.75" customHeight="1"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AE679" s="159"/>
    </row>
    <row r="680" spans="3:31" ht="15.75" customHeight="1"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AE680" s="159"/>
    </row>
    <row r="681" spans="3:31" ht="15.75" customHeight="1"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AE681" s="159"/>
    </row>
    <row r="682" spans="3:31" ht="15.75" customHeight="1"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AE682" s="159"/>
    </row>
    <row r="683" spans="3:31" ht="15.75" customHeight="1"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AE683" s="159"/>
    </row>
    <row r="684" spans="3:31" ht="15.75" customHeight="1"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AE684" s="159"/>
    </row>
    <row r="685" spans="3:31" ht="15.75" customHeight="1"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AE685" s="159"/>
    </row>
    <row r="686" spans="3:31" ht="15.75" customHeight="1"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AE686" s="159"/>
    </row>
    <row r="687" spans="3:31" ht="15.75" customHeight="1"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AE687" s="159"/>
    </row>
    <row r="688" spans="3:31" ht="15.75" customHeight="1"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AE688" s="159"/>
    </row>
    <row r="689" spans="3:31" ht="15.75" customHeight="1"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AE689" s="159"/>
    </row>
    <row r="690" spans="3:31" ht="15.75" customHeight="1"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AE690" s="159"/>
    </row>
    <row r="691" spans="3:31" ht="15.75" customHeight="1"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AE691" s="159"/>
    </row>
    <row r="692" spans="3:31" ht="15.75" customHeight="1"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AE692" s="159"/>
    </row>
    <row r="693" spans="3:31" ht="15.75" customHeight="1"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AE693" s="159"/>
    </row>
    <row r="694" spans="3:31" ht="15.75" customHeight="1"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AE694" s="159"/>
    </row>
    <row r="695" spans="3:31" ht="15.75" customHeight="1"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AE695" s="159"/>
    </row>
    <row r="696" spans="3:31" ht="15.75" customHeight="1"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AE696" s="159"/>
    </row>
    <row r="697" spans="3:31" ht="15.75" customHeight="1"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AE697" s="159"/>
    </row>
    <row r="698" spans="3:31" ht="15.75" customHeight="1"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AE698" s="159"/>
    </row>
    <row r="699" spans="3:31" ht="15.75" customHeight="1"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AE699" s="159"/>
    </row>
    <row r="700" spans="3:31" ht="15.75" customHeight="1"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AE700" s="159"/>
    </row>
    <row r="701" spans="3:31" ht="15.75" customHeight="1"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AE701" s="159"/>
    </row>
    <row r="702" spans="3:31" ht="15.75" customHeight="1"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AE702" s="159"/>
    </row>
    <row r="703" spans="3:31" ht="15.75" customHeight="1"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AE703" s="159"/>
    </row>
    <row r="704" spans="3:31" ht="15.75" customHeight="1"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AE704" s="159"/>
    </row>
    <row r="705" spans="3:31" ht="15.75" customHeight="1"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AE705" s="159"/>
    </row>
    <row r="706" spans="3:31" ht="15.75" customHeight="1"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AE706" s="159"/>
    </row>
    <row r="707" spans="3:31" ht="15.75" customHeight="1"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AE707" s="159"/>
    </row>
    <row r="708" spans="3:31" ht="15.75" customHeight="1"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AE708" s="159"/>
    </row>
    <row r="709" spans="3:31" ht="15.75" customHeight="1"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AE709" s="159"/>
    </row>
    <row r="710" spans="3:31" ht="15.75" customHeight="1"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AE710" s="159"/>
    </row>
    <row r="711" spans="3:31" ht="15.75" customHeight="1"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AE711" s="159"/>
    </row>
    <row r="712" spans="3:31" ht="15.75" customHeight="1"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AE712" s="159"/>
    </row>
    <row r="713" spans="3:31" ht="15.75" customHeight="1"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AE713" s="159"/>
    </row>
    <row r="714" spans="3:31" ht="15.75" customHeight="1"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AE714" s="159"/>
    </row>
    <row r="715" spans="3:31" ht="15.75" customHeight="1"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AE715" s="159"/>
    </row>
    <row r="716" spans="3:31" ht="15.75" customHeight="1"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AE716" s="159"/>
    </row>
    <row r="717" spans="3:31" ht="15.75" customHeight="1"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AE717" s="159"/>
    </row>
    <row r="718" spans="3:31" ht="15.75" customHeight="1"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AE718" s="159"/>
    </row>
    <row r="719" spans="3:31" ht="15.75" customHeight="1"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AE719" s="159"/>
    </row>
    <row r="720" spans="3:31" ht="15.75" customHeight="1"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AE720" s="159"/>
    </row>
    <row r="721" spans="3:31" ht="15.75" customHeight="1"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AE721" s="159"/>
    </row>
    <row r="722" spans="3:31" ht="15.75" customHeight="1"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AE722" s="159"/>
    </row>
    <row r="723" spans="3:31" ht="15.75" customHeight="1"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AE723" s="159"/>
    </row>
    <row r="724" spans="3:31" ht="15.75" customHeight="1"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AE724" s="159"/>
    </row>
    <row r="725" spans="3:31" ht="15.75" customHeight="1"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AE725" s="159"/>
    </row>
    <row r="726" spans="3:31" ht="15.75" customHeight="1"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AE726" s="159"/>
    </row>
    <row r="727" spans="3:31" ht="15.75" customHeight="1"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AE727" s="159"/>
    </row>
    <row r="728" spans="3:31" ht="15.75" customHeight="1"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AE728" s="159"/>
    </row>
    <row r="729" spans="3:31" ht="15.75" customHeight="1"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AE729" s="159"/>
    </row>
    <row r="730" spans="3:31" ht="15.75" customHeight="1"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AE730" s="159"/>
    </row>
    <row r="731" spans="3:31" ht="15.75" customHeight="1"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AE731" s="159"/>
    </row>
    <row r="732" spans="3:31" ht="15.75" customHeight="1"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AE732" s="159"/>
    </row>
    <row r="733" spans="3:31" ht="15.75" customHeight="1"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AE733" s="159"/>
    </row>
    <row r="734" spans="3:31" ht="15.75" customHeight="1"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AE734" s="159"/>
    </row>
    <row r="735" spans="3:31" ht="15.75" customHeight="1"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AE735" s="159"/>
    </row>
    <row r="736" spans="3:31" ht="15.75" customHeight="1"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AE736" s="159"/>
    </row>
    <row r="737" spans="3:31" ht="15.75" customHeight="1"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AE737" s="159"/>
    </row>
    <row r="738" spans="3:31" ht="15.75" customHeight="1"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AE738" s="159"/>
    </row>
    <row r="739" spans="3:31" ht="15.75" customHeight="1"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AE739" s="159"/>
    </row>
    <row r="740" spans="3:31" ht="15.75" customHeight="1"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AE740" s="159"/>
    </row>
    <row r="741" spans="3:31" ht="15.75" customHeight="1"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AE741" s="159"/>
    </row>
    <row r="742" spans="3:31" ht="15.75" customHeight="1"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AE742" s="159"/>
    </row>
    <row r="743" spans="3:31" ht="15.75" customHeight="1"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AE743" s="159"/>
    </row>
    <row r="744" spans="3:31" ht="15.75" customHeight="1"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AE744" s="159"/>
    </row>
    <row r="745" spans="3:31" ht="15.75" customHeight="1"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AE745" s="159"/>
    </row>
    <row r="746" spans="3:31" ht="15.75" customHeight="1"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AE746" s="159"/>
    </row>
    <row r="747" spans="3:31" ht="15.75" customHeight="1"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AE747" s="159"/>
    </row>
    <row r="748" spans="3:31" ht="15.75" customHeight="1"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AE748" s="159"/>
    </row>
    <row r="749" spans="3:31" ht="15.75" customHeight="1"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AE749" s="159"/>
    </row>
    <row r="750" spans="3:31" ht="15.75" customHeight="1"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AE750" s="159"/>
    </row>
    <row r="751" spans="3:31" ht="15.75" customHeight="1"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AE751" s="159"/>
    </row>
    <row r="752" spans="3:31" ht="15.75" customHeight="1"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AE752" s="159"/>
    </row>
    <row r="753" spans="3:31" ht="15.75" customHeight="1"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AE753" s="159"/>
    </row>
    <row r="754" spans="3:31" ht="15.75" customHeight="1"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AE754" s="159"/>
    </row>
    <row r="755" spans="3:31" ht="15.75" customHeight="1"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AE755" s="159"/>
    </row>
    <row r="756" spans="3:31" ht="15.75" customHeight="1"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AE756" s="159"/>
    </row>
    <row r="757" spans="3:31" ht="15.75" customHeight="1"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AE757" s="159"/>
    </row>
    <row r="758" spans="3:31" ht="15.75" customHeight="1"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AE758" s="159"/>
    </row>
    <row r="759" spans="3:31" ht="15.75" customHeight="1"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AE759" s="159"/>
    </row>
    <row r="760" spans="3:31" ht="15.75" customHeight="1"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AE760" s="159"/>
    </row>
    <row r="761" spans="3:31" ht="15.75" customHeight="1"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AE761" s="159"/>
    </row>
    <row r="762" spans="3:31" ht="15.75" customHeight="1"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AE762" s="159"/>
    </row>
    <row r="763" spans="3:31" ht="15.75" customHeight="1"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AE763" s="159"/>
    </row>
    <row r="764" spans="3:31" ht="15.75" customHeight="1"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AE764" s="159"/>
    </row>
    <row r="765" spans="3:31" ht="15.75" customHeight="1"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AE765" s="159"/>
    </row>
    <row r="766" spans="3:31" ht="15.75" customHeight="1"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AE766" s="159"/>
    </row>
    <row r="767" spans="3:31" ht="15.75" customHeight="1"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AE767" s="159"/>
    </row>
    <row r="768" spans="3:31" ht="15.75" customHeight="1"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AE768" s="159"/>
    </row>
    <row r="769" spans="3:31" ht="15.75" customHeight="1"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AE769" s="159"/>
    </row>
    <row r="770" spans="3:31" ht="15.75" customHeight="1"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AE770" s="159"/>
    </row>
    <row r="771" spans="3:31" ht="15.75" customHeight="1"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AE771" s="159"/>
    </row>
    <row r="772" spans="3:31" ht="15.75" customHeight="1"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AE772" s="159"/>
    </row>
    <row r="773" spans="3:31" ht="15.75" customHeight="1"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AE773" s="159"/>
    </row>
    <row r="774" spans="3:31" ht="15.75" customHeight="1"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AE774" s="159"/>
    </row>
    <row r="775" spans="3:31" ht="15.75" customHeight="1"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AE775" s="159"/>
    </row>
    <row r="776" spans="3:31" ht="15.75" customHeight="1"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AE776" s="159"/>
    </row>
    <row r="777" spans="3:31" ht="15.75" customHeight="1"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AE777" s="159"/>
    </row>
    <row r="778" spans="3:31" ht="15.75" customHeight="1"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AE778" s="159"/>
    </row>
    <row r="779" spans="3:31" ht="15.75" customHeight="1"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AE779" s="159"/>
    </row>
    <row r="780" spans="3:31" ht="15.75" customHeight="1"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AE780" s="159"/>
    </row>
    <row r="781" spans="3:31" ht="15.75" customHeight="1"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AE781" s="159"/>
    </row>
    <row r="782" spans="3:31" ht="15.75" customHeight="1"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AE782" s="159"/>
    </row>
    <row r="783" spans="3:31" ht="15.75" customHeight="1"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AE783" s="159"/>
    </row>
    <row r="784" spans="3:31" ht="15.75" customHeight="1"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AE784" s="159"/>
    </row>
    <row r="785" spans="3:31" ht="15.75" customHeight="1"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AE785" s="159"/>
    </row>
    <row r="786" spans="3:31" ht="15.75" customHeight="1"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AE786" s="159"/>
    </row>
    <row r="787" spans="3:31" ht="15.75" customHeight="1"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AE787" s="159"/>
    </row>
    <row r="788" spans="3:31" ht="15.75" customHeight="1"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AE788" s="159"/>
    </row>
    <row r="789" spans="3:31" ht="15.75" customHeight="1"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AE789" s="159"/>
    </row>
    <row r="790" spans="3:31" ht="15.75" customHeight="1"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AE790" s="159"/>
    </row>
    <row r="791" spans="3:31" ht="15.75" customHeight="1"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AE791" s="159"/>
    </row>
    <row r="792" spans="3:31" ht="15.75" customHeight="1"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AE792" s="159"/>
    </row>
    <row r="793" spans="3:31" ht="15.75" customHeight="1"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AE793" s="159"/>
    </row>
    <row r="794" spans="3:31" ht="15.75" customHeight="1"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AE794" s="159"/>
    </row>
    <row r="795" spans="3:31" ht="15.75" customHeight="1"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AE795" s="159"/>
    </row>
    <row r="796" spans="3:31" ht="15.75" customHeight="1"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AE796" s="159"/>
    </row>
    <row r="797" spans="3:31" ht="15.75" customHeight="1"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AE797" s="159"/>
    </row>
    <row r="798" spans="3:31" ht="15.75" customHeight="1"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AE798" s="159"/>
    </row>
    <row r="799" spans="3:31" ht="15.75" customHeight="1"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AE799" s="159"/>
    </row>
    <row r="800" spans="3:31" ht="15.75" customHeight="1"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AE800" s="159"/>
    </row>
    <row r="801" spans="3:31" ht="15.75" customHeight="1"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AE801" s="159"/>
    </row>
    <row r="802" spans="3:31" ht="15.75" customHeight="1"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AE802" s="159"/>
    </row>
    <row r="803" spans="3:31" ht="15.75" customHeight="1"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AE803" s="159"/>
    </row>
    <row r="804" spans="3:31" ht="15.75" customHeight="1"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AE804" s="159"/>
    </row>
    <row r="805" spans="3:31" ht="15.75" customHeight="1"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AE805" s="159"/>
    </row>
    <row r="806" spans="3:31" ht="15.75" customHeight="1"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AE806" s="159"/>
    </row>
    <row r="807" spans="3:31" ht="15.75" customHeight="1"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AE807" s="159"/>
    </row>
    <row r="808" spans="3:31" ht="15.75" customHeight="1"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AE808" s="159"/>
    </row>
    <row r="809" spans="3:31" ht="15.75" customHeight="1"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AE809" s="159"/>
    </row>
    <row r="810" spans="3:31" ht="15.75" customHeight="1"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AE810" s="159"/>
    </row>
    <row r="811" spans="3:31" ht="15.75" customHeight="1"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AE811" s="159"/>
    </row>
    <row r="812" spans="3:31" ht="15.75" customHeight="1"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AE812" s="159"/>
    </row>
    <row r="813" spans="3:31" ht="15.75" customHeight="1"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AE813" s="159"/>
    </row>
    <row r="814" spans="3:31" ht="15.75" customHeight="1"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AE814" s="159"/>
    </row>
    <row r="815" spans="3:31" ht="15.75" customHeight="1"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AE815" s="159"/>
    </row>
    <row r="816" spans="3:31" ht="15.75" customHeight="1"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AE816" s="159"/>
    </row>
    <row r="817" spans="3:31" ht="15.75" customHeight="1"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AE817" s="159"/>
    </row>
    <row r="818" spans="3:31" ht="15.75" customHeight="1"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AE818" s="159"/>
    </row>
    <row r="819" spans="3:31" ht="15.75" customHeight="1"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AE819" s="159"/>
    </row>
    <row r="820" spans="3:31" ht="15.75" customHeight="1"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AE820" s="159"/>
    </row>
    <row r="821" spans="3:31" ht="15.75" customHeight="1"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AE821" s="159"/>
    </row>
    <row r="822" spans="3:31" ht="15.75" customHeight="1"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AE822" s="159"/>
    </row>
    <row r="823" spans="3:31" ht="15.75" customHeight="1"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AE823" s="159"/>
    </row>
    <row r="824" spans="3:31" ht="15.75" customHeight="1"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AE824" s="159"/>
    </row>
    <row r="825" spans="3:31" ht="15.75" customHeight="1"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AE825" s="159"/>
    </row>
    <row r="826" spans="3:31" ht="15.75" customHeight="1"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AE826" s="159"/>
    </row>
    <row r="827" spans="3:31" ht="15.75" customHeight="1"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AE827" s="159"/>
    </row>
    <row r="828" spans="3:31" ht="15.75" customHeight="1"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AE828" s="159"/>
    </row>
    <row r="829" spans="3:31" ht="15.75" customHeight="1"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AE829" s="159"/>
    </row>
    <row r="830" spans="3:31" ht="15.75" customHeight="1"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AE830" s="159"/>
    </row>
    <row r="831" spans="3:31" ht="15.75" customHeight="1"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AE831" s="159"/>
    </row>
    <row r="832" spans="3:31" ht="15.75" customHeight="1"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AE832" s="159"/>
    </row>
    <row r="833" spans="3:31" ht="15.75" customHeight="1"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AE833" s="159"/>
    </row>
    <row r="834" spans="3:31" ht="15.75" customHeight="1"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AE834" s="159"/>
    </row>
    <row r="835" spans="3:31" ht="15.75" customHeight="1"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AE835" s="159"/>
    </row>
    <row r="836" spans="3:31" ht="15.75" customHeight="1"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AE836" s="159"/>
    </row>
    <row r="837" spans="3:31" ht="15.75" customHeight="1"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AE837" s="159"/>
    </row>
    <row r="838" spans="3:31" ht="15.75" customHeight="1"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AE838" s="159"/>
    </row>
    <row r="839" spans="3:31" ht="15.75" customHeight="1"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AE839" s="159"/>
    </row>
    <row r="840" spans="3:31" ht="15.75" customHeight="1"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AE840" s="159"/>
    </row>
    <row r="841" spans="3:31" ht="15.75" customHeight="1"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AE841" s="159"/>
    </row>
    <row r="842" spans="3:31" ht="15.75" customHeight="1"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AE842" s="159"/>
    </row>
    <row r="843" spans="3:31" ht="15.75" customHeight="1"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AE843" s="159"/>
    </row>
    <row r="844" spans="3:31" ht="15.75" customHeight="1"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AE844" s="159"/>
    </row>
    <row r="845" spans="3:31" ht="15.75" customHeight="1"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AE845" s="159"/>
    </row>
    <row r="846" spans="3:31" ht="15.75" customHeight="1"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AE846" s="159"/>
    </row>
    <row r="847" spans="3:31" ht="15.75" customHeight="1"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AE847" s="159"/>
    </row>
    <row r="848" spans="3:31" ht="15.75" customHeight="1"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AE848" s="159"/>
    </row>
    <row r="849" spans="3:31" ht="15.75" customHeight="1"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AE849" s="159"/>
    </row>
    <row r="850" spans="3:31" ht="15.75" customHeight="1"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AE850" s="159"/>
    </row>
    <row r="851" spans="3:31" ht="15.75" customHeight="1"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AE851" s="159"/>
    </row>
    <row r="852" spans="3:31" ht="15.75" customHeight="1"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AE852" s="159"/>
    </row>
    <row r="853" spans="3:31" ht="15.75" customHeight="1"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AE853" s="159"/>
    </row>
    <row r="854" spans="3:31" ht="15.75" customHeight="1"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AE854" s="159"/>
    </row>
    <row r="855" spans="3:31" ht="15.75" customHeight="1"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AE855" s="159"/>
    </row>
    <row r="856" spans="3:31" ht="15.75" customHeight="1"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AE856" s="159"/>
    </row>
    <row r="857" spans="3:31" ht="15.75" customHeight="1"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AE857" s="159"/>
    </row>
    <row r="858" spans="3:31" ht="15.75" customHeight="1"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AE858" s="159"/>
    </row>
    <row r="859" spans="3:31" ht="15.75" customHeight="1"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AE859" s="159"/>
    </row>
    <row r="860" spans="3:31" ht="15.75" customHeight="1"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AE860" s="159"/>
    </row>
    <row r="861" spans="3:31" ht="15.75" customHeight="1"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AE861" s="159"/>
    </row>
    <row r="862" spans="3:31" ht="15.75" customHeight="1"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AE862" s="159"/>
    </row>
    <row r="863" spans="3:31" ht="15.75" customHeight="1"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AE863" s="159"/>
    </row>
    <row r="864" spans="3:31" ht="15.75" customHeight="1"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AE864" s="159"/>
    </row>
    <row r="865" spans="3:31" ht="15.75" customHeight="1"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AE865" s="159"/>
    </row>
    <row r="866" spans="3:31" ht="15.75" customHeight="1"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AE866" s="159"/>
    </row>
    <row r="867" spans="3:31" ht="15.75" customHeight="1"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AE867" s="159"/>
    </row>
    <row r="868" spans="3:31" ht="15.75" customHeight="1"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AE868" s="159"/>
    </row>
    <row r="869" spans="3:31" ht="15.75" customHeight="1"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AE869" s="159"/>
    </row>
    <row r="870" spans="3:31" ht="15.75" customHeight="1"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AE870" s="159"/>
    </row>
    <row r="871" spans="3:31" ht="15.75" customHeight="1"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AE871" s="159"/>
    </row>
    <row r="872" spans="3:31" ht="15.75" customHeight="1"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AE872" s="159"/>
    </row>
    <row r="873" spans="3:31" ht="15.75" customHeight="1"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AE873" s="159"/>
    </row>
    <row r="874" spans="3:31" ht="15.75" customHeight="1"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AE874" s="159"/>
    </row>
    <row r="875" spans="3:31" ht="15.75" customHeight="1"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AE875" s="159"/>
    </row>
    <row r="876" spans="3:31" ht="15.75" customHeight="1"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AE876" s="159"/>
    </row>
    <row r="877" spans="3:31" ht="15.75" customHeight="1"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AE877" s="159"/>
    </row>
    <row r="878" spans="3:31" ht="15.75" customHeight="1"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AE878" s="159"/>
    </row>
    <row r="879" spans="3:31" ht="15.75" customHeight="1"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AE879" s="159"/>
    </row>
    <row r="880" spans="3:31" ht="15.75" customHeight="1"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AE880" s="159"/>
    </row>
    <row r="881" spans="3:31" ht="15.75" customHeight="1"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AE881" s="159"/>
    </row>
    <row r="882" spans="3:31" ht="15.75" customHeight="1"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AE882" s="159"/>
    </row>
    <row r="883" spans="3:31" ht="15.75" customHeight="1"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AE883" s="159"/>
    </row>
    <row r="884" spans="3:31" ht="15.75" customHeight="1"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AE884" s="159"/>
    </row>
    <row r="885" spans="3:31" ht="15.75" customHeight="1"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AE885" s="159"/>
    </row>
    <row r="886" spans="3:31" ht="15.75" customHeight="1"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AE886" s="159"/>
    </row>
    <row r="887" spans="3:31" ht="15.75" customHeight="1"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AE887" s="159"/>
    </row>
    <row r="888" spans="3:31" ht="15.75" customHeight="1"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AE888" s="159"/>
    </row>
    <row r="889" spans="3:31" ht="15.75" customHeight="1"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AE889" s="159"/>
    </row>
    <row r="890" spans="3:31" ht="15.75" customHeight="1"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AE890" s="159"/>
    </row>
    <row r="891" spans="3:31" ht="15.75" customHeight="1"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AE891" s="159"/>
    </row>
    <row r="892" spans="3:31" ht="15.75" customHeight="1"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AE892" s="159"/>
    </row>
    <row r="893" spans="3:31" ht="15.75" customHeight="1"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AE893" s="159"/>
    </row>
    <row r="894" spans="3:31" ht="15.75" customHeight="1"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AE894" s="159"/>
    </row>
    <row r="895" spans="3:31" ht="15.75" customHeight="1"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AE895" s="159"/>
    </row>
    <row r="896" spans="3:31" ht="15.75" customHeight="1"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AE896" s="159"/>
    </row>
    <row r="897" spans="3:31" ht="15.75" customHeight="1"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AE897" s="159"/>
    </row>
    <row r="898" spans="3:31" ht="15.75" customHeight="1"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AE898" s="159"/>
    </row>
    <row r="899" spans="3:31" ht="15.75" customHeight="1"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AE899" s="159"/>
    </row>
    <row r="900" spans="3:31" ht="15.75" customHeight="1"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AE900" s="159"/>
    </row>
    <row r="901" spans="3:31" ht="15.75" customHeight="1"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AE901" s="159"/>
    </row>
    <row r="902" spans="3:31" ht="15.75" customHeight="1"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AE902" s="159"/>
    </row>
    <row r="903" spans="3:31" ht="15.75" customHeight="1"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AE903" s="159"/>
    </row>
    <row r="904" spans="3:31" ht="15.75" customHeight="1"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AE904" s="159"/>
    </row>
    <row r="905" spans="3:31" ht="15.75" customHeight="1"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AE905" s="159"/>
    </row>
    <row r="906" spans="3:31" ht="15.75" customHeight="1"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AE906" s="159"/>
    </row>
    <row r="907" spans="3:31" ht="15.75" customHeight="1"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AE907" s="159"/>
    </row>
    <row r="908" spans="3:31" ht="15.75" customHeight="1"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AE908" s="159"/>
    </row>
    <row r="909" spans="3:31" ht="15.75" customHeight="1"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AE909" s="159"/>
    </row>
    <row r="910" spans="3:31" ht="15.75" customHeight="1"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AE910" s="159"/>
    </row>
    <row r="911" spans="3:31" ht="15.75" customHeight="1"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AE911" s="159"/>
    </row>
    <row r="912" spans="3:31" ht="15.75" customHeight="1"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AE912" s="159"/>
    </row>
    <row r="913" spans="3:31" ht="15.75" customHeight="1"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AE913" s="159"/>
    </row>
    <row r="914" spans="3:31" ht="15.75" customHeight="1"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AE914" s="159"/>
    </row>
    <row r="915" spans="3:31" ht="15.75" customHeight="1"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AE915" s="159"/>
    </row>
    <row r="916" spans="3:31" ht="15.75" customHeight="1"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AE916" s="159"/>
    </row>
    <row r="917" spans="3:31" ht="15.75" customHeight="1"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AE917" s="159"/>
    </row>
    <row r="918" spans="3:31" ht="15.75" customHeight="1"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AE918" s="159"/>
    </row>
    <row r="919" spans="3:31" ht="15.75" customHeight="1"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AE919" s="159"/>
    </row>
    <row r="920" spans="3:31" ht="15.75" customHeight="1"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AE920" s="159"/>
    </row>
    <row r="921" spans="3:31" ht="15.75" customHeight="1"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AE921" s="159"/>
    </row>
    <row r="922" spans="3:31" ht="15.75" customHeight="1"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AE922" s="159"/>
    </row>
    <row r="923" spans="3:31" ht="15.75" customHeight="1"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AE923" s="159"/>
    </row>
    <row r="924" spans="3:31" ht="15.75" customHeight="1"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AE924" s="159"/>
    </row>
    <row r="925" spans="3:31" ht="15.75" customHeight="1"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AE925" s="159"/>
    </row>
    <row r="926" spans="3:31" ht="15.75" customHeight="1"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AE926" s="159"/>
    </row>
    <row r="927" spans="3:31" ht="15.75" customHeight="1"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AE927" s="159"/>
    </row>
    <row r="928" spans="3:31" ht="15.75" customHeight="1"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AE928" s="159"/>
    </row>
    <row r="929" spans="3:31" ht="15.75" customHeight="1"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AE929" s="159"/>
    </row>
    <row r="930" spans="3:31" ht="15.75" customHeight="1"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AE930" s="159"/>
    </row>
    <row r="931" spans="3:31" ht="15.75" customHeight="1"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AE931" s="159"/>
    </row>
    <row r="932" spans="3:31" ht="15.75" customHeight="1"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AE932" s="159"/>
    </row>
    <row r="933" spans="3:31" ht="15.75" customHeight="1"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AE933" s="159"/>
    </row>
    <row r="934" spans="3:31" ht="15.75" customHeight="1"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AE934" s="159"/>
    </row>
    <row r="935" spans="3:31" ht="15.75" customHeight="1"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AE935" s="159"/>
    </row>
    <row r="936" spans="3:31" ht="15.75" customHeight="1"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AE936" s="159"/>
    </row>
    <row r="937" spans="3:31" ht="15.75" customHeight="1"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AE937" s="159"/>
    </row>
    <row r="938" spans="3:31" ht="15.75" customHeight="1"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AE938" s="159"/>
    </row>
    <row r="939" spans="3:31" ht="15.75" customHeight="1"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AE939" s="159"/>
    </row>
    <row r="940" spans="3:31" ht="15.75" customHeight="1"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AE940" s="159"/>
    </row>
    <row r="941" spans="3:31" ht="15.75" customHeight="1"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AE941" s="159"/>
    </row>
    <row r="942" spans="3:31" ht="15.75" customHeight="1"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AE942" s="159"/>
    </row>
    <row r="943" spans="3:31" ht="15.75" customHeight="1"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AE943" s="159"/>
    </row>
    <row r="944" spans="3:31" ht="15.75" customHeight="1"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AE944" s="159"/>
    </row>
    <row r="945" spans="3:31" ht="15.75" customHeight="1"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AE945" s="159"/>
    </row>
    <row r="946" spans="3:31" ht="15.75" customHeight="1"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AE946" s="159"/>
    </row>
    <row r="947" spans="3:31" ht="15.75" customHeight="1"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AE947" s="159"/>
    </row>
    <row r="948" spans="3:31" ht="15.75" customHeight="1"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AE948" s="159"/>
    </row>
    <row r="949" spans="3:31" ht="15.75" customHeight="1"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AE949" s="159"/>
    </row>
    <row r="950" spans="3:31" ht="15.75" customHeight="1"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AE950" s="159"/>
    </row>
    <row r="951" spans="3:31" ht="15.75" customHeight="1"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AE951" s="159"/>
    </row>
    <row r="952" spans="3:31" ht="15.75" customHeight="1"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AE952" s="159"/>
    </row>
    <row r="953" spans="3:31" ht="15.75" customHeight="1"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AE953" s="159"/>
    </row>
    <row r="954" spans="3:31" ht="15.75" customHeight="1"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AE954" s="159"/>
    </row>
    <row r="955" spans="3:31" ht="15.75" customHeight="1"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AE955" s="159"/>
    </row>
    <row r="956" spans="3:31" ht="15.75" customHeight="1"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AE956" s="159"/>
    </row>
    <row r="957" spans="3:31" ht="15.75" customHeight="1"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AE957" s="159"/>
    </row>
    <row r="958" spans="3:31" ht="15.75" customHeight="1"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AE958" s="159"/>
    </row>
    <row r="959" spans="3:31" ht="15.75" customHeight="1"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AE959" s="159"/>
    </row>
    <row r="960" spans="3:31" ht="15.75" customHeight="1"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AE960" s="159"/>
    </row>
    <row r="961" spans="3:31" ht="15.75" customHeight="1"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AE961" s="159"/>
    </row>
    <row r="962" spans="3:31" ht="15.75" customHeight="1"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AE962" s="159"/>
    </row>
    <row r="963" spans="3:31" ht="15.75" customHeight="1"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AE963" s="159"/>
    </row>
    <row r="964" spans="3:31" ht="15.75" customHeight="1"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AE964" s="159"/>
    </row>
    <row r="965" spans="3:31" ht="15.75" customHeight="1"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AE965" s="159"/>
    </row>
    <row r="966" spans="3:31" ht="15.75" customHeight="1"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AE966" s="159"/>
    </row>
    <row r="967" spans="3:31" ht="15.75" customHeight="1"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AE967" s="159"/>
    </row>
    <row r="968" spans="3:31" ht="15.75" customHeight="1"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AE968" s="159"/>
    </row>
    <row r="969" spans="3:31" ht="15.75" customHeight="1"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AE969" s="159"/>
    </row>
    <row r="970" spans="3:31" ht="15.75" customHeight="1"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AE970" s="159"/>
    </row>
    <row r="971" spans="3:31" ht="15.75" customHeight="1"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AE971" s="159"/>
    </row>
    <row r="972" spans="3:31" ht="15.75" customHeight="1"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AE972" s="159"/>
    </row>
    <row r="973" spans="3:31" ht="15.75" customHeight="1"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AE973" s="159"/>
    </row>
    <row r="974" spans="3:31" ht="15.75" customHeight="1"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AE974" s="159"/>
    </row>
    <row r="975" spans="3:31" ht="15.75" customHeight="1"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AE975" s="159"/>
    </row>
    <row r="976" spans="3:31" ht="15.75" customHeight="1"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AE976" s="159"/>
    </row>
    <row r="977" spans="3:31" ht="15.75" customHeight="1"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AE977" s="159"/>
    </row>
    <row r="978" spans="3:31" ht="15.75" customHeight="1"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AE978" s="159"/>
    </row>
    <row r="979" spans="3:31" ht="15.75" customHeight="1"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AE979" s="159"/>
    </row>
    <row r="980" spans="3:31" ht="15.75" customHeight="1"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AE980" s="159"/>
    </row>
    <row r="981" spans="3:31" ht="15.75" customHeight="1"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AE981" s="159"/>
    </row>
    <row r="982" spans="3:31" ht="15.75" customHeight="1"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AE982" s="159"/>
    </row>
    <row r="983" spans="3:31" ht="15.75" customHeight="1"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AE983" s="159"/>
    </row>
    <row r="984" spans="3:31" ht="15.75" customHeight="1"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AE984" s="159"/>
    </row>
    <row r="985" spans="3:31" ht="15.75" customHeight="1"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AE985" s="159"/>
    </row>
    <row r="986" spans="3:31" ht="15.75" customHeight="1"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AE986" s="159"/>
    </row>
    <row r="987" spans="3:31" ht="15.75" customHeight="1"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AE987" s="159"/>
    </row>
    <row r="988" spans="3:31" ht="15.75" customHeight="1"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AE988" s="159"/>
    </row>
    <row r="989" spans="3:31" ht="15.75" customHeight="1"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AE989" s="159"/>
    </row>
    <row r="990" spans="3:31" ht="15.75" customHeight="1"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AE990" s="159"/>
    </row>
    <row r="991" spans="3:31" ht="15.75" customHeight="1"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AE991" s="159"/>
    </row>
    <row r="992" spans="3:31" ht="15.75" customHeight="1"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AE992" s="159"/>
    </row>
    <row r="993" spans="3:31" ht="15.75" customHeight="1"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AE993" s="159"/>
    </row>
    <row r="994" spans="3:31" ht="15.75" customHeight="1"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AE994" s="159"/>
    </row>
    <row r="995" spans="3:31" ht="15.75" customHeight="1"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AE995" s="159"/>
    </row>
    <row r="996" spans="3:31" ht="15.75" customHeight="1"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AE996" s="159"/>
    </row>
    <row r="997" spans="3:31" ht="15.75" customHeight="1"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AE997" s="159"/>
    </row>
    <row r="998" spans="3:31" ht="15.75" customHeight="1"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AE998" s="159"/>
    </row>
    <row r="999" spans="3:31" ht="15.75" customHeight="1"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AE999" s="159"/>
    </row>
    <row r="1000" spans="3:31" ht="15.75" customHeight="1"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8"/>
      <c r="AE1000" s="159"/>
    </row>
  </sheetData>
  <mergeCells count="71">
    <mergeCell ref="A38:B38"/>
    <mergeCell ref="A32:B32"/>
    <mergeCell ref="A33:B33"/>
    <mergeCell ref="A34:B34"/>
    <mergeCell ref="A35:B35"/>
    <mergeCell ref="A36:B36"/>
    <mergeCell ref="A37:B37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A5:AA6"/>
    <mergeCell ref="AB5:AB6"/>
    <mergeCell ref="AC5:AC6"/>
    <mergeCell ref="AD5:AD6"/>
    <mergeCell ref="AE5:AE6"/>
    <mergeCell ref="W5:W6"/>
    <mergeCell ref="X5:X6"/>
    <mergeCell ref="H5:H6"/>
    <mergeCell ref="I5:I6"/>
    <mergeCell ref="J5:J6"/>
    <mergeCell ref="K5:K6"/>
    <mergeCell ref="L5:L6"/>
    <mergeCell ref="M5:M6"/>
    <mergeCell ref="S5:S6"/>
    <mergeCell ref="T5:T6"/>
    <mergeCell ref="A7:B7"/>
    <mergeCell ref="U5:U6"/>
    <mergeCell ref="V5:V6"/>
    <mergeCell ref="A4:G4"/>
    <mergeCell ref="H4:J4"/>
    <mergeCell ref="K4:L4"/>
    <mergeCell ref="Q4:AE4"/>
    <mergeCell ref="A5:B6"/>
    <mergeCell ref="C5:C6"/>
    <mergeCell ref="D5:D6"/>
    <mergeCell ref="E5:E6"/>
    <mergeCell ref="F5:F6"/>
    <mergeCell ref="G5:G6"/>
    <mergeCell ref="Y5:Y6"/>
    <mergeCell ref="Z5:Z6"/>
    <mergeCell ref="N5:N6"/>
    <mergeCell ref="O5:O6"/>
    <mergeCell ref="Q5:Q6"/>
    <mergeCell ref="R5:R6"/>
    <mergeCell ref="H1:J1"/>
    <mergeCell ref="K1:L1"/>
    <mergeCell ref="H2:J2"/>
    <mergeCell ref="K2:L2"/>
    <mergeCell ref="H3:J3"/>
    <mergeCell ref="K3:L3"/>
  </mergeCells>
  <pageMargins left="0.7" right="0.7" top="0.75" bottom="0.75" header="0" footer="0"/>
  <pageSetup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ABF7-A5B3-4C38-BC48-F26CC4C0CD1B}">
  <sheetPr codeName="Лист17"/>
  <dimension ref="A1:J35"/>
  <sheetViews>
    <sheetView topLeftCell="A13" workbookViewId="0">
      <selection activeCell="F33" sqref="F33:F34"/>
    </sheetView>
  </sheetViews>
  <sheetFormatPr defaultRowHeight="15"/>
  <cols>
    <col min="1" max="16384" width="8.796875" style="2"/>
  </cols>
  <sheetData>
    <row r="1" spans="1:10" ht="21">
      <c r="A1" s="152">
        <f>J35</f>
        <v>8928</v>
      </c>
      <c r="B1" s="208" t="s">
        <v>183</v>
      </c>
      <c r="C1" s="208"/>
      <c r="D1" s="208"/>
      <c r="E1" s="208"/>
      <c r="F1" s="208"/>
      <c r="G1" s="208"/>
      <c r="H1" s="208"/>
    </row>
    <row r="2" spans="1:10" ht="28.9" customHeight="1">
      <c r="A2" s="209" t="s">
        <v>0</v>
      </c>
      <c r="B2" s="211" t="s">
        <v>1</v>
      </c>
      <c r="C2" s="212"/>
      <c r="D2" s="209" t="s">
        <v>146</v>
      </c>
      <c r="E2" s="209" t="s">
        <v>147</v>
      </c>
      <c r="F2" s="4" t="s">
        <v>4</v>
      </c>
      <c r="G2" s="209" t="s">
        <v>11</v>
      </c>
      <c r="H2" s="209" t="s">
        <v>12</v>
      </c>
      <c r="I2" s="209" t="s">
        <v>13</v>
      </c>
      <c r="J2" s="209" t="s">
        <v>18</v>
      </c>
    </row>
    <row r="3" spans="1:10" ht="30">
      <c r="A3" s="210"/>
      <c r="B3" s="213"/>
      <c r="C3" s="214"/>
      <c r="D3" s="210"/>
      <c r="E3" s="210"/>
      <c r="F3" s="5" t="s">
        <v>156</v>
      </c>
      <c r="G3" s="210"/>
      <c r="H3" s="210"/>
      <c r="I3" s="210"/>
      <c r="J3" s="210"/>
    </row>
    <row r="4" spans="1:10">
      <c r="A4" s="6">
        <v>1</v>
      </c>
      <c r="B4" s="216">
        <v>46023</v>
      </c>
      <c r="C4" s="217"/>
      <c r="D4" s="120"/>
      <c r="E4" s="79"/>
      <c r="F4" s="182">
        <v>24</v>
      </c>
      <c r="G4" s="78">
        <f>SUM(D4*120)</f>
        <v>0</v>
      </c>
      <c r="H4" s="78">
        <f>SUM(E4*120)</f>
        <v>0</v>
      </c>
      <c r="I4" s="78">
        <f>SUM(F4*12)</f>
        <v>288</v>
      </c>
      <c r="J4" s="78">
        <f>SUM(G4:I4)</f>
        <v>288</v>
      </c>
    </row>
    <row r="5" spans="1:10">
      <c r="A5" s="6">
        <v>2</v>
      </c>
      <c r="B5" s="216">
        <v>46024</v>
      </c>
      <c r="C5" s="217"/>
      <c r="D5" s="120"/>
      <c r="E5" s="79"/>
      <c r="F5" s="182">
        <v>24</v>
      </c>
      <c r="G5" s="78">
        <f t="shared" ref="G5:G33" si="0">SUM(D5*120)</f>
        <v>0</v>
      </c>
      <c r="H5" s="78">
        <f t="shared" ref="H5:H33" si="1">SUM(E5*120)</f>
        <v>0</v>
      </c>
      <c r="I5" s="78">
        <f t="shared" ref="I5:I33" si="2">SUM(F5*12)</f>
        <v>288</v>
      </c>
      <c r="J5" s="78">
        <f t="shared" ref="J5:J34" si="3">SUM(G5:I5)</f>
        <v>288</v>
      </c>
    </row>
    <row r="6" spans="1:10">
      <c r="A6" s="6">
        <v>3</v>
      </c>
      <c r="B6" s="216">
        <v>46025</v>
      </c>
      <c r="C6" s="217"/>
      <c r="D6" s="120"/>
      <c r="E6" s="79"/>
      <c r="F6" s="182">
        <v>24</v>
      </c>
      <c r="G6" s="78">
        <f t="shared" si="0"/>
        <v>0</v>
      </c>
      <c r="H6" s="78">
        <f t="shared" si="1"/>
        <v>0</v>
      </c>
      <c r="I6" s="78">
        <f t="shared" si="2"/>
        <v>288</v>
      </c>
      <c r="J6" s="78">
        <f t="shared" si="3"/>
        <v>288</v>
      </c>
    </row>
    <row r="7" spans="1:10">
      <c r="A7" s="6">
        <v>4</v>
      </c>
      <c r="B7" s="216">
        <v>46026</v>
      </c>
      <c r="C7" s="217"/>
      <c r="D7" s="120"/>
      <c r="E7" s="79"/>
      <c r="F7" s="182">
        <v>24</v>
      </c>
      <c r="G7" s="78">
        <f t="shared" si="0"/>
        <v>0</v>
      </c>
      <c r="H7" s="78">
        <f t="shared" si="1"/>
        <v>0</v>
      </c>
      <c r="I7" s="78">
        <f t="shared" si="2"/>
        <v>288</v>
      </c>
      <c r="J7" s="78">
        <f t="shared" si="3"/>
        <v>288</v>
      </c>
    </row>
    <row r="8" spans="1:10">
      <c r="A8" s="6">
        <v>5</v>
      </c>
      <c r="B8" s="216">
        <v>46027</v>
      </c>
      <c r="C8" s="217"/>
      <c r="D8" s="120"/>
      <c r="E8" s="79"/>
      <c r="F8" s="182">
        <v>24</v>
      </c>
      <c r="G8" s="78">
        <f t="shared" si="0"/>
        <v>0</v>
      </c>
      <c r="H8" s="78">
        <f t="shared" si="1"/>
        <v>0</v>
      </c>
      <c r="I8" s="78">
        <f t="shared" si="2"/>
        <v>288</v>
      </c>
      <c r="J8" s="78">
        <f t="shared" si="3"/>
        <v>288</v>
      </c>
    </row>
    <row r="9" spans="1:10">
      <c r="A9" s="6">
        <v>6</v>
      </c>
      <c r="B9" s="216">
        <v>46028</v>
      </c>
      <c r="C9" s="217"/>
      <c r="D9" s="120"/>
      <c r="E9" s="79"/>
      <c r="F9" s="182">
        <v>24</v>
      </c>
      <c r="G9" s="78">
        <f t="shared" si="0"/>
        <v>0</v>
      </c>
      <c r="H9" s="78">
        <f t="shared" si="1"/>
        <v>0</v>
      </c>
      <c r="I9" s="78">
        <f t="shared" si="2"/>
        <v>288</v>
      </c>
      <c r="J9" s="78">
        <f t="shared" si="3"/>
        <v>288</v>
      </c>
    </row>
    <row r="10" spans="1:10">
      <c r="A10" s="6">
        <v>7</v>
      </c>
      <c r="B10" s="216">
        <v>46029</v>
      </c>
      <c r="C10" s="217"/>
      <c r="D10" s="120"/>
      <c r="E10" s="79"/>
      <c r="F10" s="182">
        <v>24</v>
      </c>
      <c r="G10" s="78">
        <f t="shared" si="0"/>
        <v>0</v>
      </c>
      <c r="H10" s="78">
        <f t="shared" si="1"/>
        <v>0</v>
      </c>
      <c r="I10" s="78">
        <f t="shared" si="2"/>
        <v>288</v>
      </c>
      <c r="J10" s="78">
        <f t="shared" si="3"/>
        <v>288</v>
      </c>
    </row>
    <row r="11" spans="1:10">
      <c r="A11" s="6">
        <v>8</v>
      </c>
      <c r="B11" s="216">
        <v>46030</v>
      </c>
      <c r="C11" s="217"/>
      <c r="D11" s="120"/>
      <c r="E11" s="79"/>
      <c r="F11" s="182">
        <v>24</v>
      </c>
      <c r="G11" s="78">
        <f t="shared" si="0"/>
        <v>0</v>
      </c>
      <c r="H11" s="78">
        <f t="shared" si="1"/>
        <v>0</v>
      </c>
      <c r="I11" s="78">
        <f t="shared" si="2"/>
        <v>288</v>
      </c>
      <c r="J11" s="78">
        <f t="shared" si="3"/>
        <v>288</v>
      </c>
    </row>
    <row r="12" spans="1:10">
      <c r="A12" s="6">
        <v>9</v>
      </c>
      <c r="B12" s="216">
        <v>46031</v>
      </c>
      <c r="C12" s="217"/>
      <c r="D12" s="120"/>
      <c r="E12" s="79"/>
      <c r="F12" s="182">
        <v>24</v>
      </c>
      <c r="G12" s="78">
        <f t="shared" si="0"/>
        <v>0</v>
      </c>
      <c r="H12" s="78">
        <f t="shared" si="1"/>
        <v>0</v>
      </c>
      <c r="I12" s="78">
        <f t="shared" si="2"/>
        <v>288</v>
      </c>
      <c r="J12" s="78">
        <f t="shared" si="3"/>
        <v>288</v>
      </c>
    </row>
    <row r="13" spans="1:10">
      <c r="A13" s="6">
        <v>10</v>
      </c>
      <c r="B13" s="216">
        <v>46032</v>
      </c>
      <c r="C13" s="217"/>
      <c r="D13" s="120"/>
      <c r="E13" s="79"/>
      <c r="F13" s="182">
        <v>24</v>
      </c>
      <c r="G13" s="78">
        <f t="shared" si="0"/>
        <v>0</v>
      </c>
      <c r="H13" s="78">
        <f t="shared" si="1"/>
        <v>0</v>
      </c>
      <c r="I13" s="78">
        <f t="shared" si="2"/>
        <v>288</v>
      </c>
      <c r="J13" s="78">
        <f t="shared" si="3"/>
        <v>288</v>
      </c>
    </row>
    <row r="14" spans="1:10">
      <c r="A14" s="6">
        <v>11</v>
      </c>
      <c r="B14" s="216">
        <v>46033</v>
      </c>
      <c r="C14" s="217"/>
      <c r="D14" s="120"/>
      <c r="E14" s="79"/>
      <c r="F14" s="182">
        <v>24</v>
      </c>
      <c r="G14" s="78">
        <f t="shared" si="0"/>
        <v>0</v>
      </c>
      <c r="H14" s="78">
        <f t="shared" si="1"/>
        <v>0</v>
      </c>
      <c r="I14" s="78">
        <f t="shared" si="2"/>
        <v>288</v>
      </c>
      <c r="J14" s="78">
        <f t="shared" si="3"/>
        <v>288</v>
      </c>
    </row>
    <row r="15" spans="1:10">
      <c r="A15" s="6">
        <v>12</v>
      </c>
      <c r="B15" s="216">
        <v>46034</v>
      </c>
      <c r="C15" s="217"/>
      <c r="D15" s="120"/>
      <c r="E15" s="79"/>
      <c r="F15" s="182">
        <v>24</v>
      </c>
      <c r="G15" s="78">
        <f t="shared" si="0"/>
        <v>0</v>
      </c>
      <c r="H15" s="78">
        <f t="shared" si="1"/>
        <v>0</v>
      </c>
      <c r="I15" s="78">
        <f t="shared" si="2"/>
        <v>288</v>
      </c>
      <c r="J15" s="78">
        <f t="shared" si="3"/>
        <v>288</v>
      </c>
    </row>
    <row r="16" spans="1:10">
      <c r="A16" s="6">
        <v>13</v>
      </c>
      <c r="B16" s="216">
        <v>46035</v>
      </c>
      <c r="C16" s="217"/>
      <c r="D16" s="120"/>
      <c r="E16" s="79"/>
      <c r="F16" s="182">
        <v>24</v>
      </c>
      <c r="G16" s="78">
        <f t="shared" si="0"/>
        <v>0</v>
      </c>
      <c r="H16" s="78">
        <f t="shared" si="1"/>
        <v>0</v>
      </c>
      <c r="I16" s="78">
        <f t="shared" si="2"/>
        <v>288</v>
      </c>
      <c r="J16" s="78">
        <f t="shared" si="3"/>
        <v>288</v>
      </c>
    </row>
    <row r="17" spans="1:10">
      <c r="A17" s="6">
        <v>14</v>
      </c>
      <c r="B17" s="216">
        <v>46036</v>
      </c>
      <c r="C17" s="217"/>
      <c r="D17" s="120"/>
      <c r="E17" s="79"/>
      <c r="F17" s="182">
        <v>24</v>
      </c>
      <c r="G17" s="78">
        <f t="shared" si="0"/>
        <v>0</v>
      </c>
      <c r="H17" s="78">
        <f t="shared" si="1"/>
        <v>0</v>
      </c>
      <c r="I17" s="78">
        <f t="shared" si="2"/>
        <v>288</v>
      </c>
      <c r="J17" s="78">
        <f t="shared" si="3"/>
        <v>288</v>
      </c>
    </row>
    <row r="18" spans="1:10">
      <c r="A18" s="6">
        <v>15</v>
      </c>
      <c r="B18" s="216">
        <v>46037</v>
      </c>
      <c r="C18" s="217"/>
      <c r="D18" s="120"/>
      <c r="E18" s="79"/>
      <c r="F18" s="182">
        <v>24</v>
      </c>
      <c r="G18" s="78">
        <f t="shared" si="0"/>
        <v>0</v>
      </c>
      <c r="H18" s="78">
        <f t="shared" si="1"/>
        <v>0</v>
      </c>
      <c r="I18" s="78">
        <f t="shared" si="2"/>
        <v>288</v>
      </c>
      <c r="J18" s="78">
        <f t="shared" si="3"/>
        <v>288</v>
      </c>
    </row>
    <row r="19" spans="1:10">
      <c r="A19" s="6">
        <v>16</v>
      </c>
      <c r="B19" s="216">
        <v>46038</v>
      </c>
      <c r="C19" s="217"/>
      <c r="D19" s="120"/>
      <c r="E19" s="79"/>
      <c r="F19" s="182">
        <v>24</v>
      </c>
      <c r="G19" s="78">
        <f t="shared" si="0"/>
        <v>0</v>
      </c>
      <c r="H19" s="78">
        <f t="shared" si="1"/>
        <v>0</v>
      </c>
      <c r="I19" s="78">
        <f t="shared" si="2"/>
        <v>288</v>
      </c>
      <c r="J19" s="78">
        <f t="shared" si="3"/>
        <v>288</v>
      </c>
    </row>
    <row r="20" spans="1:10">
      <c r="A20" s="6">
        <v>17</v>
      </c>
      <c r="B20" s="216">
        <v>46039</v>
      </c>
      <c r="C20" s="217"/>
      <c r="D20" s="120"/>
      <c r="E20" s="79"/>
      <c r="F20" s="182">
        <v>24</v>
      </c>
      <c r="G20" s="78">
        <f t="shared" si="0"/>
        <v>0</v>
      </c>
      <c r="H20" s="78">
        <f t="shared" si="1"/>
        <v>0</v>
      </c>
      <c r="I20" s="78">
        <f t="shared" si="2"/>
        <v>288</v>
      </c>
      <c r="J20" s="78">
        <f t="shared" si="3"/>
        <v>288</v>
      </c>
    </row>
    <row r="21" spans="1:10">
      <c r="A21" s="6">
        <v>18</v>
      </c>
      <c r="B21" s="216">
        <v>46040</v>
      </c>
      <c r="C21" s="217"/>
      <c r="D21" s="120"/>
      <c r="E21" s="79"/>
      <c r="F21" s="182">
        <v>24</v>
      </c>
      <c r="G21" s="78">
        <f t="shared" si="0"/>
        <v>0</v>
      </c>
      <c r="H21" s="78">
        <f t="shared" si="1"/>
        <v>0</v>
      </c>
      <c r="I21" s="78">
        <f t="shared" si="2"/>
        <v>288</v>
      </c>
      <c r="J21" s="78">
        <f t="shared" si="3"/>
        <v>288</v>
      </c>
    </row>
    <row r="22" spans="1:10">
      <c r="A22" s="6">
        <v>19</v>
      </c>
      <c r="B22" s="216">
        <v>46041</v>
      </c>
      <c r="C22" s="217"/>
      <c r="D22" s="120"/>
      <c r="E22" s="79"/>
      <c r="F22" s="182">
        <v>24</v>
      </c>
      <c r="G22" s="78">
        <f t="shared" si="0"/>
        <v>0</v>
      </c>
      <c r="H22" s="78">
        <f t="shared" si="1"/>
        <v>0</v>
      </c>
      <c r="I22" s="78">
        <f t="shared" si="2"/>
        <v>288</v>
      </c>
      <c r="J22" s="78">
        <f t="shared" si="3"/>
        <v>288</v>
      </c>
    </row>
    <row r="23" spans="1:10">
      <c r="A23" s="6">
        <v>20</v>
      </c>
      <c r="B23" s="216">
        <v>46042</v>
      </c>
      <c r="C23" s="217"/>
      <c r="D23" s="120"/>
      <c r="E23" s="79"/>
      <c r="F23" s="182">
        <v>24</v>
      </c>
      <c r="G23" s="78">
        <f t="shared" si="0"/>
        <v>0</v>
      </c>
      <c r="H23" s="78">
        <f t="shared" si="1"/>
        <v>0</v>
      </c>
      <c r="I23" s="78">
        <f t="shared" si="2"/>
        <v>288</v>
      </c>
      <c r="J23" s="78">
        <f t="shared" si="3"/>
        <v>288</v>
      </c>
    </row>
    <row r="24" spans="1:10">
      <c r="A24" s="6">
        <v>21</v>
      </c>
      <c r="B24" s="216">
        <v>46043</v>
      </c>
      <c r="C24" s="217"/>
      <c r="D24" s="120"/>
      <c r="E24" s="79"/>
      <c r="F24" s="182">
        <v>24</v>
      </c>
      <c r="G24" s="78">
        <f t="shared" si="0"/>
        <v>0</v>
      </c>
      <c r="H24" s="78">
        <f t="shared" si="1"/>
        <v>0</v>
      </c>
      <c r="I24" s="78">
        <f t="shared" si="2"/>
        <v>288</v>
      </c>
      <c r="J24" s="78">
        <f t="shared" si="3"/>
        <v>288</v>
      </c>
    </row>
    <row r="25" spans="1:10">
      <c r="A25" s="6">
        <v>22</v>
      </c>
      <c r="B25" s="216">
        <v>46044</v>
      </c>
      <c r="C25" s="217"/>
      <c r="D25" s="120"/>
      <c r="E25" s="79"/>
      <c r="F25" s="182">
        <v>24</v>
      </c>
      <c r="G25" s="78">
        <f t="shared" si="0"/>
        <v>0</v>
      </c>
      <c r="H25" s="78">
        <f t="shared" si="1"/>
        <v>0</v>
      </c>
      <c r="I25" s="78">
        <f t="shared" si="2"/>
        <v>288</v>
      </c>
      <c r="J25" s="78">
        <f t="shared" si="3"/>
        <v>288</v>
      </c>
    </row>
    <row r="26" spans="1:10">
      <c r="A26" s="6">
        <v>23</v>
      </c>
      <c r="B26" s="216">
        <v>46045</v>
      </c>
      <c r="C26" s="217"/>
      <c r="D26" s="120"/>
      <c r="E26" s="79"/>
      <c r="F26" s="182">
        <v>24</v>
      </c>
      <c r="G26" s="78">
        <f t="shared" si="0"/>
        <v>0</v>
      </c>
      <c r="H26" s="78">
        <f t="shared" si="1"/>
        <v>0</v>
      </c>
      <c r="I26" s="78">
        <f t="shared" si="2"/>
        <v>288</v>
      </c>
      <c r="J26" s="78">
        <f t="shared" si="3"/>
        <v>288</v>
      </c>
    </row>
    <row r="27" spans="1:10">
      <c r="A27" s="6">
        <v>24</v>
      </c>
      <c r="B27" s="216">
        <v>46046</v>
      </c>
      <c r="C27" s="217"/>
      <c r="D27" s="120"/>
      <c r="E27" s="79"/>
      <c r="F27" s="182">
        <v>24</v>
      </c>
      <c r="G27" s="78">
        <f t="shared" si="0"/>
        <v>0</v>
      </c>
      <c r="H27" s="78">
        <f t="shared" si="1"/>
        <v>0</v>
      </c>
      <c r="I27" s="78">
        <f t="shared" si="2"/>
        <v>288</v>
      </c>
      <c r="J27" s="78">
        <f t="shared" si="3"/>
        <v>288</v>
      </c>
    </row>
    <row r="28" spans="1:10">
      <c r="A28" s="6">
        <v>25</v>
      </c>
      <c r="B28" s="216">
        <v>46047</v>
      </c>
      <c r="C28" s="217"/>
      <c r="D28" s="120"/>
      <c r="E28" s="79"/>
      <c r="F28" s="182">
        <v>24</v>
      </c>
      <c r="G28" s="78">
        <f t="shared" si="0"/>
        <v>0</v>
      </c>
      <c r="H28" s="78">
        <f t="shared" si="1"/>
        <v>0</v>
      </c>
      <c r="I28" s="78">
        <f t="shared" si="2"/>
        <v>288</v>
      </c>
      <c r="J28" s="78">
        <f t="shared" si="3"/>
        <v>288</v>
      </c>
    </row>
    <row r="29" spans="1:10">
      <c r="A29" s="6">
        <v>26</v>
      </c>
      <c r="B29" s="216">
        <v>46048</v>
      </c>
      <c r="C29" s="217"/>
      <c r="D29" s="120"/>
      <c r="E29" s="79"/>
      <c r="F29" s="182">
        <v>24</v>
      </c>
      <c r="G29" s="78">
        <f t="shared" si="0"/>
        <v>0</v>
      </c>
      <c r="H29" s="78">
        <f t="shared" si="1"/>
        <v>0</v>
      </c>
      <c r="I29" s="78">
        <f t="shared" si="2"/>
        <v>288</v>
      </c>
      <c r="J29" s="78">
        <f t="shared" si="3"/>
        <v>288</v>
      </c>
    </row>
    <row r="30" spans="1:10">
      <c r="A30" s="6">
        <v>27</v>
      </c>
      <c r="B30" s="216">
        <v>46049</v>
      </c>
      <c r="C30" s="217"/>
      <c r="D30" s="120"/>
      <c r="E30" s="79"/>
      <c r="F30" s="182">
        <v>24</v>
      </c>
      <c r="G30" s="78">
        <f t="shared" si="0"/>
        <v>0</v>
      </c>
      <c r="H30" s="78">
        <f t="shared" si="1"/>
        <v>0</v>
      </c>
      <c r="I30" s="78">
        <f t="shared" si="2"/>
        <v>288</v>
      </c>
      <c r="J30" s="78">
        <f t="shared" si="3"/>
        <v>288</v>
      </c>
    </row>
    <row r="31" spans="1:10">
      <c r="A31" s="6">
        <v>28</v>
      </c>
      <c r="B31" s="216">
        <v>46050</v>
      </c>
      <c r="C31" s="217"/>
      <c r="D31" s="120"/>
      <c r="E31" s="79"/>
      <c r="F31" s="182">
        <v>24</v>
      </c>
      <c r="G31" s="78">
        <f t="shared" si="0"/>
        <v>0</v>
      </c>
      <c r="H31" s="78">
        <f t="shared" si="1"/>
        <v>0</v>
      </c>
      <c r="I31" s="78">
        <f t="shared" si="2"/>
        <v>288</v>
      </c>
      <c r="J31" s="78">
        <f t="shared" si="3"/>
        <v>288</v>
      </c>
    </row>
    <row r="32" spans="1:10">
      <c r="A32" s="6">
        <v>29</v>
      </c>
      <c r="B32" s="216">
        <v>46051</v>
      </c>
      <c r="C32" s="217"/>
      <c r="D32" s="120"/>
      <c r="E32" s="79"/>
      <c r="F32" s="182">
        <v>24</v>
      </c>
      <c r="G32" s="78">
        <f t="shared" si="0"/>
        <v>0</v>
      </c>
      <c r="H32" s="78">
        <f t="shared" si="1"/>
        <v>0</v>
      </c>
      <c r="I32" s="78">
        <f t="shared" si="2"/>
        <v>288</v>
      </c>
      <c r="J32" s="78">
        <f t="shared" si="3"/>
        <v>288</v>
      </c>
    </row>
    <row r="33" spans="1:10">
      <c r="A33" s="6">
        <v>30</v>
      </c>
      <c r="B33" s="216">
        <v>46052</v>
      </c>
      <c r="C33" s="217"/>
      <c r="D33" s="120"/>
      <c r="E33" s="79"/>
      <c r="F33" s="182">
        <v>24</v>
      </c>
      <c r="G33" s="78">
        <f t="shared" si="0"/>
        <v>0</v>
      </c>
      <c r="H33" s="78">
        <f t="shared" si="1"/>
        <v>0</v>
      </c>
      <c r="I33" s="78">
        <f t="shared" si="2"/>
        <v>288</v>
      </c>
      <c r="J33" s="78">
        <f t="shared" si="3"/>
        <v>288</v>
      </c>
    </row>
    <row r="34" spans="1:10">
      <c r="A34" s="6">
        <v>31</v>
      </c>
      <c r="B34" s="216">
        <v>46053</v>
      </c>
      <c r="C34" s="217"/>
      <c r="D34" s="120"/>
      <c r="E34" s="79"/>
      <c r="F34" s="182">
        <v>24</v>
      </c>
      <c r="G34" s="78">
        <f t="shared" ref="G34" si="4">SUM(D34*120)</f>
        <v>0</v>
      </c>
      <c r="H34" s="78">
        <f t="shared" ref="H34" si="5">SUM(E34*120)</f>
        <v>0</v>
      </c>
      <c r="I34" s="78">
        <f t="shared" ref="I34" si="6">SUM(F34*12)</f>
        <v>288</v>
      </c>
      <c r="J34" s="78">
        <f t="shared" si="3"/>
        <v>288</v>
      </c>
    </row>
    <row r="35" spans="1:10">
      <c r="D35" s="78"/>
      <c r="E35" s="78"/>
      <c r="F35" s="78"/>
      <c r="G35" s="78">
        <f>SUM(G4:G34)</f>
        <v>0</v>
      </c>
      <c r="H35" s="78">
        <f>SUM(H4:H34)</f>
        <v>0</v>
      </c>
      <c r="I35" s="78">
        <f>SUM(I4:I34)</f>
        <v>8928</v>
      </c>
      <c r="J35" s="155">
        <f>SUM(J4:J34)</f>
        <v>8928</v>
      </c>
    </row>
  </sheetData>
  <mergeCells count="40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I2:I3"/>
    <mergeCell ref="J2:J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:H1"/>
    <mergeCell ref="A2:A3"/>
    <mergeCell ref="B2:C3"/>
    <mergeCell ref="D2:D3"/>
    <mergeCell ref="E2:E3"/>
    <mergeCell ref="G2:G3"/>
    <mergeCell ref="H2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4347-8267-45BC-876B-F0FEA13EAEC8}">
  <sheetPr codeName="Лист18"/>
  <dimension ref="A2:F21"/>
  <sheetViews>
    <sheetView workbookViewId="0">
      <selection activeCell="D12" sqref="D12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1.5" style="2" customWidth="1"/>
    <col min="7" max="16384" width="8.796875" style="2"/>
  </cols>
  <sheetData>
    <row r="2" spans="1:6" ht="21">
      <c r="A2" s="76" t="str">
        <f ca="1">IF(DAY(TODAY())&gt;27,"Акт  №    от  " &amp; TEXT(TODAY(),"ДД ММММ ГГГГ"),"Акт  №    от  " &amp; TEXT(TODAY()-DAY(TODAY()),"ДД ММММ ГГГГ"))</f>
        <v>Акт  №    от  31 Март 2026</v>
      </c>
    </row>
    <row r="3" spans="1:6">
      <c r="A3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3" s="21"/>
      <c r="C3" s="21"/>
    </row>
    <row r="4" spans="1:6" ht="15" customHeight="1">
      <c r="A4" s="21" t="s">
        <v>142</v>
      </c>
      <c r="B4" s="21"/>
      <c r="C4" s="21"/>
    </row>
    <row r="5" spans="1:6">
      <c r="A5" s="2" t="s">
        <v>118</v>
      </c>
    </row>
    <row r="6" spans="1:6">
      <c r="A6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8" spans="1:6">
      <c r="A8" s="78" t="s">
        <v>0</v>
      </c>
      <c r="B8" s="78" t="s">
        <v>78</v>
      </c>
      <c r="C8" s="78" t="s">
        <v>79</v>
      </c>
      <c r="D8" s="78" t="s">
        <v>80</v>
      </c>
      <c r="E8" s="78" t="s">
        <v>81</v>
      </c>
      <c r="F8" s="78" t="s">
        <v>82</v>
      </c>
    </row>
    <row r="9" spans="1:6" ht="15.75">
      <c r="A9" s="79">
        <v>1</v>
      </c>
      <c r="B9" s="113" t="s">
        <v>184</v>
      </c>
      <c r="C9" s="79" t="s">
        <v>185</v>
      </c>
      <c r="D9" s="183">
        <v>130.125</v>
      </c>
      <c r="E9" s="184">
        <v>950</v>
      </c>
      <c r="F9" s="184">
        <f>D9*E9</f>
        <v>123618.75</v>
      </c>
    </row>
    <row r="10" spans="1:6" ht="15.75">
      <c r="A10" s="79">
        <v>2</v>
      </c>
      <c r="B10" s="112" t="s">
        <v>8</v>
      </c>
      <c r="C10" s="79" t="s">
        <v>185</v>
      </c>
      <c r="D10" s="183">
        <f>D9</f>
        <v>130.125</v>
      </c>
      <c r="E10" s="184">
        <v>120</v>
      </c>
      <c r="F10" s="184">
        <f t="shared" ref="F10:F11" si="0">D10*E10</f>
        <v>15615</v>
      </c>
    </row>
    <row r="11" spans="1:6" ht="15.75">
      <c r="A11" s="79">
        <v>3</v>
      </c>
      <c r="B11" s="112" t="s">
        <v>186</v>
      </c>
      <c r="C11" s="79" t="s">
        <v>187</v>
      </c>
      <c r="D11" s="183">
        <v>105</v>
      </c>
      <c r="E11" s="184">
        <v>830</v>
      </c>
      <c r="F11" s="184">
        <f t="shared" si="0"/>
        <v>87150</v>
      </c>
    </row>
    <row r="12" spans="1:6" ht="15.75">
      <c r="A12" s="2" t="s">
        <v>83</v>
      </c>
      <c r="F12" s="184">
        <f>SUM(F9:F11)</f>
        <v>226383.75</v>
      </c>
    </row>
    <row r="13" spans="1:6" ht="15.75">
      <c r="A13" s="2" t="s">
        <v>84</v>
      </c>
      <c r="F13" s="184">
        <f>F12</f>
        <v>226383.75</v>
      </c>
    </row>
    <row r="14" spans="1:6" ht="15.75">
      <c r="A14" s="2" t="s">
        <v>85</v>
      </c>
      <c r="F14" s="184">
        <f>F13*1.2</f>
        <v>271660.5</v>
      </c>
    </row>
    <row r="15" spans="1:6">
      <c r="A15" s="2" t="s">
        <v>86</v>
      </c>
    </row>
    <row r="16" spans="1:6">
      <c r="A16" s="2" t="s">
        <v>87</v>
      </c>
    </row>
    <row r="19" spans="1:4" ht="15" customHeight="1">
      <c r="A19" s="2" t="s">
        <v>89</v>
      </c>
      <c r="D19" s="2" t="s">
        <v>141</v>
      </c>
    </row>
    <row r="21" spans="1:4">
      <c r="A21" s="2" t="s">
        <v>129</v>
      </c>
      <c r="D21" s="2" t="s">
        <v>93</v>
      </c>
    </row>
  </sheetData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2E3D-F46E-4FB2-AD16-36785DEA9DC9}">
  <sheetPr codeName="Лист19">
    <pageSetUpPr fitToPage="1"/>
  </sheetPr>
  <dimension ref="A3:G22"/>
  <sheetViews>
    <sheetView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tr">
        <f ca="1">IF(DAY(TODAY())&gt;27,"Акт  №    от  " &amp; TEXT(TODAY(),"ДД ММММ ГГГГ"),"Акт  №    от  " &amp; TEXT(TODAY()-DAY(TODAY()),"ДД ММММ ГГГГ")) &amp; "г. Казань_Приволжская"</f>
        <v>Акт  №    от  31 Март 2026г. Казань_Приволжская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1"/>
      <c r="C4" s="21"/>
    </row>
    <row r="5" spans="1:7">
      <c r="A5" s="21" t="s">
        <v>130</v>
      </c>
      <c r="B5" s="21"/>
      <c r="C5" s="21"/>
    </row>
    <row r="6" spans="1:7">
      <c r="A6" s="2" t="s">
        <v>118</v>
      </c>
    </row>
    <row r="7" spans="1:7">
      <c r="A7" s="2" t="s">
        <v>131</v>
      </c>
    </row>
    <row r="9" spans="1:7">
      <c r="A9" s="78" t="s">
        <v>0</v>
      </c>
      <c r="B9" s="78" t="s">
        <v>78</v>
      </c>
      <c r="C9" s="78" t="s">
        <v>79</v>
      </c>
      <c r="D9" s="78" t="s">
        <v>80</v>
      </c>
      <c r="E9" s="78" t="s">
        <v>81</v>
      </c>
      <c r="F9" s="78" t="s">
        <v>132</v>
      </c>
      <c r="G9" s="78" t="s">
        <v>133</v>
      </c>
    </row>
    <row r="10" spans="1:7" ht="15.75">
      <c r="A10" s="79">
        <v>1</v>
      </c>
      <c r="B10" s="78" t="s">
        <v>134</v>
      </c>
      <c r="C10" s="79" t="s">
        <v>135</v>
      </c>
      <c r="D10" s="6">
        <v>1</v>
      </c>
      <c r="E10" s="85">
        <v>2000</v>
      </c>
      <c r="F10" s="85">
        <f>SUM(D10*E10)</f>
        <v>2000</v>
      </c>
      <c r="G10" s="85">
        <f>F10*1.22</f>
        <v>2440</v>
      </c>
    </row>
    <row r="11" spans="1:7" ht="15.75">
      <c r="A11" s="79">
        <v>2</v>
      </c>
      <c r="B11" s="78" t="s">
        <v>136</v>
      </c>
      <c r="C11" s="79" t="s">
        <v>135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2000</v>
      </c>
      <c r="G12" s="85">
        <f>SUM(G10:G11)</f>
        <v>2440</v>
      </c>
    </row>
    <row r="13" spans="1:7">
      <c r="A13" s="21" t="s">
        <v>137</v>
      </c>
      <c r="B13" s="21" t="s">
        <v>188</v>
      </c>
      <c r="C13" s="21"/>
      <c r="D13" s="21"/>
    </row>
    <row r="14" spans="1:7">
      <c r="A14" s="21" t="s">
        <v>139</v>
      </c>
      <c r="B14" s="21" t="str">
        <f>B13</f>
        <v>две тысячи рублей ноль копеек</v>
      </c>
      <c r="C14" s="21"/>
      <c r="D14" s="21"/>
    </row>
    <row r="15" spans="1:7">
      <c r="A15" s="21" t="s">
        <v>85</v>
      </c>
      <c r="B15" s="21" t="s">
        <v>189</v>
      </c>
      <c r="F15" s="118"/>
      <c r="G15" s="118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141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93F4-806C-47F1-B323-6E80D2DF24A4}">
  <sheetPr codeName="Лист20">
    <pageSetUpPr fitToPage="1"/>
  </sheetPr>
  <dimension ref="A3:G22"/>
  <sheetViews>
    <sheetView topLeftCell="A2" workbookViewId="0">
      <selection activeCell="A5" sqref="A5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tr">
        <f ca="1">IF(DAY(TODAY())&gt;27,"Акт  №    от  " &amp; TEXT(TODAY(),"ДД ММММ ГГГГ"),"Акт  №    от  " &amp; TEXT(TODAY()-DAY(TODAY()),"ДД ММММ ГГГГ")) &amp; " г. Казань_Автосервисная"</f>
        <v>Акт  №    от  31 Март 2026 г. Казань_Автосервисная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1"/>
      <c r="C4" s="21"/>
    </row>
    <row r="5" spans="1:7">
      <c r="A5" s="21" t="s">
        <v>130</v>
      </c>
      <c r="B5" s="21"/>
      <c r="C5" s="21"/>
    </row>
    <row r="6" spans="1:7">
      <c r="A6" s="2" t="s">
        <v>118</v>
      </c>
    </row>
    <row r="7" spans="1:7">
      <c r="A7" s="2" t="s">
        <v>131</v>
      </c>
    </row>
    <row r="9" spans="1:7">
      <c r="A9" s="78" t="s">
        <v>0</v>
      </c>
      <c r="B9" s="78" t="s">
        <v>78</v>
      </c>
      <c r="C9" s="78" t="s">
        <v>79</v>
      </c>
      <c r="D9" s="78" t="s">
        <v>80</v>
      </c>
      <c r="E9" s="78" t="s">
        <v>81</v>
      </c>
      <c r="F9" s="78" t="s">
        <v>132</v>
      </c>
      <c r="G9" s="78" t="s">
        <v>133</v>
      </c>
    </row>
    <row r="10" spans="1:7" ht="15.75">
      <c r="A10" s="79">
        <v>1</v>
      </c>
      <c r="B10" s="78" t="s">
        <v>134</v>
      </c>
      <c r="C10" s="79" t="s">
        <v>135</v>
      </c>
      <c r="D10" s="6">
        <v>6</v>
      </c>
      <c r="E10" s="85">
        <v>2000</v>
      </c>
      <c r="F10" s="85">
        <f>SUM(D10*E10)</f>
        <v>12000</v>
      </c>
      <c r="G10" s="85">
        <f>F10*1.22</f>
        <v>14640</v>
      </c>
    </row>
    <row r="11" spans="1:7" ht="15.75">
      <c r="A11" s="79">
        <v>2</v>
      </c>
      <c r="B11" s="78" t="s">
        <v>136</v>
      </c>
      <c r="C11" s="79" t="s">
        <v>135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12000</v>
      </c>
      <c r="G12" s="85">
        <f>SUM(G10:G11)</f>
        <v>14640</v>
      </c>
    </row>
    <row r="13" spans="1:7">
      <c r="A13" s="21" t="s">
        <v>137</v>
      </c>
      <c r="B13" s="21" t="s">
        <v>190</v>
      </c>
      <c r="C13" s="21"/>
      <c r="D13" s="21"/>
    </row>
    <row r="14" spans="1:7">
      <c r="A14" s="21" t="s">
        <v>139</v>
      </c>
      <c r="B14" s="21" t="str">
        <f>B13</f>
        <v>двенадцать тысяч рублей ноль копеек</v>
      </c>
      <c r="C14" s="21"/>
      <c r="D14" s="21"/>
    </row>
    <row r="15" spans="1:7">
      <c r="A15" s="21" t="s">
        <v>85</v>
      </c>
      <c r="B15" s="21" t="s">
        <v>191</v>
      </c>
      <c r="F15" s="118"/>
      <c r="G15" s="118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141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239C-3226-4437-B245-2BC3C7FF395F}">
  <sheetPr codeName="Лист21"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tr">
        <f ca="1">IF(DAY(TODAY())&gt;27,"Акт  №    от  " &amp; TEXT(TODAY(),"ДД ММММ ГГГГ"),"Акт  №    от  " &amp; TEXT(TODAY()-DAY(TODAY()),"ДД ММММ ГГГГ")) &amp; " г. Екатеринбург"</f>
        <v>Акт  №    от  31 Март 2026 г. Екатеринбург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1"/>
      <c r="C4" s="21"/>
    </row>
    <row r="5" spans="1:7">
      <c r="A5" s="21" t="s">
        <v>130</v>
      </c>
      <c r="B5" s="21"/>
      <c r="C5" s="21"/>
    </row>
    <row r="6" spans="1:7">
      <c r="A6" s="2" t="s">
        <v>118</v>
      </c>
    </row>
    <row r="7" spans="1:7">
      <c r="A7" s="2" t="s">
        <v>131</v>
      </c>
    </row>
    <row r="9" spans="1:7">
      <c r="A9" s="78" t="s">
        <v>0</v>
      </c>
      <c r="B9" s="78" t="s">
        <v>78</v>
      </c>
      <c r="C9" s="78" t="s">
        <v>79</v>
      </c>
      <c r="D9" s="78" t="s">
        <v>80</v>
      </c>
      <c r="E9" s="78" t="s">
        <v>81</v>
      </c>
      <c r="F9" s="78" t="s">
        <v>132</v>
      </c>
      <c r="G9" s="78" t="s">
        <v>133</v>
      </c>
    </row>
    <row r="10" spans="1:7" ht="15.75">
      <c r="A10" s="79">
        <v>1</v>
      </c>
      <c r="B10" s="78" t="s">
        <v>134</v>
      </c>
      <c r="C10" s="79" t="s">
        <v>135</v>
      </c>
      <c r="D10" s="6">
        <v>78</v>
      </c>
      <c r="E10" s="85">
        <v>2000</v>
      </c>
      <c r="F10" s="85">
        <f>SUM(D10*E10)</f>
        <v>156000</v>
      </c>
      <c r="G10" s="85">
        <f>F10*1.22</f>
        <v>190320</v>
      </c>
    </row>
    <row r="11" spans="1:7" ht="15.75">
      <c r="A11" s="79">
        <v>2</v>
      </c>
      <c r="B11" s="78" t="s">
        <v>136</v>
      </c>
      <c r="C11" s="79" t="s">
        <v>135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156000</v>
      </c>
      <c r="G12" s="85">
        <f>SUM(G10:G11)</f>
        <v>190320</v>
      </c>
    </row>
    <row r="13" spans="1:7">
      <c r="A13" s="21" t="s">
        <v>137</v>
      </c>
      <c r="B13" s="21" t="s">
        <v>192</v>
      </c>
      <c r="C13" s="21"/>
      <c r="D13" s="21"/>
    </row>
    <row r="14" spans="1:7">
      <c r="A14" s="21" t="s">
        <v>139</v>
      </c>
      <c r="B14" s="21" t="str">
        <f>B13</f>
        <v>сто пятьдесят шесть тысяч рублей ноль копеек</v>
      </c>
      <c r="C14" s="21"/>
      <c r="D14" s="21"/>
    </row>
    <row r="15" spans="1:7">
      <c r="A15" s="21" t="s">
        <v>85</v>
      </c>
      <c r="B15" s="21" t="s">
        <v>193</v>
      </c>
      <c r="F15" s="118"/>
      <c r="G15" s="118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141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BBA9-5D04-4241-849C-F32245E1ECEF}">
  <sheetPr codeName="Лист22"/>
  <dimension ref="A1:N37"/>
  <sheetViews>
    <sheetView topLeftCell="A13" workbookViewId="0">
      <selection activeCell="N38" sqref="N38"/>
    </sheetView>
  </sheetViews>
  <sheetFormatPr defaultRowHeight="15"/>
  <cols>
    <col min="1" max="1" width="9.19921875" style="2" bestFit="1" customWidth="1"/>
    <col min="2" max="3" width="8.796875" style="2"/>
    <col min="4" max="4" width="8.19921875" style="2" customWidth="1"/>
    <col min="5" max="5" width="8.5" style="2" customWidth="1"/>
    <col min="6" max="6" width="9.296875" style="2" customWidth="1"/>
    <col min="7" max="7" width="7.3984375" style="2" bestFit="1" customWidth="1"/>
    <col min="8" max="8" width="6.59765625" style="2" bestFit="1" customWidth="1"/>
    <col min="9" max="9" width="10.59765625" style="2" customWidth="1"/>
    <col min="10" max="10" width="9.5" style="2" customWidth="1"/>
    <col min="11" max="11" width="10.19921875" style="2" customWidth="1"/>
    <col min="12" max="12" width="9.296875" style="2" customWidth="1"/>
    <col min="13" max="13" width="8.19921875" style="2" customWidth="1"/>
    <col min="14" max="14" width="17" style="2" customWidth="1"/>
    <col min="15" max="16384" width="8.796875" style="2"/>
  </cols>
  <sheetData>
    <row r="1" spans="1:14">
      <c r="A1" s="1">
        <f>N37</f>
        <v>96099.595200000025</v>
      </c>
      <c r="G1" s="3"/>
    </row>
    <row r="2" spans="1:14" ht="28.9" customHeight="1">
      <c r="A2" s="208" t="str">
        <f>"Отчет по хранению товара за " &amp; TEXT(B5,"ММММ ГГГГ")</f>
        <v>Отчет по хранению товара за Январь 2026</v>
      </c>
      <c r="B2" s="208"/>
      <c r="C2" s="208"/>
      <c r="D2" s="208"/>
      <c r="E2" s="208"/>
      <c r="F2" s="208"/>
      <c r="G2" s="208"/>
      <c r="H2" s="208"/>
    </row>
    <row r="3" spans="1:14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7</v>
      </c>
      <c r="H3" s="209" t="s">
        <v>8</v>
      </c>
      <c r="I3" s="209" t="s">
        <v>11</v>
      </c>
      <c r="J3" s="209" t="s">
        <v>12</v>
      </c>
      <c r="K3" s="209" t="s">
        <v>13</v>
      </c>
      <c r="L3" s="209" t="s">
        <v>16</v>
      </c>
      <c r="M3" s="209" t="s">
        <v>17</v>
      </c>
      <c r="N3" s="209" t="s">
        <v>18</v>
      </c>
    </row>
    <row r="4" spans="1:14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0"/>
      <c r="L4" s="210"/>
      <c r="M4" s="210"/>
      <c r="N4" s="210"/>
    </row>
    <row r="5" spans="1:14">
      <c r="A5" s="6">
        <v>1</v>
      </c>
      <c r="B5" s="216">
        <v>46023</v>
      </c>
      <c r="C5" s="217"/>
      <c r="D5" s="185"/>
      <c r="E5" s="185"/>
      <c r="F5" s="186">
        <v>152.88</v>
      </c>
      <c r="G5" s="186">
        <v>0</v>
      </c>
      <c r="H5" s="186">
        <v>0</v>
      </c>
      <c r="I5" s="12">
        <f>SUM(D5*130)</f>
        <v>0</v>
      </c>
      <c r="J5" s="12">
        <f>SUM(E5*130)</f>
        <v>0</v>
      </c>
      <c r="K5" s="12">
        <f>SUM(F5*22)</f>
        <v>3363.3599999999997</v>
      </c>
      <c r="L5" s="12">
        <f>SUM(G5*950)</f>
        <v>0</v>
      </c>
      <c r="M5" s="12">
        <f>SUM(H5*120)</f>
        <v>0</v>
      </c>
      <c r="N5" s="12">
        <f t="shared" ref="N5:N35" si="0">SUM(I5:M5)</f>
        <v>3363.3599999999997</v>
      </c>
    </row>
    <row r="6" spans="1:14">
      <c r="A6" s="13">
        <v>2</v>
      </c>
      <c r="B6" s="216">
        <v>46024</v>
      </c>
      <c r="C6" s="217"/>
      <c r="D6" s="185"/>
      <c r="E6" s="185"/>
      <c r="F6" s="186">
        <f t="shared" ref="F6:F35" si="1">F5+D6-E5</f>
        <v>152.88</v>
      </c>
      <c r="G6" s="186">
        <v>0</v>
      </c>
      <c r="H6" s="186">
        <v>0</v>
      </c>
      <c r="I6" s="12">
        <f t="shared" ref="I6:I35" si="2">SUM(D6*130)</f>
        <v>0</v>
      </c>
      <c r="J6" s="12">
        <f t="shared" ref="J6:J35" si="3">SUM(E6*130)</f>
        <v>0</v>
      </c>
      <c r="K6" s="12">
        <f t="shared" ref="K6:K35" si="4">SUM(F6*22)</f>
        <v>3363.3599999999997</v>
      </c>
      <c r="L6" s="12">
        <f t="shared" ref="L6:L35" si="5">SUM(G6*950)</f>
        <v>0</v>
      </c>
      <c r="M6" s="12">
        <f t="shared" ref="M6:M35" si="6">SUM(H6*120)</f>
        <v>0</v>
      </c>
      <c r="N6" s="12">
        <f t="shared" si="0"/>
        <v>3363.3599999999997</v>
      </c>
    </row>
    <row r="7" spans="1:14">
      <c r="A7" s="13">
        <v>3</v>
      </c>
      <c r="B7" s="216">
        <v>46025</v>
      </c>
      <c r="C7" s="217"/>
      <c r="D7" s="185"/>
      <c r="E7" s="185"/>
      <c r="F7" s="186">
        <f t="shared" si="1"/>
        <v>152.88</v>
      </c>
      <c r="G7" s="186">
        <v>0</v>
      </c>
      <c r="H7" s="186">
        <v>0</v>
      </c>
      <c r="I7" s="12">
        <f t="shared" si="2"/>
        <v>0</v>
      </c>
      <c r="J7" s="12">
        <f t="shared" si="3"/>
        <v>0</v>
      </c>
      <c r="K7" s="12">
        <f t="shared" si="4"/>
        <v>3363.3599999999997</v>
      </c>
      <c r="L7" s="12">
        <f t="shared" si="5"/>
        <v>0</v>
      </c>
      <c r="M7" s="12">
        <f t="shared" si="6"/>
        <v>0</v>
      </c>
      <c r="N7" s="12">
        <f t="shared" si="0"/>
        <v>3363.3599999999997</v>
      </c>
    </row>
    <row r="8" spans="1:14">
      <c r="A8" s="13">
        <v>4</v>
      </c>
      <c r="B8" s="216">
        <v>46026</v>
      </c>
      <c r="C8" s="217"/>
      <c r="D8" s="185"/>
      <c r="E8" s="185"/>
      <c r="F8" s="186">
        <f t="shared" si="1"/>
        <v>152.88</v>
      </c>
      <c r="G8" s="186">
        <v>0</v>
      </c>
      <c r="H8" s="186">
        <v>0</v>
      </c>
      <c r="I8" s="12">
        <f t="shared" si="2"/>
        <v>0</v>
      </c>
      <c r="J8" s="12">
        <f t="shared" si="3"/>
        <v>0</v>
      </c>
      <c r="K8" s="12">
        <f t="shared" si="4"/>
        <v>3363.3599999999997</v>
      </c>
      <c r="L8" s="12">
        <f t="shared" si="5"/>
        <v>0</v>
      </c>
      <c r="M8" s="12">
        <f t="shared" si="6"/>
        <v>0</v>
      </c>
      <c r="N8" s="12">
        <f t="shared" si="0"/>
        <v>3363.3599999999997</v>
      </c>
    </row>
    <row r="9" spans="1:14">
      <c r="A9" s="13">
        <v>5</v>
      </c>
      <c r="B9" s="216">
        <v>46027</v>
      </c>
      <c r="C9" s="217"/>
      <c r="D9" s="185"/>
      <c r="E9" s="185"/>
      <c r="F9" s="186">
        <f t="shared" si="1"/>
        <v>152.88</v>
      </c>
      <c r="G9" s="186">
        <v>0</v>
      </c>
      <c r="H9" s="186">
        <v>0</v>
      </c>
      <c r="I9" s="12">
        <f t="shared" si="2"/>
        <v>0</v>
      </c>
      <c r="J9" s="12">
        <f t="shared" si="3"/>
        <v>0</v>
      </c>
      <c r="K9" s="12">
        <f t="shared" si="4"/>
        <v>3363.3599999999997</v>
      </c>
      <c r="L9" s="12">
        <f t="shared" si="5"/>
        <v>0</v>
      </c>
      <c r="M9" s="12">
        <f t="shared" si="6"/>
        <v>0</v>
      </c>
      <c r="N9" s="12">
        <f t="shared" si="0"/>
        <v>3363.3599999999997</v>
      </c>
    </row>
    <row r="10" spans="1:14">
      <c r="A10" s="13">
        <v>6</v>
      </c>
      <c r="B10" s="216">
        <v>46028</v>
      </c>
      <c r="C10" s="217"/>
      <c r="D10" s="185"/>
      <c r="E10" s="185"/>
      <c r="F10" s="186">
        <f t="shared" si="1"/>
        <v>152.88</v>
      </c>
      <c r="G10" s="186">
        <v>0</v>
      </c>
      <c r="H10" s="186">
        <v>0</v>
      </c>
      <c r="I10" s="12">
        <f t="shared" si="2"/>
        <v>0</v>
      </c>
      <c r="J10" s="12">
        <f t="shared" si="3"/>
        <v>0</v>
      </c>
      <c r="K10" s="12">
        <f t="shared" si="4"/>
        <v>3363.3599999999997</v>
      </c>
      <c r="L10" s="12">
        <f t="shared" si="5"/>
        <v>0</v>
      </c>
      <c r="M10" s="12">
        <f t="shared" si="6"/>
        <v>0</v>
      </c>
      <c r="N10" s="12">
        <f t="shared" si="0"/>
        <v>3363.3599999999997</v>
      </c>
    </row>
    <row r="11" spans="1:14">
      <c r="A11" s="13">
        <v>7</v>
      </c>
      <c r="B11" s="216">
        <v>46029</v>
      </c>
      <c r="C11" s="217"/>
      <c r="D11" s="185"/>
      <c r="E11" s="185"/>
      <c r="F11" s="186">
        <f t="shared" si="1"/>
        <v>152.88</v>
      </c>
      <c r="G11" s="186">
        <v>0</v>
      </c>
      <c r="H11" s="186">
        <v>0</v>
      </c>
      <c r="I11" s="12">
        <f t="shared" si="2"/>
        <v>0</v>
      </c>
      <c r="J11" s="12">
        <f t="shared" si="3"/>
        <v>0</v>
      </c>
      <c r="K11" s="12">
        <f t="shared" si="4"/>
        <v>3363.3599999999997</v>
      </c>
      <c r="L11" s="12">
        <f t="shared" si="5"/>
        <v>0</v>
      </c>
      <c r="M11" s="12">
        <f t="shared" si="6"/>
        <v>0</v>
      </c>
      <c r="N11" s="12">
        <f t="shared" si="0"/>
        <v>3363.3599999999997</v>
      </c>
    </row>
    <row r="12" spans="1:14">
      <c r="A12" s="13">
        <v>8</v>
      </c>
      <c r="B12" s="216">
        <v>46030</v>
      </c>
      <c r="C12" s="217"/>
      <c r="D12" s="185"/>
      <c r="E12" s="185"/>
      <c r="F12" s="186">
        <f t="shared" si="1"/>
        <v>152.88</v>
      </c>
      <c r="G12" s="186">
        <v>0</v>
      </c>
      <c r="H12" s="186">
        <v>0</v>
      </c>
      <c r="I12" s="12">
        <f t="shared" si="2"/>
        <v>0</v>
      </c>
      <c r="J12" s="12">
        <f t="shared" si="3"/>
        <v>0</v>
      </c>
      <c r="K12" s="12">
        <f t="shared" si="4"/>
        <v>3363.3599999999997</v>
      </c>
      <c r="L12" s="12">
        <f t="shared" si="5"/>
        <v>0</v>
      </c>
      <c r="M12" s="12">
        <f t="shared" si="6"/>
        <v>0</v>
      </c>
      <c r="N12" s="12">
        <f t="shared" si="0"/>
        <v>3363.3599999999997</v>
      </c>
    </row>
    <row r="13" spans="1:14">
      <c r="A13" s="13">
        <v>9</v>
      </c>
      <c r="B13" s="216">
        <v>46031</v>
      </c>
      <c r="C13" s="217"/>
      <c r="D13" s="185"/>
      <c r="E13" s="185"/>
      <c r="F13" s="186">
        <f t="shared" si="1"/>
        <v>152.88</v>
      </c>
      <c r="G13" s="186">
        <v>0</v>
      </c>
      <c r="H13" s="186">
        <v>0</v>
      </c>
      <c r="I13" s="12">
        <f t="shared" si="2"/>
        <v>0</v>
      </c>
      <c r="J13" s="12">
        <f t="shared" si="3"/>
        <v>0</v>
      </c>
      <c r="K13" s="12">
        <f t="shared" si="4"/>
        <v>3363.3599999999997</v>
      </c>
      <c r="L13" s="12">
        <f t="shared" si="5"/>
        <v>0</v>
      </c>
      <c r="M13" s="12">
        <f t="shared" si="6"/>
        <v>0</v>
      </c>
      <c r="N13" s="12">
        <f t="shared" si="0"/>
        <v>3363.3599999999997</v>
      </c>
    </row>
    <row r="14" spans="1:14">
      <c r="A14" s="13">
        <v>10</v>
      </c>
      <c r="B14" s="216">
        <v>46032</v>
      </c>
      <c r="C14" s="217"/>
      <c r="D14" s="185"/>
      <c r="E14" s="185"/>
      <c r="F14" s="186">
        <f t="shared" si="1"/>
        <v>152.88</v>
      </c>
      <c r="G14" s="186">
        <v>0</v>
      </c>
      <c r="H14" s="186">
        <v>0</v>
      </c>
      <c r="I14" s="12">
        <f t="shared" si="2"/>
        <v>0</v>
      </c>
      <c r="J14" s="12">
        <f t="shared" si="3"/>
        <v>0</v>
      </c>
      <c r="K14" s="12">
        <f t="shared" si="4"/>
        <v>3363.3599999999997</v>
      </c>
      <c r="L14" s="12">
        <f t="shared" si="5"/>
        <v>0</v>
      </c>
      <c r="M14" s="12">
        <f t="shared" si="6"/>
        <v>0</v>
      </c>
      <c r="N14" s="12">
        <f t="shared" si="0"/>
        <v>3363.3599999999997</v>
      </c>
    </row>
    <row r="15" spans="1:14">
      <c r="A15" s="13">
        <v>11</v>
      </c>
      <c r="B15" s="216">
        <v>46033</v>
      </c>
      <c r="C15" s="217"/>
      <c r="D15" s="185"/>
      <c r="E15" s="185"/>
      <c r="F15" s="186">
        <f t="shared" si="1"/>
        <v>152.88</v>
      </c>
      <c r="G15" s="186">
        <v>0</v>
      </c>
      <c r="H15" s="186">
        <v>0</v>
      </c>
      <c r="I15" s="12">
        <f t="shared" si="2"/>
        <v>0</v>
      </c>
      <c r="J15" s="12">
        <f t="shared" si="3"/>
        <v>0</v>
      </c>
      <c r="K15" s="12">
        <f t="shared" si="4"/>
        <v>3363.3599999999997</v>
      </c>
      <c r="L15" s="12">
        <f t="shared" si="5"/>
        <v>0</v>
      </c>
      <c r="M15" s="12">
        <f t="shared" si="6"/>
        <v>0</v>
      </c>
      <c r="N15" s="12">
        <f t="shared" si="0"/>
        <v>3363.3599999999997</v>
      </c>
    </row>
    <row r="16" spans="1:14">
      <c r="A16" s="13">
        <v>12</v>
      </c>
      <c r="B16" s="216">
        <v>46034</v>
      </c>
      <c r="C16" s="217"/>
      <c r="D16" s="185"/>
      <c r="E16" s="185"/>
      <c r="F16" s="186">
        <f t="shared" si="1"/>
        <v>152.88</v>
      </c>
      <c r="G16" s="186">
        <v>0</v>
      </c>
      <c r="H16" s="186">
        <v>0</v>
      </c>
      <c r="I16" s="12">
        <f t="shared" si="2"/>
        <v>0</v>
      </c>
      <c r="J16" s="12">
        <f t="shared" si="3"/>
        <v>0</v>
      </c>
      <c r="K16" s="12">
        <f t="shared" si="4"/>
        <v>3363.3599999999997</v>
      </c>
      <c r="L16" s="12">
        <f t="shared" si="5"/>
        <v>0</v>
      </c>
      <c r="M16" s="12">
        <f t="shared" si="6"/>
        <v>0</v>
      </c>
      <c r="N16" s="12">
        <f t="shared" si="0"/>
        <v>3363.3599999999997</v>
      </c>
    </row>
    <row r="17" spans="1:14">
      <c r="A17" s="13">
        <v>13</v>
      </c>
      <c r="B17" s="216">
        <v>46035</v>
      </c>
      <c r="C17" s="217"/>
      <c r="D17" s="185"/>
      <c r="E17" s="185"/>
      <c r="F17" s="186">
        <f t="shared" si="1"/>
        <v>152.88</v>
      </c>
      <c r="G17" s="186">
        <v>0</v>
      </c>
      <c r="H17" s="186">
        <v>0</v>
      </c>
      <c r="I17" s="12">
        <f t="shared" si="2"/>
        <v>0</v>
      </c>
      <c r="J17" s="12">
        <f t="shared" si="3"/>
        <v>0</v>
      </c>
      <c r="K17" s="12">
        <f t="shared" si="4"/>
        <v>3363.3599999999997</v>
      </c>
      <c r="L17" s="12">
        <f t="shared" si="5"/>
        <v>0</v>
      </c>
      <c r="M17" s="12">
        <f t="shared" si="6"/>
        <v>0</v>
      </c>
      <c r="N17" s="12">
        <f t="shared" si="0"/>
        <v>3363.3599999999997</v>
      </c>
    </row>
    <row r="18" spans="1:14">
      <c r="A18" s="13">
        <v>14</v>
      </c>
      <c r="B18" s="216">
        <v>46036</v>
      </c>
      <c r="C18" s="217"/>
      <c r="D18" s="187"/>
      <c r="E18" s="188">
        <v>38.85</v>
      </c>
      <c r="F18" s="186">
        <f t="shared" si="1"/>
        <v>152.88</v>
      </c>
      <c r="G18" s="186">
        <v>0</v>
      </c>
      <c r="H18" s="186">
        <v>0</v>
      </c>
      <c r="I18" s="12">
        <f t="shared" si="2"/>
        <v>0</v>
      </c>
      <c r="J18" s="12">
        <f t="shared" si="3"/>
        <v>5050.5</v>
      </c>
      <c r="K18" s="12">
        <f t="shared" si="4"/>
        <v>3363.3599999999997</v>
      </c>
      <c r="L18" s="12">
        <f t="shared" si="5"/>
        <v>0</v>
      </c>
      <c r="M18" s="12">
        <f t="shared" si="6"/>
        <v>0</v>
      </c>
      <c r="N18" s="12">
        <f t="shared" si="0"/>
        <v>8413.86</v>
      </c>
    </row>
    <row r="19" spans="1:14">
      <c r="A19" s="13">
        <v>15</v>
      </c>
      <c r="B19" s="216">
        <v>46037</v>
      </c>
      <c r="C19" s="217"/>
      <c r="D19" s="187"/>
      <c r="E19" s="189">
        <v>37.799999999999997</v>
      </c>
      <c r="F19" s="186">
        <f t="shared" si="1"/>
        <v>114.03</v>
      </c>
      <c r="G19" s="186">
        <v>0</v>
      </c>
      <c r="H19" s="186">
        <v>0</v>
      </c>
      <c r="I19" s="12">
        <f t="shared" si="2"/>
        <v>0</v>
      </c>
      <c r="J19" s="12">
        <f t="shared" si="3"/>
        <v>4914</v>
      </c>
      <c r="K19" s="12">
        <f t="shared" si="4"/>
        <v>2508.66</v>
      </c>
      <c r="L19" s="12">
        <f t="shared" si="5"/>
        <v>0</v>
      </c>
      <c r="M19" s="12">
        <f t="shared" si="6"/>
        <v>0</v>
      </c>
      <c r="N19" s="12">
        <f t="shared" si="0"/>
        <v>7422.66</v>
      </c>
    </row>
    <row r="20" spans="1:14">
      <c r="A20" s="13">
        <v>16</v>
      </c>
      <c r="B20" s="216">
        <v>46038</v>
      </c>
      <c r="C20" s="217"/>
      <c r="D20" s="187"/>
      <c r="E20" s="189">
        <v>18.899999999999999</v>
      </c>
      <c r="F20" s="186">
        <f t="shared" si="1"/>
        <v>76.23</v>
      </c>
      <c r="G20" s="186">
        <v>0</v>
      </c>
      <c r="H20" s="186">
        <v>0</v>
      </c>
      <c r="I20" s="12">
        <f t="shared" si="2"/>
        <v>0</v>
      </c>
      <c r="J20" s="12">
        <f t="shared" si="3"/>
        <v>2457</v>
      </c>
      <c r="K20" s="12">
        <f t="shared" si="4"/>
        <v>1677.0600000000002</v>
      </c>
      <c r="L20" s="12">
        <f t="shared" si="5"/>
        <v>0</v>
      </c>
      <c r="M20" s="12">
        <f t="shared" si="6"/>
        <v>0</v>
      </c>
      <c r="N20" s="12">
        <f t="shared" si="0"/>
        <v>4134.0600000000004</v>
      </c>
    </row>
    <row r="21" spans="1:14">
      <c r="A21" s="13">
        <v>17</v>
      </c>
      <c r="B21" s="216">
        <v>46039</v>
      </c>
      <c r="C21" s="217"/>
      <c r="D21" s="185"/>
      <c r="E21" s="185"/>
      <c r="F21" s="186">
        <f t="shared" si="1"/>
        <v>57.330000000000005</v>
      </c>
      <c r="G21" s="186">
        <v>0</v>
      </c>
      <c r="H21" s="186">
        <v>0</v>
      </c>
      <c r="I21" s="12">
        <f t="shared" si="2"/>
        <v>0</v>
      </c>
      <c r="J21" s="12">
        <f t="shared" si="3"/>
        <v>0</v>
      </c>
      <c r="K21" s="12">
        <f t="shared" si="4"/>
        <v>1261.2600000000002</v>
      </c>
      <c r="L21" s="12">
        <f t="shared" si="5"/>
        <v>0</v>
      </c>
      <c r="M21" s="12">
        <f t="shared" si="6"/>
        <v>0</v>
      </c>
      <c r="N21" s="12">
        <f t="shared" si="0"/>
        <v>1261.2600000000002</v>
      </c>
    </row>
    <row r="22" spans="1:14">
      <c r="A22" s="13">
        <v>18</v>
      </c>
      <c r="B22" s="216">
        <v>46040</v>
      </c>
      <c r="C22" s="217"/>
      <c r="D22" s="185"/>
      <c r="E22" s="185"/>
      <c r="F22" s="186">
        <f t="shared" si="1"/>
        <v>57.330000000000005</v>
      </c>
      <c r="G22" s="186">
        <v>0</v>
      </c>
      <c r="H22" s="186">
        <v>0</v>
      </c>
      <c r="I22" s="12">
        <f t="shared" si="2"/>
        <v>0</v>
      </c>
      <c r="J22" s="12">
        <f t="shared" si="3"/>
        <v>0</v>
      </c>
      <c r="K22" s="12">
        <f t="shared" si="4"/>
        <v>1261.2600000000002</v>
      </c>
      <c r="L22" s="12">
        <f t="shared" si="5"/>
        <v>0</v>
      </c>
      <c r="M22" s="12">
        <f t="shared" si="6"/>
        <v>0</v>
      </c>
      <c r="N22" s="12">
        <f t="shared" si="0"/>
        <v>1261.2600000000002</v>
      </c>
    </row>
    <row r="23" spans="1:14">
      <c r="A23" s="13">
        <v>19</v>
      </c>
      <c r="B23" s="216">
        <v>46041</v>
      </c>
      <c r="C23" s="217"/>
      <c r="D23" s="187"/>
      <c r="E23" s="189">
        <v>18.899999999999999</v>
      </c>
      <c r="F23" s="186">
        <f t="shared" si="1"/>
        <v>57.330000000000005</v>
      </c>
      <c r="G23" s="186">
        <v>0</v>
      </c>
      <c r="H23" s="186">
        <v>0</v>
      </c>
      <c r="I23" s="12">
        <f t="shared" si="2"/>
        <v>0</v>
      </c>
      <c r="J23" s="12">
        <f t="shared" si="3"/>
        <v>2457</v>
      </c>
      <c r="K23" s="12">
        <f t="shared" si="4"/>
        <v>1261.2600000000002</v>
      </c>
      <c r="L23" s="12">
        <f t="shared" si="5"/>
        <v>0</v>
      </c>
      <c r="M23" s="12">
        <f t="shared" si="6"/>
        <v>0</v>
      </c>
      <c r="N23" s="12">
        <f t="shared" si="0"/>
        <v>3718.26</v>
      </c>
    </row>
    <row r="24" spans="1:14">
      <c r="A24" s="13">
        <v>20</v>
      </c>
      <c r="B24" s="216">
        <v>46042</v>
      </c>
      <c r="C24" s="217"/>
      <c r="D24" s="185"/>
      <c r="E24" s="185"/>
      <c r="F24" s="186">
        <f t="shared" si="1"/>
        <v>38.430000000000007</v>
      </c>
      <c r="G24" s="186">
        <v>0</v>
      </c>
      <c r="H24" s="186">
        <v>0</v>
      </c>
      <c r="I24" s="12">
        <f t="shared" si="2"/>
        <v>0</v>
      </c>
      <c r="J24" s="12">
        <f t="shared" si="3"/>
        <v>0</v>
      </c>
      <c r="K24" s="12">
        <f t="shared" si="4"/>
        <v>845.46000000000015</v>
      </c>
      <c r="L24" s="12">
        <f t="shared" si="5"/>
        <v>0</v>
      </c>
      <c r="M24" s="12">
        <f t="shared" si="6"/>
        <v>0</v>
      </c>
      <c r="N24" s="12">
        <f t="shared" si="0"/>
        <v>845.46000000000015</v>
      </c>
    </row>
    <row r="25" spans="1:14">
      <c r="A25" s="13">
        <v>21</v>
      </c>
      <c r="B25" s="216">
        <v>46043</v>
      </c>
      <c r="C25" s="217"/>
      <c r="D25" s="187"/>
      <c r="E25" s="189">
        <v>18.899999999999999</v>
      </c>
      <c r="F25" s="186">
        <f t="shared" si="1"/>
        <v>38.430000000000007</v>
      </c>
      <c r="G25" s="186">
        <v>0</v>
      </c>
      <c r="H25" s="186">
        <v>0</v>
      </c>
      <c r="I25" s="12">
        <f t="shared" si="2"/>
        <v>0</v>
      </c>
      <c r="J25" s="12">
        <f t="shared" si="3"/>
        <v>2457</v>
      </c>
      <c r="K25" s="12">
        <f t="shared" si="4"/>
        <v>845.46000000000015</v>
      </c>
      <c r="L25" s="12">
        <f t="shared" si="5"/>
        <v>0</v>
      </c>
      <c r="M25" s="12">
        <f t="shared" si="6"/>
        <v>0</v>
      </c>
      <c r="N25" s="12">
        <f t="shared" si="0"/>
        <v>3302.46</v>
      </c>
    </row>
    <row r="26" spans="1:14">
      <c r="A26" s="13">
        <v>22</v>
      </c>
      <c r="B26" s="216">
        <v>46044</v>
      </c>
      <c r="C26" s="217"/>
      <c r="D26" s="185"/>
      <c r="E26" s="185"/>
      <c r="F26" s="186">
        <f t="shared" si="1"/>
        <v>19.530000000000008</v>
      </c>
      <c r="G26" s="186">
        <v>0</v>
      </c>
      <c r="H26" s="186">
        <v>0</v>
      </c>
      <c r="I26" s="12">
        <f t="shared" si="2"/>
        <v>0</v>
      </c>
      <c r="J26" s="12">
        <f t="shared" si="3"/>
        <v>0</v>
      </c>
      <c r="K26" s="12">
        <f t="shared" si="4"/>
        <v>429.6600000000002</v>
      </c>
      <c r="L26" s="12">
        <f t="shared" si="5"/>
        <v>0</v>
      </c>
      <c r="M26" s="12">
        <f t="shared" si="6"/>
        <v>0</v>
      </c>
      <c r="N26" s="12">
        <f t="shared" si="0"/>
        <v>429.6600000000002</v>
      </c>
    </row>
    <row r="27" spans="1:14">
      <c r="A27" s="13">
        <v>23</v>
      </c>
      <c r="B27" s="216">
        <v>46045</v>
      </c>
      <c r="C27" s="217"/>
      <c r="D27" s="185"/>
      <c r="E27" s="185"/>
      <c r="F27" s="186">
        <f t="shared" si="1"/>
        <v>19.530000000000008</v>
      </c>
      <c r="G27" s="186">
        <v>0</v>
      </c>
      <c r="H27" s="186">
        <v>0</v>
      </c>
      <c r="I27" s="12">
        <f t="shared" si="2"/>
        <v>0</v>
      </c>
      <c r="J27" s="12">
        <f t="shared" si="3"/>
        <v>0</v>
      </c>
      <c r="K27" s="12">
        <f t="shared" si="4"/>
        <v>429.6600000000002</v>
      </c>
      <c r="L27" s="12">
        <f t="shared" si="5"/>
        <v>0</v>
      </c>
      <c r="M27" s="12">
        <f t="shared" si="6"/>
        <v>0</v>
      </c>
      <c r="N27" s="12">
        <f t="shared" si="0"/>
        <v>429.6600000000002</v>
      </c>
    </row>
    <row r="28" spans="1:14">
      <c r="A28" s="13">
        <v>24</v>
      </c>
      <c r="B28" s="216">
        <v>46046</v>
      </c>
      <c r="C28" s="217"/>
      <c r="D28" s="185"/>
      <c r="E28" s="185"/>
      <c r="F28" s="186">
        <f t="shared" si="1"/>
        <v>19.530000000000008</v>
      </c>
      <c r="G28" s="186">
        <v>0</v>
      </c>
      <c r="H28" s="186">
        <v>0</v>
      </c>
      <c r="I28" s="12">
        <f t="shared" si="2"/>
        <v>0</v>
      </c>
      <c r="J28" s="12">
        <f t="shared" si="3"/>
        <v>0</v>
      </c>
      <c r="K28" s="12">
        <f t="shared" si="4"/>
        <v>429.6600000000002</v>
      </c>
      <c r="L28" s="12">
        <f t="shared" si="5"/>
        <v>0</v>
      </c>
      <c r="M28" s="12">
        <f t="shared" si="6"/>
        <v>0</v>
      </c>
      <c r="N28" s="12">
        <f t="shared" si="0"/>
        <v>429.6600000000002</v>
      </c>
    </row>
    <row r="29" spans="1:14">
      <c r="A29" s="13">
        <v>25</v>
      </c>
      <c r="B29" s="216">
        <v>46047</v>
      </c>
      <c r="C29" s="217"/>
      <c r="D29" s="185"/>
      <c r="E29" s="185"/>
      <c r="F29" s="186">
        <f t="shared" si="1"/>
        <v>19.530000000000008</v>
      </c>
      <c r="G29" s="186">
        <v>0</v>
      </c>
      <c r="H29" s="186">
        <v>0</v>
      </c>
      <c r="I29" s="12">
        <f t="shared" si="2"/>
        <v>0</v>
      </c>
      <c r="J29" s="12">
        <f t="shared" si="3"/>
        <v>0</v>
      </c>
      <c r="K29" s="12">
        <f t="shared" si="4"/>
        <v>429.6600000000002</v>
      </c>
      <c r="L29" s="12">
        <f t="shared" si="5"/>
        <v>0</v>
      </c>
      <c r="M29" s="12">
        <f t="shared" si="6"/>
        <v>0</v>
      </c>
      <c r="N29" s="12">
        <f t="shared" si="0"/>
        <v>429.6600000000002</v>
      </c>
    </row>
    <row r="30" spans="1:14">
      <c r="A30" s="13">
        <v>26</v>
      </c>
      <c r="B30" s="216">
        <v>46048</v>
      </c>
      <c r="C30" s="217"/>
      <c r="D30" s="187"/>
      <c r="E30" s="188">
        <v>19.53</v>
      </c>
      <c r="F30" s="186">
        <f t="shared" si="1"/>
        <v>19.530000000000008</v>
      </c>
      <c r="G30" s="186">
        <v>0</v>
      </c>
      <c r="H30" s="186">
        <v>0</v>
      </c>
      <c r="I30" s="12">
        <f t="shared" si="2"/>
        <v>0</v>
      </c>
      <c r="J30" s="12">
        <f t="shared" si="3"/>
        <v>2538.9</v>
      </c>
      <c r="K30" s="12">
        <f t="shared" si="4"/>
        <v>429.6600000000002</v>
      </c>
      <c r="L30" s="12">
        <f t="shared" si="5"/>
        <v>0</v>
      </c>
      <c r="M30" s="12">
        <f t="shared" si="6"/>
        <v>0</v>
      </c>
      <c r="N30" s="12">
        <f t="shared" si="0"/>
        <v>2968.5600000000004</v>
      </c>
    </row>
    <row r="31" spans="1:14">
      <c r="A31" s="13">
        <v>27</v>
      </c>
      <c r="B31" s="216">
        <v>46049</v>
      </c>
      <c r="C31" s="217"/>
      <c r="D31" s="185"/>
      <c r="E31" s="185"/>
      <c r="F31" s="186">
        <f t="shared" si="1"/>
        <v>0</v>
      </c>
      <c r="G31" s="186">
        <v>0</v>
      </c>
      <c r="H31" s="186">
        <v>0</v>
      </c>
      <c r="I31" s="12">
        <f t="shared" si="2"/>
        <v>0</v>
      </c>
      <c r="J31" s="12">
        <f t="shared" si="3"/>
        <v>0</v>
      </c>
      <c r="K31" s="12">
        <f t="shared" si="4"/>
        <v>0</v>
      </c>
      <c r="L31" s="12">
        <f t="shared" si="5"/>
        <v>0</v>
      </c>
      <c r="M31" s="12">
        <f t="shared" si="6"/>
        <v>0</v>
      </c>
      <c r="N31" s="12">
        <f t="shared" si="0"/>
        <v>0</v>
      </c>
    </row>
    <row r="32" spans="1:14">
      <c r="A32" s="13">
        <v>28</v>
      </c>
      <c r="B32" s="216">
        <v>46050</v>
      </c>
      <c r="C32" s="217"/>
      <c r="D32" s="185"/>
      <c r="E32" s="185"/>
      <c r="F32" s="186">
        <f t="shared" si="1"/>
        <v>0</v>
      </c>
      <c r="G32" s="186">
        <v>0</v>
      </c>
      <c r="H32" s="186">
        <v>0</v>
      </c>
      <c r="I32" s="12">
        <f t="shared" si="2"/>
        <v>0</v>
      </c>
      <c r="J32" s="12">
        <f t="shared" si="3"/>
        <v>0</v>
      </c>
      <c r="K32" s="12">
        <f t="shared" si="4"/>
        <v>0</v>
      </c>
      <c r="L32" s="12">
        <f t="shared" si="5"/>
        <v>0</v>
      </c>
      <c r="M32" s="12">
        <f t="shared" si="6"/>
        <v>0</v>
      </c>
      <c r="N32" s="12">
        <f t="shared" si="0"/>
        <v>0</v>
      </c>
    </row>
    <row r="33" spans="1:14">
      <c r="A33" s="13">
        <v>29</v>
      </c>
      <c r="B33" s="216">
        <v>46051</v>
      </c>
      <c r="C33" s="217"/>
      <c r="D33" s="185"/>
      <c r="E33" s="185"/>
      <c r="F33" s="186">
        <f t="shared" si="1"/>
        <v>0</v>
      </c>
      <c r="G33" s="186">
        <v>0</v>
      </c>
      <c r="H33" s="186">
        <v>0</v>
      </c>
      <c r="I33" s="12">
        <f t="shared" si="2"/>
        <v>0</v>
      </c>
      <c r="J33" s="12">
        <f t="shared" si="3"/>
        <v>0</v>
      </c>
      <c r="K33" s="12">
        <f t="shared" si="4"/>
        <v>0</v>
      </c>
      <c r="L33" s="12">
        <f t="shared" si="5"/>
        <v>0</v>
      </c>
      <c r="M33" s="12">
        <f t="shared" si="6"/>
        <v>0</v>
      </c>
      <c r="N33" s="12">
        <f t="shared" si="0"/>
        <v>0</v>
      </c>
    </row>
    <row r="34" spans="1:14">
      <c r="A34" s="13">
        <v>30</v>
      </c>
      <c r="B34" s="216">
        <v>46052</v>
      </c>
      <c r="C34" s="217"/>
      <c r="D34" s="185"/>
      <c r="E34" s="185"/>
      <c r="F34" s="186">
        <f t="shared" si="1"/>
        <v>0</v>
      </c>
      <c r="G34" s="186">
        <v>0</v>
      </c>
      <c r="H34" s="186">
        <v>0</v>
      </c>
      <c r="I34" s="12">
        <f t="shared" si="2"/>
        <v>0</v>
      </c>
      <c r="J34" s="12">
        <f t="shared" si="3"/>
        <v>0</v>
      </c>
      <c r="K34" s="12">
        <f t="shared" si="4"/>
        <v>0</v>
      </c>
      <c r="L34" s="12">
        <f t="shared" si="5"/>
        <v>0</v>
      </c>
      <c r="M34" s="12">
        <f t="shared" si="6"/>
        <v>0</v>
      </c>
      <c r="N34" s="12">
        <f t="shared" si="0"/>
        <v>0</v>
      </c>
    </row>
    <row r="35" spans="1:14">
      <c r="A35" s="13">
        <v>31</v>
      </c>
      <c r="B35" s="216">
        <v>46053</v>
      </c>
      <c r="C35" s="217"/>
      <c r="D35" s="185"/>
      <c r="E35" s="185"/>
      <c r="F35" s="186">
        <f t="shared" si="1"/>
        <v>0</v>
      </c>
      <c r="G35" s="186">
        <v>0</v>
      </c>
      <c r="H35" s="186">
        <v>0</v>
      </c>
      <c r="I35" s="12">
        <f t="shared" si="2"/>
        <v>0</v>
      </c>
      <c r="J35" s="12">
        <f t="shared" si="3"/>
        <v>0</v>
      </c>
      <c r="K35" s="12">
        <f t="shared" si="4"/>
        <v>0</v>
      </c>
      <c r="L35" s="12">
        <f t="shared" si="5"/>
        <v>0</v>
      </c>
      <c r="M35" s="12">
        <f t="shared" si="6"/>
        <v>0</v>
      </c>
      <c r="N35" s="12">
        <f t="shared" si="0"/>
        <v>0</v>
      </c>
    </row>
    <row r="36" spans="1:14">
      <c r="D36" s="18">
        <f t="shared" ref="D36:N36" si="7">SUM(D5:D35)</f>
        <v>0</v>
      </c>
      <c r="E36" s="18">
        <f t="shared" si="7"/>
        <v>152.88000000000002</v>
      </c>
      <c r="F36" s="18">
        <f t="shared" si="7"/>
        <v>2677.0800000000013</v>
      </c>
      <c r="G36" s="18">
        <f t="shared" si="7"/>
        <v>0</v>
      </c>
      <c r="H36" s="18">
        <f t="shared" si="7"/>
        <v>0</v>
      </c>
      <c r="I36" s="20">
        <f t="shared" si="7"/>
        <v>0</v>
      </c>
      <c r="J36" s="20">
        <f t="shared" si="7"/>
        <v>19874.400000000001</v>
      </c>
      <c r="K36" s="20">
        <f t="shared" si="7"/>
        <v>58895.760000000017</v>
      </c>
      <c r="L36" s="20">
        <f t="shared" si="7"/>
        <v>0</v>
      </c>
      <c r="M36" s="20">
        <f t="shared" si="7"/>
        <v>0</v>
      </c>
      <c r="N36" s="20">
        <f t="shared" si="7"/>
        <v>78770.160000000018</v>
      </c>
    </row>
    <row r="37" spans="1:14">
      <c r="L37" s="21"/>
      <c r="M37" s="21"/>
      <c r="N37" s="22">
        <f>N36*1.22</f>
        <v>96099.595200000025</v>
      </c>
    </row>
  </sheetData>
  <mergeCells count="44">
    <mergeCell ref="B35:C35"/>
    <mergeCell ref="B29:C29"/>
    <mergeCell ref="B30:C30"/>
    <mergeCell ref="B31:C31"/>
    <mergeCell ref="B32:C32"/>
    <mergeCell ref="B33:C33"/>
    <mergeCell ref="B34:C34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6:C1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N3:N4"/>
    <mergeCell ref="A2:H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CF9B-C458-47F8-8B22-90FAD5EFAED3}">
  <sheetPr codeName="Лист23">
    <pageSetUpPr fitToPage="1"/>
  </sheetPr>
  <dimension ref="A1:T37"/>
  <sheetViews>
    <sheetView workbookViewId="0">
      <selection activeCell="T37" sqref="T37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8" t="s">
        <v>194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146</v>
      </c>
      <c r="E3" s="209" t="s">
        <v>147</v>
      </c>
      <c r="F3" s="4" t="s">
        <v>4</v>
      </c>
      <c r="G3" s="209" t="s">
        <v>195</v>
      </c>
      <c r="H3" s="209" t="s">
        <v>196</v>
      </c>
      <c r="I3" s="209" t="s">
        <v>7</v>
      </c>
      <c r="J3" s="209" t="s">
        <v>8</v>
      </c>
      <c r="K3" s="209" t="s">
        <v>197</v>
      </c>
      <c r="L3" s="209" t="s">
        <v>198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 ht="30">
      <c r="A4" s="210"/>
      <c r="B4" s="213"/>
      <c r="C4" s="214"/>
      <c r="D4" s="210"/>
      <c r="E4" s="210"/>
      <c r="F4" s="5" t="s">
        <v>156</v>
      </c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6">
        <v>1</v>
      </c>
      <c r="B5" s="216" t="s">
        <v>199</v>
      </c>
      <c r="C5" s="217"/>
      <c r="D5" s="190">
        <v>0</v>
      </c>
      <c r="E5" s="190">
        <v>0</v>
      </c>
      <c r="F5" s="191">
        <v>8</v>
      </c>
      <c r="G5" s="192">
        <v>0</v>
      </c>
      <c r="H5" s="192">
        <v>0</v>
      </c>
      <c r="I5" s="11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159.52000000000001</v>
      </c>
      <c r="P5" s="193">
        <v>0</v>
      </c>
      <c r="Q5" s="193">
        <v>0</v>
      </c>
      <c r="R5" s="193">
        <v>0</v>
      </c>
      <c r="S5" s="193">
        <v>0</v>
      </c>
      <c r="T5" s="193">
        <v>159.52000000000001</v>
      </c>
    </row>
    <row r="6" spans="1:20">
      <c r="A6" s="13">
        <v>2</v>
      </c>
      <c r="B6" s="216" t="s">
        <v>200</v>
      </c>
      <c r="C6" s="217"/>
      <c r="D6" s="190">
        <v>0</v>
      </c>
      <c r="E6" s="190">
        <v>0</v>
      </c>
      <c r="F6" s="191">
        <v>8</v>
      </c>
      <c r="G6" s="192">
        <v>0</v>
      </c>
      <c r="H6" s="192">
        <v>0</v>
      </c>
      <c r="I6" s="11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159.52000000000001</v>
      </c>
      <c r="P6" s="193">
        <v>0</v>
      </c>
      <c r="Q6" s="193">
        <v>0</v>
      </c>
      <c r="R6" s="193">
        <v>0</v>
      </c>
      <c r="S6" s="193">
        <v>0</v>
      </c>
      <c r="T6" s="193">
        <v>159.52000000000001</v>
      </c>
    </row>
    <row r="7" spans="1:20">
      <c r="A7" s="13">
        <v>3</v>
      </c>
      <c r="B7" s="216" t="s">
        <v>201</v>
      </c>
      <c r="C7" s="217"/>
      <c r="D7" s="190">
        <v>0</v>
      </c>
      <c r="E7" s="190">
        <v>0</v>
      </c>
      <c r="F7" s="191">
        <v>8</v>
      </c>
      <c r="G7" s="192">
        <v>0</v>
      </c>
      <c r="H7" s="192">
        <v>0</v>
      </c>
      <c r="I7" s="11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159.52000000000001</v>
      </c>
      <c r="P7" s="193">
        <v>0</v>
      </c>
      <c r="Q7" s="193">
        <v>0</v>
      </c>
      <c r="R7" s="193">
        <v>0</v>
      </c>
      <c r="S7" s="193">
        <v>0</v>
      </c>
      <c r="T7" s="193">
        <v>159.52000000000001</v>
      </c>
    </row>
    <row r="8" spans="1:20">
      <c r="A8" s="13">
        <v>4</v>
      </c>
      <c r="B8" s="216" t="s">
        <v>202</v>
      </c>
      <c r="C8" s="217"/>
      <c r="D8" s="190">
        <v>0</v>
      </c>
      <c r="E8" s="190">
        <v>0</v>
      </c>
      <c r="F8" s="191">
        <v>8</v>
      </c>
      <c r="G8" s="192">
        <v>0</v>
      </c>
      <c r="H8" s="192">
        <v>0</v>
      </c>
      <c r="I8" s="11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159.52000000000001</v>
      </c>
      <c r="P8" s="193">
        <v>0</v>
      </c>
      <c r="Q8" s="193">
        <v>0</v>
      </c>
      <c r="R8" s="193">
        <v>0</v>
      </c>
      <c r="S8" s="193">
        <v>0</v>
      </c>
      <c r="T8" s="193">
        <v>159.52000000000001</v>
      </c>
    </row>
    <row r="9" spans="1:20">
      <c r="A9" s="13">
        <v>5</v>
      </c>
      <c r="B9" s="216" t="s">
        <v>203</v>
      </c>
      <c r="C9" s="217"/>
      <c r="D9" s="190">
        <v>0</v>
      </c>
      <c r="E9" s="190">
        <v>0</v>
      </c>
      <c r="F9" s="191">
        <v>8</v>
      </c>
      <c r="G9" s="192">
        <v>0</v>
      </c>
      <c r="H9" s="192">
        <v>0</v>
      </c>
      <c r="I9" s="11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159.52000000000001</v>
      </c>
      <c r="P9" s="193">
        <v>0</v>
      </c>
      <c r="Q9" s="193">
        <v>0</v>
      </c>
      <c r="R9" s="193">
        <v>0</v>
      </c>
      <c r="S9" s="193">
        <v>0</v>
      </c>
      <c r="T9" s="193">
        <v>159.52000000000001</v>
      </c>
    </row>
    <row r="10" spans="1:20">
      <c r="A10" s="13">
        <v>6</v>
      </c>
      <c r="B10" s="216" t="s">
        <v>204</v>
      </c>
      <c r="C10" s="217"/>
      <c r="D10" s="190">
        <v>0</v>
      </c>
      <c r="E10" s="190">
        <v>0</v>
      </c>
      <c r="F10" s="191">
        <v>8</v>
      </c>
      <c r="G10" s="192">
        <v>0</v>
      </c>
      <c r="H10" s="192">
        <v>0</v>
      </c>
      <c r="I10" s="11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159.52000000000001</v>
      </c>
      <c r="P10" s="193">
        <v>0</v>
      </c>
      <c r="Q10" s="193">
        <v>0</v>
      </c>
      <c r="R10" s="193">
        <v>0</v>
      </c>
      <c r="S10" s="193">
        <v>0</v>
      </c>
      <c r="T10" s="193">
        <v>159.52000000000001</v>
      </c>
    </row>
    <row r="11" spans="1:20">
      <c r="A11" s="13">
        <v>7</v>
      </c>
      <c r="B11" s="216" t="s">
        <v>205</v>
      </c>
      <c r="C11" s="217"/>
      <c r="D11" s="190">
        <v>0</v>
      </c>
      <c r="E11" s="190">
        <v>0</v>
      </c>
      <c r="F11" s="191">
        <v>8</v>
      </c>
      <c r="G11" s="192">
        <v>0</v>
      </c>
      <c r="H11" s="192">
        <v>0</v>
      </c>
      <c r="I11" s="11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159.52000000000001</v>
      </c>
      <c r="P11" s="193">
        <v>0</v>
      </c>
      <c r="Q11" s="193">
        <v>0</v>
      </c>
      <c r="R11" s="193">
        <v>0</v>
      </c>
      <c r="S11" s="193">
        <v>0</v>
      </c>
      <c r="T11" s="193">
        <v>159.52000000000001</v>
      </c>
    </row>
    <row r="12" spans="1:20">
      <c r="A12" s="13">
        <v>8</v>
      </c>
      <c r="B12" s="216" t="s">
        <v>206</v>
      </c>
      <c r="C12" s="217"/>
      <c r="D12" s="190">
        <v>16</v>
      </c>
      <c r="E12" s="190">
        <v>0</v>
      </c>
      <c r="F12" s="191">
        <v>24</v>
      </c>
      <c r="G12" s="192">
        <v>0</v>
      </c>
      <c r="H12" s="192">
        <v>0</v>
      </c>
      <c r="I12" s="11">
        <v>0</v>
      </c>
      <c r="J12" s="11">
        <v>0</v>
      </c>
      <c r="K12" s="11">
        <v>0</v>
      </c>
      <c r="L12" s="193">
        <v>0</v>
      </c>
      <c r="M12" s="193">
        <v>2420</v>
      </c>
      <c r="N12" s="193">
        <v>0</v>
      </c>
      <c r="O12" s="193">
        <v>478.56</v>
      </c>
      <c r="P12" s="193">
        <v>0</v>
      </c>
      <c r="Q12" s="193">
        <v>0</v>
      </c>
      <c r="R12" s="193">
        <v>0</v>
      </c>
      <c r="S12" s="193">
        <v>0</v>
      </c>
      <c r="T12" s="193">
        <v>2898.56</v>
      </c>
    </row>
    <row r="13" spans="1:20">
      <c r="A13" s="13">
        <v>9</v>
      </c>
      <c r="B13" s="216" t="s">
        <v>207</v>
      </c>
      <c r="C13" s="217"/>
      <c r="D13" s="190">
        <v>0</v>
      </c>
      <c r="E13" s="190">
        <v>0</v>
      </c>
      <c r="F13" s="191">
        <v>24</v>
      </c>
      <c r="G13" s="192">
        <v>0</v>
      </c>
      <c r="H13" s="192">
        <v>0</v>
      </c>
      <c r="I13" s="11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478.56</v>
      </c>
      <c r="P13" s="193">
        <v>0</v>
      </c>
      <c r="Q13" s="193">
        <v>0</v>
      </c>
      <c r="R13" s="193">
        <v>0</v>
      </c>
      <c r="S13" s="193">
        <v>0</v>
      </c>
      <c r="T13" s="193">
        <v>478.56</v>
      </c>
    </row>
    <row r="14" spans="1:20">
      <c r="A14" s="13">
        <v>10</v>
      </c>
      <c r="B14" s="216" t="s">
        <v>208</v>
      </c>
      <c r="C14" s="217"/>
      <c r="D14" s="190">
        <v>80</v>
      </c>
      <c r="E14" s="190">
        <v>0</v>
      </c>
      <c r="F14" s="191">
        <v>104</v>
      </c>
      <c r="G14" s="192">
        <v>0</v>
      </c>
      <c r="H14" s="192">
        <v>0</v>
      </c>
      <c r="I14" s="11">
        <v>0</v>
      </c>
      <c r="J14" s="11">
        <v>0</v>
      </c>
      <c r="K14" s="11">
        <v>0</v>
      </c>
      <c r="L14" s="193">
        <v>0</v>
      </c>
      <c r="M14" s="193">
        <v>12100</v>
      </c>
      <c r="N14" s="193">
        <v>0</v>
      </c>
      <c r="O14" s="193">
        <v>2073.7600000000002</v>
      </c>
      <c r="P14" s="193">
        <v>0</v>
      </c>
      <c r="Q14" s="193">
        <v>0</v>
      </c>
      <c r="R14" s="193">
        <v>0</v>
      </c>
      <c r="S14" s="193">
        <v>0</v>
      </c>
      <c r="T14" s="193">
        <v>14173.76</v>
      </c>
    </row>
    <row r="15" spans="1:20">
      <c r="A15" s="13">
        <v>11</v>
      </c>
      <c r="B15" s="216" t="s">
        <v>209</v>
      </c>
      <c r="C15" s="217"/>
      <c r="D15" s="190">
        <v>0</v>
      </c>
      <c r="E15" s="190">
        <v>0</v>
      </c>
      <c r="F15" s="191">
        <v>104</v>
      </c>
      <c r="G15" s="192">
        <v>0</v>
      </c>
      <c r="H15" s="192">
        <v>0</v>
      </c>
      <c r="I15" s="11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2073.7600000000002</v>
      </c>
      <c r="P15" s="193">
        <v>0</v>
      </c>
      <c r="Q15" s="193">
        <v>0</v>
      </c>
      <c r="R15" s="193">
        <v>0</v>
      </c>
      <c r="S15" s="193">
        <v>0</v>
      </c>
      <c r="T15" s="193">
        <v>2073.7600000000002</v>
      </c>
    </row>
    <row r="16" spans="1:20">
      <c r="A16" s="13">
        <v>12</v>
      </c>
      <c r="B16" s="216" t="s">
        <v>210</v>
      </c>
      <c r="C16" s="217"/>
      <c r="D16" s="190">
        <v>0</v>
      </c>
      <c r="E16" s="190">
        <v>0</v>
      </c>
      <c r="F16" s="191">
        <v>104</v>
      </c>
      <c r="G16" s="192">
        <v>0</v>
      </c>
      <c r="H16" s="192">
        <v>0</v>
      </c>
      <c r="I16" s="11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2073.7600000000002</v>
      </c>
      <c r="P16" s="193">
        <v>0</v>
      </c>
      <c r="Q16" s="193">
        <v>0</v>
      </c>
      <c r="R16" s="193">
        <v>0</v>
      </c>
      <c r="S16" s="193">
        <v>0</v>
      </c>
      <c r="T16" s="193">
        <v>2073.7600000000002</v>
      </c>
    </row>
    <row r="17" spans="1:20">
      <c r="A17" s="13">
        <v>13</v>
      </c>
      <c r="B17" s="216" t="s">
        <v>211</v>
      </c>
      <c r="C17" s="217"/>
      <c r="D17" s="190">
        <v>0</v>
      </c>
      <c r="E17" s="190">
        <v>0</v>
      </c>
      <c r="F17" s="191">
        <v>104</v>
      </c>
      <c r="G17" s="192">
        <v>0</v>
      </c>
      <c r="H17" s="192">
        <v>0</v>
      </c>
      <c r="I17" s="11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2073.7600000000002</v>
      </c>
      <c r="P17" s="193">
        <v>0</v>
      </c>
      <c r="Q17" s="193">
        <v>0</v>
      </c>
      <c r="R17" s="193">
        <v>0</v>
      </c>
      <c r="S17" s="193">
        <v>0</v>
      </c>
      <c r="T17" s="193">
        <v>2073.7600000000002</v>
      </c>
    </row>
    <row r="18" spans="1:20">
      <c r="A18" s="13">
        <v>14</v>
      </c>
      <c r="B18" s="216" t="s">
        <v>212</v>
      </c>
      <c r="C18" s="217"/>
      <c r="D18" s="190">
        <v>0</v>
      </c>
      <c r="E18" s="190">
        <v>0</v>
      </c>
      <c r="F18" s="191">
        <v>104</v>
      </c>
      <c r="G18" s="192">
        <v>0</v>
      </c>
      <c r="H18" s="192">
        <v>0</v>
      </c>
      <c r="I18" s="11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2073.7600000000002</v>
      </c>
      <c r="P18" s="193">
        <v>0</v>
      </c>
      <c r="Q18" s="193">
        <v>0</v>
      </c>
      <c r="R18" s="193">
        <v>0</v>
      </c>
      <c r="S18" s="193">
        <v>0</v>
      </c>
      <c r="T18" s="193">
        <v>2073.7600000000002</v>
      </c>
    </row>
    <row r="19" spans="1:20">
      <c r="A19" s="13">
        <v>15</v>
      </c>
      <c r="B19" s="216" t="s">
        <v>213</v>
      </c>
      <c r="C19" s="217"/>
      <c r="D19" s="190">
        <v>0</v>
      </c>
      <c r="E19" s="190">
        <v>0</v>
      </c>
      <c r="F19" s="191">
        <v>104</v>
      </c>
      <c r="G19" s="192">
        <v>0</v>
      </c>
      <c r="H19" s="192">
        <v>0</v>
      </c>
      <c r="I19" s="11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2073.7600000000002</v>
      </c>
      <c r="P19" s="193">
        <v>0</v>
      </c>
      <c r="Q19" s="193">
        <v>0</v>
      </c>
      <c r="R19" s="193">
        <v>0</v>
      </c>
      <c r="S19" s="193">
        <v>0</v>
      </c>
      <c r="T19" s="193">
        <v>2073.7600000000002</v>
      </c>
    </row>
    <row r="20" spans="1:20">
      <c r="A20" s="13">
        <v>16</v>
      </c>
      <c r="B20" s="216" t="s">
        <v>214</v>
      </c>
      <c r="C20" s="217"/>
      <c r="D20" s="190">
        <v>0</v>
      </c>
      <c r="E20" s="190">
        <v>0</v>
      </c>
      <c r="F20" s="191">
        <v>104</v>
      </c>
      <c r="G20" s="192">
        <v>0</v>
      </c>
      <c r="H20" s="192">
        <v>0</v>
      </c>
      <c r="I20" s="11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2073.7600000000002</v>
      </c>
      <c r="P20" s="193">
        <v>0</v>
      </c>
      <c r="Q20" s="193">
        <v>0</v>
      </c>
      <c r="R20" s="193">
        <v>0</v>
      </c>
      <c r="S20" s="193">
        <v>0</v>
      </c>
      <c r="T20" s="193">
        <v>2073.7600000000002</v>
      </c>
    </row>
    <row r="21" spans="1:20">
      <c r="A21" s="13">
        <v>17</v>
      </c>
      <c r="B21" s="216" t="s">
        <v>215</v>
      </c>
      <c r="C21" s="217"/>
      <c r="D21" s="190">
        <v>0</v>
      </c>
      <c r="E21" s="190">
        <v>0</v>
      </c>
      <c r="F21" s="191">
        <v>104</v>
      </c>
      <c r="G21" s="192">
        <v>0</v>
      </c>
      <c r="H21" s="192">
        <v>0</v>
      </c>
      <c r="I21" s="11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2073.7600000000002</v>
      </c>
      <c r="P21" s="193">
        <v>0</v>
      </c>
      <c r="Q21" s="193">
        <v>0</v>
      </c>
      <c r="R21" s="193">
        <v>0</v>
      </c>
      <c r="S21" s="193">
        <v>0</v>
      </c>
      <c r="T21" s="193">
        <v>2073.7600000000002</v>
      </c>
    </row>
    <row r="22" spans="1:20">
      <c r="A22" s="13">
        <v>18</v>
      </c>
      <c r="B22" s="216" t="s">
        <v>216</v>
      </c>
      <c r="C22" s="217"/>
      <c r="D22" s="190">
        <v>0</v>
      </c>
      <c r="E22" s="190">
        <v>0</v>
      </c>
      <c r="F22" s="191">
        <v>104</v>
      </c>
      <c r="G22" s="192">
        <v>0</v>
      </c>
      <c r="H22" s="192">
        <v>0</v>
      </c>
      <c r="I22" s="11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2073.7600000000002</v>
      </c>
      <c r="P22" s="193">
        <v>0</v>
      </c>
      <c r="Q22" s="193">
        <v>0</v>
      </c>
      <c r="R22" s="193">
        <v>0</v>
      </c>
      <c r="S22" s="193">
        <v>0</v>
      </c>
      <c r="T22" s="193">
        <v>2073.7600000000002</v>
      </c>
    </row>
    <row r="23" spans="1:20">
      <c r="A23" s="13">
        <v>19</v>
      </c>
      <c r="B23" s="216" t="s">
        <v>217</v>
      </c>
      <c r="C23" s="217"/>
      <c r="D23" s="190">
        <v>0</v>
      </c>
      <c r="E23" s="190">
        <v>0</v>
      </c>
      <c r="F23" s="191">
        <v>104</v>
      </c>
      <c r="G23" s="192">
        <v>0</v>
      </c>
      <c r="H23" s="192">
        <v>0</v>
      </c>
      <c r="I23" s="11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2073.7600000000002</v>
      </c>
      <c r="P23" s="193">
        <v>0</v>
      </c>
      <c r="Q23" s="193">
        <v>0</v>
      </c>
      <c r="R23" s="193">
        <v>0</v>
      </c>
      <c r="S23" s="193">
        <v>0</v>
      </c>
      <c r="T23" s="193">
        <v>2073.7600000000002</v>
      </c>
    </row>
    <row r="24" spans="1:20">
      <c r="A24" s="13">
        <v>20</v>
      </c>
      <c r="B24" s="216" t="s">
        <v>218</v>
      </c>
      <c r="C24" s="217"/>
      <c r="D24" s="190">
        <v>0</v>
      </c>
      <c r="E24" s="190">
        <v>0</v>
      </c>
      <c r="F24" s="191">
        <v>104</v>
      </c>
      <c r="G24" s="192">
        <v>0</v>
      </c>
      <c r="H24" s="192">
        <v>0</v>
      </c>
      <c r="I24" s="11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2073.7600000000002</v>
      </c>
      <c r="P24" s="193">
        <v>0</v>
      </c>
      <c r="Q24" s="193">
        <v>0</v>
      </c>
      <c r="R24" s="193">
        <v>0</v>
      </c>
      <c r="S24" s="193">
        <v>0</v>
      </c>
      <c r="T24" s="193">
        <v>2073.7600000000002</v>
      </c>
    </row>
    <row r="25" spans="1:20">
      <c r="A25" s="13">
        <v>21</v>
      </c>
      <c r="B25" s="216" t="s">
        <v>219</v>
      </c>
      <c r="C25" s="217"/>
      <c r="D25" s="190">
        <v>0</v>
      </c>
      <c r="E25" s="190">
        <v>0</v>
      </c>
      <c r="F25" s="191">
        <v>104</v>
      </c>
      <c r="G25" s="192">
        <v>0</v>
      </c>
      <c r="H25" s="192">
        <v>0</v>
      </c>
      <c r="I25" s="11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2073.7600000000002</v>
      </c>
      <c r="P25" s="193">
        <v>0</v>
      </c>
      <c r="Q25" s="193">
        <v>0</v>
      </c>
      <c r="R25" s="193">
        <v>0</v>
      </c>
      <c r="S25" s="193">
        <v>0</v>
      </c>
      <c r="T25" s="193">
        <v>2073.7600000000002</v>
      </c>
    </row>
    <row r="26" spans="1:20">
      <c r="A26" s="13">
        <v>22</v>
      </c>
      <c r="B26" s="216" t="s">
        <v>220</v>
      </c>
      <c r="C26" s="217"/>
      <c r="D26" s="190">
        <v>0</v>
      </c>
      <c r="E26" s="190">
        <v>0</v>
      </c>
      <c r="F26" s="191">
        <v>104</v>
      </c>
      <c r="G26" s="192">
        <v>0</v>
      </c>
      <c r="H26" s="192">
        <v>0</v>
      </c>
      <c r="I26" s="11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2073.7600000000002</v>
      </c>
      <c r="P26" s="193">
        <v>0</v>
      </c>
      <c r="Q26" s="193">
        <v>0</v>
      </c>
      <c r="R26" s="193">
        <v>0</v>
      </c>
      <c r="S26" s="193">
        <v>0</v>
      </c>
      <c r="T26" s="193">
        <v>2073.7600000000002</v>
      </c>
    </row>
    <row r="27" spans="1:20">
      <c r="A27" s="13">
        <v>23</v>
      </c>
      <c r="B27" s="216" t="s">
        <v>221</v>
      </c>
      <c r="C27" s="217"/>
      <c r="D27" s="190">
        <v>0</v>
      </c>
      <c r="E27" s="190">
        <v>0</v>
      </c>
      <c r="F27" s="191">
        <v>104</v>
      </c>
      <c r="G27" s="192">
        <v>0</v>
      </c>
      <c r="H27" s="192">
        <v>0</v>
      </c>
      <c r="I27" s="11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2073.7600000000002</v>
      </c>
      <c r="P27" s="193">
        <v>0</v>
      </c>
      <c r="Q27" s="193">
        <v>0</v>
      </c>
      <c r="R27" s="193">
        <v>0</v>
      </c>
      <c r="S27" s="193">
        <v>0</v>
      </c>
      <c r="T27" s="193">
        <v>2073.7600000000002</v>
      </c>
    </row>
    <row r="28" spans="1:20">
      <c r="A28" s="13">
        <v>24</v>
      </c>
      <c r="B28" s="216" t="s">
        <v>222</v>
      </c>
      <c r="C28" s="217"/>
      <c r="D28" s="190">
        <v>0</v>
      </c>
      <c r="E28" s="190">
        <v>0</v>
      </c>
      <c r="F28" s="191">
        <v>104</v>
      </c>
      <c r="G28" s="192">
        <v>0</v>
      </c>
      <c r="H28" s="192">
        <v>0</v>
      </c>
      <c r="I28" s="11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2073.7600000000002</v>
      </c>
      <c r="P28" s="193">
        <v>0</v>
      </c>
      <c r="Q28" s="193">
        <v>0</v>
      </c>
      <c r="R28" s="193">
        <v>0</v>
      </c>
      <c r="S28" s="193">
        <v>0</v>
      </c>
      <c r="T28" s="193">
        <v>2073.7600000000002</v>
      </c>
    </row>
    <row r="29" spans="1:20">
      <c r="A29" s="13">
        <v>25</v>
      </c>
      <c r="B29" s="216" t="s">
        <v>223</v>
      </c>
      <c r="C29" s="217"/>
      <c r="D29" s="190">
        <v>0</v>
      </c>
      <c r="E29" s="190">
        <v>0</v>
      </c>
      <c r="F29" s="191">
        <v>104</v>
      </c>
      <c r="G29" s="192">
        <v>0</v>
      </c>
      <c r="H29" s="192">
        <v>0</v>
      </c>
      <c r="I29" s="11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2073.7600000000002</v>
      </c>
      <c r="P29" s="193">
        <v>0</v>
      </c>
      <c r="Q29" s="193">
        <v>0</v>
      </c>
      <c r="R29" s="193">
        <v>0</v>
      </c>
      <c r="S29" s="193">
        <v>0</v>
      </c>
      <c r="T29" s="193">
        <v>2073.7600000000002</v>
      </c>
    </row>
    <row r="30" spans="1:20">
      <c r="A30" s="13">
        <v>26</v>
      </c>
      <c r="B30" s="216" t="s">
        <v>224</v>
      </c>
      <c r="C30" s="217"/>
      <c r="D30" s="190">
        <v>0</v>
      </c>
      <c r="E30" s="190">
        <v>16</v>
      </c>
      <c r="F30" s="191">
        <v>88</v>
      </c>
      <c r="G30" s="192">
        <v>0</v>
      </c>
      <c r="H30" s="192">
        <v>0</v>
      </c>
      <c r="I30" s="11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2420</v>
      </c>
      <c r="O30" s="193">
        <v>1754.72</v>
      </c>
      <c r="P30" s="193">
        <v>0</v>
      </c>
      <c r="Q30" s="193">
        <v>0</v>
      </c>
      <c r="R30" s="193">
        <v>0</v>
      </c>
      <c r="S30" s="193">
        <v>0</v>
      </c>
      <c r="T30" s="193">
        <v>4174.72</v>
      </c>
    </row>
    <row r="31" spans="1:20">
      <c r="A31" s="13">
        <v>27</v>
      </c>
      <c r="B31" s="216" t="s">
        <v>225</v>
      </c>
      <c r="C31" s="217"/>
      <c r="D31" s="190">
        <v>0</v>
      </c>
      <c r="E31" s="190">
        <v>0</v>
      </c>
      <c r="F31" s="191">
        <v>88</v>
      </c>
      <c r="G31" s="192">
        <v>0</v>
      </c>
      <c r="H31" s="192">
        <v>0</v>
      </c>
      <c r="I31" s="11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1754.72</v>
      </c>
      <c r="P31" s="193">
        <v>0</v>
      </c>
      <c r="Q31" s="193">
        <v>0</v>
      </c>
      <c r="R31" s="193">
        <v>0</v>
      </c>
      <c r="S31" s="193">
        <v>0</v>
      </c>
      <c r="T31" s="193">
        <v>1754.72</v>
      </c>
    </row>
    <row r="32" spans="1:20">
      <c r="A32" s="13">
        <v>28</v>
      </c>
      <c r="B32" s="216" t="s">
        <v>226</v>
      </c>
      <c r="C32" s="217"/>
      <c r="D32" s="190">
        <v>0</v>
      </c>
      <c r="E32" s="190">
        <v>0</v>
      </c>
      <c r="F32" s="191">
        <v>88</v>
      </c>
      <c r="G32" s="192">
        <v>0</v>
      </c>
      <c r="H32" s="192">
        <v>0</v>
      </c>
      <c r="I32" s="11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1754.72</v>
      </c>
      <c r="P32" s="193">
        <v>0</v>
      </c>
      <c r="Q32" s="193">
        <v>0</v>
      </c>
      <c r="R32" s="193">
        <v>0</v>
      </c>
      <c r="S32" s="193">
        <v>0</v>
      </c>
      <c r="T32" s="193">
        <v>1754.72</v>
      </c>
    </row>
    <row r="33" spans="1:20">
      <c r="A33" s="13">
        <v>29</v>
      </c>
      <c r="B33" s="216" t="s">
        <v>227</v>
      </c>
      <c r="C33" s="217"/>
      <c r="D33" s="190">
        <v>0</v>
      </c>
      <c r="E33" s="190">
        <v>0</v>
      </c>
      <c r="F33" s="191">
        <v>88</v>
      </c>
      <c r="G33" s="192">
        <v>0</v>
      </c>
      <c r="H33" s="192">
        <v>0</v>
      </c>
      <c r="I33" s="11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1754.72</v>
      </c>
      <c r="P33" s="193">
        <v>0</v>
      </c>
      <c r="Q33" s="193">
        <v>0</v>
      </c>
      <c r="R33" s="193">
        <v>0</v>
      </c>
      <c r="S33" s="193">
        <v>0</v>
      </c>
      <c r="T33" s="193">
        <v>1754.72</v>
      </c>
    </row>
    <row r="34" spans="1:20">
      <c r="A34" s="13">
        <v>30</v>
      </c>
      <c r="B34" s="216" t="s">
        <v>228</v>
      </c>
      <c r="C34" s="217"/>
      <c r="D34" s="190">
        <v>0</v>
      </c>
      <c r="E34" s="190">
        <v>0</v>
      </c>
      <c r="F34" s="191">
        <v>88</v>
      </c>
      <c r="G34" s="192">
        <v>0</v>
      </c>
      <c r="H34" s="192">
        <v>0</v>
      </c>
      <c r="I34" s="11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1754.72</v>
      </c>
      <c r="P34" s="193">
        <v>0</v>
      </c>
      <c r="Q34" s="193">
        <v>0</v>
      </c>
      <c r="R34" s="193">
        <v>0</v>
      </c>
      <c r="S34" s="193">
        <v>0</v>
      </c>
      <c r="T34" s="193">
        <v>1754.72</v>
      </c>
    </row>
    <row r="35" spans="1:20">
      <c r="A35" s="13">
        <v>31</v>
      </c>
      <c r="B35" s="216" t="s">
        <v>229</v>
      </c>
      <c r="C35" s="217"/>
      <c r="D35" s="190">
        <v>0</v>
      </c>
      <c r="E35" s="190">
        <v>0</v>
      </c>
      <c r="F35" s="191">
        <v>88</v>
      </c>
      <c r="G35" s="192">
        <v>0</v>
      </c>
      <c r="H35" s="192">
        <v>0</v>
      </c>
      <c r="I35" s="11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1754.72</v>
      </c>
      <c r="P35" s="193">
        <v>0</v>
      </c>
      <c r="Q35" s="193">
        <v>0</v>
      </c>
      <c r="R35" s="193">
        <v>0</v>
      </c>
      <c r="S35" s="193">
        <v>0</v>
      </c>
      <c r="T35" s="193">
        <v>1754.72</v>
      </c>
    </row>
    <row r="36" spans="1:20">
      <c r="D36" s="19">
        <v>96</v>
      </c>
      <c r="E36" s="19">
        <v>16</v>
      </c>
      <c r="F36" s="19">
        <v>2296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4">
        <v>0</v>
      </c>
      <c r="M36" s="194">
        <v>14520</v>
      </c>
      <c r="N36" s="194">
        <v>2420</v>
      </c>
      <c r="O36" s="194">
        <v>45782.239999999998</v>
      </c>
      <c r="P36" s="194">
        <v>0</v>
      </c>
      <c r="Q36" s="194">
        <v>0</v>
      </c>
      <c r="R36" s="194">
        <v>0</v>
      </c>
      <c r="S36" s="194">
        <v>0</v>
      </c>
      <c r="T36" s="194">
        <v>62722.239999999998</v>
      </c>
    </row>
    <row r="37" spans="1:20">
      <c r="R37" s="21"/>
      <c r="S37" s="21"/>
      <c r="T37" s="195">
        <v>76521.13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A50D-0FC4-4623-BC01-2DBB7058A608}">
  <sheetPr codeName="Лист24">
    <pageSetUpPr fitToPage="1"/>
  </sheetPr>
  <dimension ref="A1:T37"/>
  <sheetViews>
    <sheetView topLeftCell="D1" workbookViewId="0">
      <selection activeCell="G36" sqref="G36:K36"/>
    </sheetView>
  </sheetViews>
  <sheetFormatPr defaultRowHeight="15"/>
  <cols>
    <col min="1" max="6" width="8.796875" style="2"/>
    <col min="7" max="8" width="7.3984375" style="2" bestFit="1" customWidth="1"/>
    <col min="9" max="9" width="7.296875" style="2" bestFit="1" customWidth="1"/>
    <col min="10" max="11" width="6.296875" style="2" bestFit="1" customWidth="1"/>
    <col min="12" max="12" width="6.5976562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8" t="s">
        <v>230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146</v>
      </c>
      <c r="E3" s="209" t="s">
        <v>147</v>
      </c>
      <c r="F3" s="4" t="s">
        <v>4</v>
      </c>
      <c r="G3" s="209" t="s">
        <v>231</v>
      </c>
      <c r="H3" s="209" t="s">
        <v>196</v>
      </c>
      <c r="I3" s="209" t="s">
        <v>7</v>
      </c>
      <c r="J3" s="209" t="s">
        <v>8</v>
      </c>
      <c r="K3" s="209" t="s">
        <v>197</v>
      </c>
      <c r="L3" s="209" t="s">
        <v>198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 ht="30">
      <c r="A4" s="210"/>
      <c r="B4" s="213"/>
      <c r="C4" s="214"/>
      <c r="D4" s="210"/>
      <c r="E4" s="210"/>
      <c r="F4" s="5" t="s">
        <v>156</v>
      </c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196">
        <v>0</v>
      </c>
      <c r="E5" s="196">
        <v>0</v>
      </c>
      <c r="F5" s="197">
        <v>3159</v>
      </c>
      <c r="G5" s="192">
        <f>IF(5032-F5&lt;0,0,5032-F5)</f>
        <v>1873</v>
      </c>
      <c r="H5" s="192">
        <v>625</v>
      </c>
      <c r="I5" s="11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f>F5*19.94</f>
        <v>62990.460000000006</v>
      </c>
      <c r="P5" s="193">
        <f>G5*19.94</f>
        <v>37347.620000000003</v>
      </c>
      <c r="Q5" s="193">
        <v>94531.25</v>
      </c>
      <c r="R5" s="193">
        <v>0</v>
      </c>
      <c r="S5" s="193">
        <v>0</v>
      </c>
      <c r="T5" s="193">
        <f>SUM(L5:S5)</f>
        <v>194869.33000000002</v>
      </c>
    </row>
    <row r="6" spans="1:20">
      <c r="A6" s="13">
        <v>2</v>
      </c>
      <c r="B6" s="216" t="s">
        <v>200</v>
      </c>
      <c r="C6" s="217"/>
      <c r="D6" s="196">
        <v>31</v>
      </c>
      <c r="E6" s="196">
        <v>0</v>
      </c>
      <c r="F6" s="197">
        <v>3190</v>
      </c>
      <c r="G6" s="192">
        <f t="shared" ref="G6:G35" si="0">IF(5032-F6&lt;0,0,5032-F6)</f>
        <v>1842</v>
      </c>
      <c r="H6" s="192">
        <v>594</v>
      </c>
      <c r="I6" s="11">
        <v>0</v>
      </c>
      <c r="J6" s="11">
        <v>0</v>
      </c>
      <c r="K6" s="11">
        <v>0</v>
      </c>
      <c r="L6" s="193">
        <v>0</v>
      </c>
      <c r="M6" s="193">
        <v>4688.75</v>
      </c>
      <c r="N6" s="193">
        <v>0</v>
      </c>
      <c r="O6" s="193">
        <f t="shared" ref="O6:P35" si="1">F6*19.94</f>
        <v>63608.600000000006</v>
      </c>
      <c r="P6" s="193">
        <f t="shared" si="1"/>
        <v>36729.480000000003</v>
      </c>
      <c r="Q6" s="193">
        <v>89842.5</v>
      </c>
      <c r="R6" s="193">
        <v>0</v>
      </c>
      <c r="S6" s="193">
        <v>0</v>
      </c>
      <c r="T6" s="193">
        <f t="shared" ref="T6:T35" si="2">SUM(L6:S6)</f>
        <v>194869.33000000002</v>
      </c>
    </row>
    <row r="7" spans="1:20">
      <c r="A7" s="13">
        <v>3</v>
      </c>
      <c r="B7" s="216" t="s">
        <v>201</v>
      </c>
      <c r="C7" s="217"/>
      <c r="D7" s="196">
        <v>218</v>
      </c>
      <c r="E7" s="196">
        <v>0</v>
      </c>
      <c r="F7" s="197">
        <v>3408</v>
      </c>
      <c r="G7" s="192">
        <f t="shared" si="0"/>
        <v>1624</v>
      </c>
      <c r="H7" s="192">
        <v>407</v>
      </c>
      <c r="I7" s="11">
        <v>0</v>
      </c>
      <c r="J7" s="11">
        <v>0</v>
      </c>
      <c r="K7" s="11">
        <v>0</v>
      </c>
      <c r="L7" s="193">
        <v>0</v>
      </c>
      <c r="M7" s="193">
        <v>32972.5</v>
      </c>
      <c r="N7" s="193">
        <v>0</v>
      </c>
      <c r="O7" s="193">
        <f t="shared" si="1"/>
        <v>67955.520000000004</v>
      </c>
      <c r="P7" s="193">
        <f t="shared" si="1"/>
        <v>32382.560000000001</v>
      </c>
      <c r="Q7" s="193">
        <v>61558.75</v>
      </c>
      <c r="R7" s="193">
        <v>0</v>
      </c>
      <c r="S7" s="193">
        <v>0</v>
      </c>
      <c r="T7" s="193">
        <f t="shared" si="2"/>
        <v>194869.33000000002</v>
      </c>
    </row>
    <row r="8" spans="1:20">
      <c r="A8" s="13">
        <v>4</v>
      </c>
      <c r="B8" s="216" t="s">
        <v>202</v>
      </c>
      <c r="C8" s="217"/>
      <c r="D8" s="196">
        <v>131</v>
      </c>
      <c r="E8" s="196">
        <v>0</v>
      </c>
      <c r="F8" s="197">
        <v>3539</v>
      </c>
      <c r="G8" s="192">
        <f t="shared" si="0"/>
        <v>1493</v>
      </c>
      <c r="H8" s="192">
        <v>494</v>
      </c>
      <c r="I8" s="11">
        <v>0</v>
      </c>
      <c r="J8" s="11">
        <v>0</v>
      </c>
      <c r="K8" s="11">
        <v>0</v>
      </c>
      <c r="L8" s="193">
        <v>0</v>
      </c>
      <c r="M8" s="193">
        <v>19813.75</v>
      </c>
      <c r="N8" s="193">
        <v>0</v>
      </c>
      <c r="O8" s="193">
        <f t="shared" si="1"/>
        <v>70567.66</v>
      </c>
      <c r="P8" s="193">
        <f t="shared" si="1"/>
        <v>29770.420000000002</v>
      </c>
      <c r="Q8" s="193">
        <v>74717.5</v>
      </c>
      <c r="R8" s="193">
        <v>0</v>
      </c>
      <c r="S8" s="193">
        <v>0</v>
      </c>
      <c r="T8" s="193">
        <f t="shared" si="2"/>
        <v>194869.33000000002</v>
      </c>
    </row>
    <row r="9" spans="1:20">
      <c r="A9" s="13">
        <v>5</v>
      </c>
      <c r="B9" s="216" t="s">
        <v>203</v>
      </c>
      <c r="C9" s="217"/>
      <c r="D9" s="196">
        <v>180</v>
      </c>
      <c r="E9" s="196">
        <v>0</v>
      </c>
      <c r="F9" s="197">
        <v>3719</v>
      </c>
      <c r="G9" s="192">
        <f t="shared" si="0"/>
        <v>1313</v>
      </c>
      <c r="H9" s="192">
        <v>445</v>
      </c>
      <c r="I9" s="11">
        <v>0</v>
      </c>
      <c r="J9" s="11">
        <v>0</v>
      </c>
      <c r="K9" s="11">
        <v>0</v>
      </c>
      <c r="L9" s="193">
        <v>0</v>
      </c>
      <c r="M9" s="193">
        <v>27225</v>
      </c>
      <c r="N9" s="193">
        <v>0</v>
      </c>
      <c r="O9" s="193">
        <f t="shared" si="1"/>
        <v>74156.86</v>
      </c>
      <c r="P9" s="193">
        <f t="shared" si="1"/>
        <v>26181.22</v>
      </c>
      <c r="Q9" s="193">
        <v>67306.25</v>
      </c>
      <c r="R9" s="193">
        <v>0</v>
      </c>
      <c r="S9" s="193">
        <v>0</v>
      </c>
      <c r="T9" s="193">
        <f t="shared" si="2"/>
        <v>194869.33000000002</v>
      </c>
    </row>
    <row r="10" spans="1:20">
      <c r="A10" s="13">
        <v>6</v>
      </c>
      <c r="B10" s="216" t="s">
        <v>204</v>
      </c>
      <c r="C10" s="217"/>
      <c r="D10" s="196">
        <v>193</v>
      </c>
      <c r="E10" s="196">
        <v>16</v>
      </c>
      <c r="F10" s="197">
        <v>3896</v>
      </c>
      <c r="G10" s="192">
        <f t="shared" si="0"/>
        <v>1136</v>
      </c>
      <c r="H10" s="192">
        <v>416</v>
      </c>
      <c r="I10" s="11">
        <v>0</v>
      </c>
      <c r="J10" s="11">
        <v>0</v>
      </c>
      <c r="K10" s="11">
        <v>0</v>
      </c>
      <c r="L10" s="193">
        <v>0</v>
      </c>
      <c r="M10" s="193">
        <v>29191.25</v>
      </c>
      <c r="N10" s="193">
        <v>2420</v>
      </c>
      <c r="O10" s="193">
        <f t="shared" si="1"/>
        <v>77686.240000000005</v>
      </c>
      <c r="P10" s="193">
        <f t="shared" si="1"/>
        <v>22651.84</v>
      </c>
      <c r="Q10" s="193">
        <v>62920</v>
      </c>
      <c r="R10" s="193">
        <v>0</v>
      </c>
      <c r="S10" s="193">
        <v>0</v>
      </c>
      <c r="T10" s="193">
        <f t="shared" si="2"/>
        <v>194869.33000000002</v>
      </c>
    </row>
    <row r="11" spans="1:20">
      <c r="A11" s="13">
        <v>7</v>
      </c>
      <c r="B11" s="216" t="s">
        <v>205</v>
      </c>
      <c r="C11" s="217"/>
      <c r="D11" s="196">
        <v>286</v>
      </c>
      <c r="E11" s="196">
        <v>48</v>
      </c>
      <c r="F11" s="197">
        <v>4134</v>
      </c>
      <c r="G11" s="192">
        <f t="shared" si="0"/>
        <v>898</v>
      </c>
      <c r="H11" s="192">
        <v>291</v>
      </c>
      <c r="I11" s="11">
        <v>0</v>
      </c>
      <c r="J11" s="11">
        <v>0</v>
      </c>
      <c r="K11" s="11">
        <v>0</v>
      </c>
      <c r="L11" s="193">
        <v>0</v>
      </c>
      <c r="M11" s="193">
        <v>43257.5</v>
      </c>
      <c r="N11" s="193">
        <v>7260</v>
      </c>
      <c r="O11" s="193">
        <f t="shared" si="1"/>
        <v>82431.960000000006</v>
      </c>
      <c r="P11" s="193">
        <f t="shared" si="1"/>
        <v>17906.120000000003</v>
      </c>
      <c r="Q11" s="193">
        <v>44013.75</v>
      </c>
      <c r="R11" s="193">
        <v>0</v>
      </c>
      <c r="S11" s="193">
        <v>0</v>
      </c>
      <c r="T11" s="193">
        <f t="shared" si="2"/>
        <v>194869.33000000002</v>
      </c>
    </row>
    <row r="12" spans="1:20">
      <c r="A12" s="13">
        <v>8</v>
      </c>
      <c r="B12" s="216" t="s">
        <v>206</v>
      </c>
      <c r="C12" s="217"/>
      <c r="D12" s="196">
        <v>367</v>
      </c>
      <c r="E12" s="196">
        <v>0</v>
      </c>
      <c r="F12" s="197">
        <v>4501</v>
      </c>
      <c r="G12" s="192">
        <f t="shared" si="0"/>
        <v>531</v>
      </c>
      <c r="H12" s="192">
        <v>258</v>
      </c>
      <c r="I12" s="11">
        <v>0</v>
      </c>
      <c r="J12" s="11">
        <v>0</v>
      </c>
      <c r="K12" s="11">
        <v>0</v>
      </c>
      <c r="L12" s="193">
        <v>0</v>
      </c>
      <c r="M12" s="193">
        <v>55508.75</v>
      </c>
      <c r="N12" s="193">
        <v>0</v>
      </c>
      <c r="O12" s="193">
        <f t="shared" si="1"/>
        <v>89749.94</v>
      </c>
      <c r="P12" s="193">
        <f t="shared" si="1"/>
        <v>10588.140000000001</v>
      </c>
      <c r="Q12" s="193">
        <v>39022.5</v>
      </c>
      <c r="R12" s="193">
        <v>0</v>
      </c>
      <c r="S12" s="193">
        <v>0</v>
      </c>
      <c r="T12" s="193">
        <f t="shared" si="2"/>
        <v>194869.33000000002</v>
      </c>
    </row>
    <row r="13" spans="1:20">
      <c r="A13" s="13">
        <v>9</v>
      </c>
      <c r="B13" s="216" t="s">
        <v>207</v>
      </c>
      <c r="C13" s="217"/>
      <c r="D13" s="196">
        <v>244</v>
      </c>
      <c r="E13" s="196">
        <v>0</v>
      </c>
      <c r="F13" s="197">
        <v>4745</v>
      </c>
      <c r="G13" s="192">
        <f t="shared" si="0"/>
        <v>287</v>
      </c>
      <c r="H13" s="192">
        <v>381</v>
      </c>
      <c r="I13" s="11">
        <v>0</v>
      </c>
      <c r="J13" s="11">
        <v>0</v>
      </c>
      <c r="K13" s="11">
        <v>0</v>
      </c>
      <c r="L13" s="193">
        <v>0</v>
      </c>
      <c r="M13" s="193">
        <v>36905</v>
      </c>
      <c r="N13" s="193">
        <v>0</v>
      </c>
      <c r="O13" s="193">
        <f t="shared" si="1"/>
        <v>94615.3</v>
      </c>
      <c r="P13" s="193">
        <f t="shared" si="1"/>
        <v>5722.7800000000007</v>
      </c>
      <c r="Q13" s="193">
        <v>57626.25</v>
      </c>
      <c r="R13" s="193">
        <v>0</v>
      </c>
      <c r="S13" s="193">
        <v>0</v>
      </c>
      <c r="T13" s="193">
        <f t="shared" si="2"/>
        <v>194869.33</v>
      </c>
    </row>
    <row r="14" spans="1:20">
      <c r="A14" s="13">
        <v>10</v>
      </c>
      <c r="B14" s="216" t="s">
        <v>208</v>
      </c>
      <c r="C14" s="217"/>
      <c r="D14" s="196">
        <v>255</v>
      </c>
      <c r="E14" s="196">
        <v>0</v>
      </c>
      <c r="F14" s="197">
        <v>5000</v>
      </c>
      <c r="G14" s="192">
        <f t="shared" si="0"/>
        <v>32</v>
      </c>
      <c r="H14" s="192">
        <v>370</v>
      </c>
      <c r="I14" s="11">
        <v>0</v>
      </c>
      <c r="J14" s="11">
        <v>0</v>
      </c>
      <c r="K14" s="11">
        <v>0</v>
      </c>
      <c r="L14" s="193">
        <v>0</v>
      </c>
      <c r="M14" s="193">
        <v>38568.75</v>
      </c>
      <c r="N14" s="193">
        <v>0</v>
      </c>
      <c r="O14" s="193">
        <f t="shared" si="1"/>
        <v>99700</v>
      </c>
      <c r="P14" s="193">
        <f t="shared" si="1"/>
        <v>638.08000000000004</v>
      </c>
      <c r="Q14" s="193">
        <v>55962.5</v>
      </c>
      <c r="R14" s="193">
        <v>0</v>
      </c>
      <c r="S14" s="193">
        <v>0</v>
      </c>
      <c r="T14" s="193">
        <f t="shared" si="2"/>
        <v>194869.33</v>
      </c>
    </row>
    <row r="15" spans="1:20">
      <c r="A15" s="13">
        <v>11</v>
      </c>
      <c r="B15" s="216" t="s">
        <v>209</v>
      </c>
      <c r="C15" s="217"/>
      <c r="D15" s="196">
        <v>158</v>
      </c>
      <c r="E15" s="196">
        <v>32</v>
      </c>
      <c r="F15" s="197">
        <v>5126</v>
      </c>
      <c r="G15" s="192">
        <f t="shared" si="0"/>
        <v>0</v>
      </c>
      <c r="H15" s="192">
        <v>435</v>
      </c>
      <c r="I15" s="11">
        <v>0</v>
      </c>
      <c r="J15" s="11">
        <v>0</v>
      </c>
      <c r="K15" s="11">
        <v>0</v>
      </c>
      <c r="L15" s="193">
        <v>0</v>
      </c>
      <c r="M15" s="193">
        <v>23897.5</v>
      </c>
      <c r="N15" s="193">
        <v>4840</v>
      </c>
      <c r="O15" s="193">
        <f t="shared" si="1"/>
        <v>102212.44</v>
      </c>
      <c r="P15" s="193">
        <f t="shared" si="1"/>
        <v>0</v>
      </c>
      <c r="Q15" s="193">
        <v>65793.75</v>
      </c>
      <c r="R15" s="193">
        <v>0</v>
      </c>
      <c r="S15" s="193">
        <v>0</v>
      </c>
      <c r="T15" s="193">
        <f t="shared" si="2"/>
        <v>196743.69</v>
      </c>
    </row>
    <row r="16" spans="1:20">
      <c r="A16" s="13">
        <v>12</v>
      </c>
      <c r="B16" s="216" t="s">
        <v>210</v>
      </c>
      <c r="C16" s="217"/>
      <c r="D16" s="196">
        <v>109</v>
      </c>
      <c r="E16" s="196">
        <v>46</v>
      </c>
      <c r="F16" s="197">
        <v>5189</v>
      </c>
      <c r="G16" s="192">
        <f t="shared" si="0"/>
        <v>0</v>
      </c>
      <c r="H16" s="192">
        <v>470</v>
      </c>
      <c r="I16" s="11">
        <v>0</v>
      </c>
      <c r="J16" s="11">
        <v>0</v>
      </c>
      <c r="K16" s="11">
        <v>0</v>
      </c>
      <c r="L16" s="193">
        <v>0</v>
      </c>
      <c r="M16" s="193">
        <v>16486.25</v>
      </c>
      <c r="N16" s="193">
        <v>6957.5</v>
      </c>
      <c r="O16" s="193">
        <f t="shared" si="1"/>
        <v>103468.66</v>
      </c>
      <c r="P16" s="193">
        <f t="shared" si="1"/>
        <v>0</v>
      </c>
      <c r="Q16" s="193">
        <v>71087.5</v>
      </c>
      <c r="R16" s="193">
        <v>0</v>
      </c>
      <c r="S16" s="193">
        <v>0</v>
      </c>
      <c r="T16" s="193">
        <f t="shared" si="2"/>
        <v>197999.91</v>
      </c>
    </row>
    <row r="17" spans="1:20">
      <c r="A17" s="13">
        <v>13</v>
      </c>
      <c r="B17" s="216" t="s">
        <v>211</v>
      </c>
      <c r="C17" s="217"/>
      <c r="D17" s="196">
        <v>158</v>
      </c>
      <c r="E17" s="196">
        <v>73</v>
      </c>
      <c r="F17" s="197">
        <v>5274</v>
      </c>
      <c r="G17" s="192">
        <f t="shared" si="0"/>
        <v>0</v>
      </c>
      <c r="H17" s="192">
        <v>394</v>
      </c>
      <c r="I17" s="11">
        <v>0</v>
      </c>
      <c r="J17" s="11">
        <v>0</v>
      </c>
      <c r="K17" s="11">
        <v>0</v>
      </c>
      <c r="L17" s="193">
        <v>0</v>
      </c>
      <c r="M17" s="193">
        <v>23897.5</v>
      </c>
      <c r="N17" s="193">
        <v>11041.25</v>
      </c>
      <c r="O17" s="193">
        <f t="shared" si="1"/>
        <v>105163.56000000001</v>
      </c>
      <c r="P17" s="193">
        <f t="shared" si="1"/>
        <v>0</v>
      </c>
      <c r="Q17" s="193">
        <v>59592.5</v>
      </c>
      <c r="R17" s="193">
        <v>0</v>
      </c>
      <c r="S17" s="193">
        <v>0</v>
      </c>
      <c r="T17" s="193">
        <f t="shared" si="2"/>
        <v>199694.81</v>
      </c>
    </row>
    <row r="18" spans="1:20">
      <c r="A18" s="13">
        <v>14</v>
      </c>
      <c r="B18" s="216" t="s">
        <v>212</v>
      </c>
      <c r="C18" s="217"/>
      <c r="D18" s="196">
        <v>111</v>
      </c>
      <c r="E18" s="196">
        <v>58</v>
      </c>
      <c r="F18" s="197">
        <v>5327</v>
      </c>
      <c r="G18" s="192">
        <f t="shared" si="0"/>
        <v>0</v>
      </c>
      <c r="H18" s="192">
        <v>456</v>
      </c>
      <c r="I18" s="11">
        <v>0</v>
      </c>
      <c r="J18" s="11">
        <v>0</v>
      </c>
      <c r="K18" s="11">
        <v>0</v>
      </c>
      <c r="L18" s="193">
        <v>0</v>
      </c>
      <c r="M18" s="193">
        <v>16788.75</v>
      </c>
      <c r="N18" s="193">
        <v>8772.5</v>
      </c>
      <c r="O18" s="193">
        <f t="shared" si="1"/>
        <v>106220.38</v>
      </c>
      <c r="P18" s="193">
        <f t="shared" si="1"/>
        <v>0</v>
      </c>
      <c r="Q18" s="193">
        <v>68970</v>
      </c>
      <c r="R18" s="193">
        <v>0</v>
      </c>
      <c r="S18" s="193">
        <v>0</v>
      </c>
      <c r="T18" s="193">
        <f t="shared" si="2"/>
        <v>200751.63</v>
      </c>
    </row>
    <row r="19" spans="1:20">
      <c r="A19" s="13">
        <v>15</v>
      </c>
      <c r="B19" s="216" t="s">
        <v>213</v>
      </c>
      <c r="C19" s="217"/>
      <c r="D19" s="196">
        <v>190</v>
      </c>
      <c r="E19" s="196">
        <v>133</v>
      </c>
      <c r="F19" s="197">
        <v>5384</v>
      </c>
      <c r="G19" s="192">
        <f t="shared" si="0"/>
        <v>0</v>
      </c>
      <c r="H19" s="192">
        <v>302</v>
      </c>
      <c r="I19" s="11">
        <v>0</v>
      </c>
      <c r="J19" s="11">
        <v>0</v>
      </c>
      <c r="K19" s="11">
        <v>0</v>
      </c>
      <c r="L19" s="193">
        <v>0</v>
      </c>
      <c r="M19" s="193">
        <v>28737.5</v>
      </c>
      <c r="N19" s="193">
        <v>20116.25</v>
      </c>
      <c r="O19" s="193">
        <f t="shared" si="1"/>
        <v>107356.96</v>
      </c>
      <c r="P19" s="193">
        <f t="shared" si="1"/>
        <v>0</v>
      </c>
      <c r="Q19" s="193">
        <v>45677.5</v>
      </c>
      <c r="R19" s="193">
        <v>0</v>
      </c>
      <c r="S19" s="193">
        <v>0</v>
      </c>
      <c r="T19" s="193">
        <f t="shared" si="2"/>
        <v>201888.21000000002</v>
      </c>
    </row>
    <row r="20" spans="1:20">
      <c r="A20" s="13">
        <v>16</v>
      </c>
      <c r="B20" s="216" t="s">
        <v>214</v>
      </c>
      <c r="C20" s="217"/>
      <c r="D20" s="196">
        <v>221</v>
      </c>
      <c r="E20" s="196">
        <v>80</v>
      </c>
      <c r="F20" s="197">
        <v>5525</v>
      </c>
      <c r="G20" s="192">
        <f t="shared" si="0"/>
        <v>0</v>
      </c>
      <c r="H20" s="192">
        <v>324</v>
      </c>
      <c r="I20" s="11">
        <v>0</v>
      </c>
      <c r="J20" s="11">
        <v>0</v>
      </c>
      <c r="K20" s="11">
        <v>0</v>
      </c>
      <c r="L20" s="193">
        <v>0</v>
      </c>
      <c r="M20" s="193">
        <v>33426.25</v>
      </c>
      <c r="N20" s="193">
        <v>12100</v>
      </c>
      <c r="O20" s="193">
        <f t="shared" si="1"/>
        <v>110168.5</v>
      </c>
      <c r="P20" s="193">
        <f t="shared" si="1"/>
        <v>0</v>
      </c>
      <c r="Q20" s="193">
        <v>49005</v>
      </c>
      <c r="R20" s="193">
        <v>0</v>
      </c>
      <c r="S20" s="193">
        <v>0</v>
      </c>
      <c r="T20" s="193">
        <f t="shared" si="2"/>
        <v>204699.75</v>
      </c>
    </row>
    <row r="21" spans="1:20">
      <c r="A21" s="13">
        <v>17</v>
      </c>
      <c r="B21" s="216" t="s">
        <v>215</v>
      </c>
      <c r="C21" s="217"/>
      <c r="D21" s="196">
        <v>191</v>
      </c>
      <c r="E21" s="196">
        <v>54</v>
      </c>
      <c r="F21" s="197">
        <v>5662</v>
      </c>
      <c r="G21" s="192">
        <f t="shared" si="0"/>
        <v>0</v>
      </c>
      <c r="H21" s="192">
        <v>380</v>
      </c>
      <c r="I21" s="11">
        <v>0</v>
      </c>
      <c r="J21" s="11">
        <v>0</v>
      </c>
      <c r="K21" s="11">
        <v>0</v>
      </c>
      <c r="L21" s="193">
        <v>0</v>
      </c>
      <c r="M21" s="193">
        <v>28888.75</v>
      </c>
      <c r="N21" s="193">
        <v>8167.5</v>
      </c>
      <c r="O21" s="193">
        <f t="shared" si="1"/>
        <v>112900.28000000001</v>
      </c>
      <c r="P21" s="193">
        <f t="shared" si="1"/>
        <v>0</v>
      </c>
      <c r="Q21" s="193">
        <v>57475</v>
      </c>
      <c r="R21" s="193">
        <v>0</v>
      </c>
      <c r="S21" s="193">
        <v>0</v>
      </c>
      <c r="T21" s="193">
        <f t="shared" si="2"/>
        <v>207431.53000000003</v>
      </c>
    </row>
    <row r="22" spans="1:20">
      <c r="A22" s="13">
        <v>18</v>
      </c>
      <c r="B22" s="216" t="s">
        <v>216</v>
      </c>
      <c r="C22" s="217"/>
      <c r="D22" s="196">
        <v>192</v>
      </c>
      <c r="E22" s="196">
        <v>19</v>
      </c>
      <c r="F22" s="197">
        <v>5835</v>
      </c>
      <c r="G22" s="192">
        <f t="shared" si="0"/>
        <v>0</v>
      </c>
      <c r="H22" s="192">
        <v>414</v>
      </c>
      <c r="I22" s="11">
        <v>0</v>
      </c>
      <c r="J22" s="11">
        <v>0</v>
      </c>
      <c r="K22" s="11">
        <v>0</v>
      </c>
      <c r="L22" s="193">
        <v>0</v>
      </c>
      <c r="M22" s="193">
        <v>29040</v>
      </c>
      <c r="N22" s="193">
        <v>2873.75</v>
      </c>
      <c r="O22" s="193">
        <f t="shared" si="1"/>
        <v>116349.90000000001</v>
      </c>
      <c r="P22" s="193">
        <f t="shared" si="1"/>
        <v>0</v>
      </c>
      <c r="Q22" s="193">
        <v>62617.5</v>
      </c>
      <c r="R22" s="193">
        <v>0</v>
      </c>
      <c r="S22" s="193">
        <v>0</v>
      </c>
      <c r="T22" s="193">
        <f t="shared" si="2"/>
        <v>210881.15000000002</v>
      </c>
    </row>
    <row r="23" spans="1:20">
      <c r="A23" s="13">
        <v>19</v>
      </c>
      <c r="B23" s="216" t="s">
        <v>217</v>
      </c>
      <c r="C23" s="217"/>
      <c r="D23" s="196">
        <v>118</v>
      </c>
      <c r="E23" s="196">
        <v>136</v>
      </c>
      <c r="F23" s="197">
        <v>5817</v>
      </c>
      <c r="G23" s="192">
        <f t="shared" si="0"/>
        <v>0</v>
      </c>
      <c r="H23" s="192">
        <v>371</v>
      </c>
      <c r="I23" s="11">
        <v>0</v>
      </c>
      <c r="J23" s="11">
        <v>0</v>
      </c>
      <c r="K23" s="11">
        <v>0</v>
      </c>
      <c r="L23" s="193">
        <v>0</v>
      </c>
      <c r="M23" s="193">
        <v>17847.5</v>
      </c>
      <c r="N23" s="193">
        <v>20570</v>
      </c>
      <c r="O23" s="193">
        <f t="shared" si="1"/>
        <v>115990.98000000001</v>
      </c>
      <c r="P23" s="193">
        <f t="shared" si="1"/>
        <v>0</v>
      </c>
      <c r="Q23" s="193">
        <v>56113.75</v>
      </c>
      <c r="R23" s="193">
        <v>0</v>
      </c>
      <c r="S23" s="193">
        <v>0</v>
      </c>
      <c r="T23" s="193">
        <f t="shared" si="2"/>
        <v>210522.23</v>
      </c>
    </row>
    <row r="24" spans="1:20">
      <c r="A24" s="13">
        <v>20</v>
      </c>
      <c r="B24" s="216" t="s">
        <v>218</v>
      </c>
      <c r="C24" s="217"/>
      <c r="D24" s="196">
        <v>16</v>
      </c>
      <c r="E24" s="196">
        <v>156</v>
      </c>
      <c r="F24" s="197">
        <v>5677</v>
      </c>
      <c r="G24" s="192">
        <f t="shared" si="0"/>
        <v>0</v>
      </c>
      <c r="H24" s="192">
        <v>453</v>
      </c>
      <c r="I24" s="11">
        <v>0</v>
      </c>
      <c r="J24" s="11">
        <v>0</v>
      </c>
      <c r="K24" s="11">
        <v>0</v>
      </c>
      <c r="L24" s="193">
        <v>0</v>
      </c>
      <c r="M24" s="193">
        <v>2420</v>
      </c>
      <c r="N24" s="193">
        <v>23595</v>
      </c>
      <c r="O24" s="193">
        <f t="shared" si="1"/>
        <v>113199.38</v>
      </c>
      <c r="P24" s="193">
        <f t="shared" si="1"/>
        <v>0</v>
      </c>
      <c r="Q24" s="193">
        <v>68516.25</v>
      </c>
      <c r="R24" s="193">
        <v>0</v>
      </c>
      <c r="S24" s="193">
        <v>0</v>
      </c>
      <c r="T24" s="193">
        <f t="shared" si="2"/>
        <v>207730.63</v>
      </c>
    </row>
    <row r="25" spans="1:20">
      <c r="A25" s="13">
        <v>21</v>
      </c>
      <c r="B25" s="216" t="s">
        <v>219</v>
      </c>
      <c r="C25" s="217"/>
      <c r="D25" s="196">
        <v>0</v>
      </c>
      <c r="E25" s="196">
        <v>120</v>
      </c>
      <c r="F25" s="197">
        <v>5557</v>
      </c>
      <c r="G25" s="192">
        <f t="shared" si="0"/>
        <v>0</v>
      </c>
      <c r="H25" s="192">
        <v>505</v>
      </c>
      <c r="I25" s="11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18150</v>
      </c>
      <c r="O25" s="193">
        <f t="shared" si="1"/>
        <v>110806.58</v>
      </c>
      <c r="P25" s="193">
        <f t="shared" si="1"/>
        <v>0</v>
      </c>
      <c r="Q25" s="193">
        <v>76381.25</v>
      </c>
      <c r="R25" s="193">
        <v>0</v>
      </c>
      <c r="S25" s="193">
        <v>0</v>
      </c>
      <c r="T25" s="193">
        <f t="shared" si="2"/>
        <v>205337.83000000002</v>
      </c>
    </row>
    <row r="26" spans="1:20">
      <c r="A26" s="13">
        <v>22</v>
      </c>
      <c r="B26" s="216" t="s">
        <v>220</v>
      </c>
      <c r="C26" s="217"/>
      <c r="D26" s="196">
        <v>63</v>
      </c>
      <c r="E26" s="196">
        <v>158</v>
      </c>
      <c r="F26" s="197">
        <v>5462</v>
      </c>
      <c r="G26" s="192">
        <f t="shared" si="0"/>
        <v>0</v>
      </c>
      <c r="H26" s="192">
        <v>404</v>
      </c>
      <c r="I26" s="11">
        <v>0</v>
      </c>
      <c r="J26" s="11">
        <v>0</v>
      </c>
      <c r="K26" s="11">
        <v>0</v>
      </c>
      <c r="L26" s="193">
        <v>0</v>
      </c>
      <c r="M26" s="193">
        <v>9528.75</v>
      </c>
      <c r="N26" s="193">
        <v>23897.5</v>
      </c>
      <c r="O26" s="193">
        <f t="shared" si="1"/>
        <v>108912.28000000001</v>
      </c>
      <c r="P26" s="193">
        <f t="shared" si="1"/>
        <v>0</v>
      </c>
      <c r="Q26" s="193">
        <v>61105</v>
      </c>
      <c r="R26" s="193">
        <v>0</v>
      </c>
      <c r="S26" s="193">
        <v>0</v>
      </c>
      <c r="T26" s="193">
        <f t="shared" si="2"/>
        <v>203443.53000000003</v>
      </c>
    </row>
    <row r="27" spans="1:20">
      <c r="A27" s="13">
        <v>23</v>
      </c>
      <c r="B27" s="216" t="s">
        <v>221</v>
      </c>
      <c r="C27" s="217"/>
      <c r="D27" s="196">
        <v>64</v>
      </c>
      <c r="E27" s="196">
        <v>103</v>
      </c>
      <c r="F27" s="197">
        <v>5423</v>
      </c>
      <c r="G27" s="192">
        <f t="shared" si="0"/>
        <v>0</v>
      </c>
      <c r="H27" s="192">
        <v>458</v>
      </c>
      <c r="I27" s="11">
        <v>0</v>
      </c>
      <c r="J27" s="11">
        <v>0</v>
      </c>
      <c r="K27" s="11">
        <v>0</v>
      </c>
      <c r="L27" s="193">
        <v>0</v>
      </c>
      <c r="M27" s="193">
        <v>9680</v>
      </c>
      <c r="N27" s="193">
        <v>15578.75</v>
      </c>
      <c r="O27" s="193">
        <f t="shared" si="1"/>
        <v>108134.62000000001</v>
      </c>
      <c r="P27" s="193">
        <f t="shared" si="1"/>
        <v>0</v>
      </c>
      <c r="Q27" s="193">
        <v>69272.5</v>
      </c>
      <c r="R27" s="193">
        <v>0</v>
      </c>
      <c r="S27" s="193">
        <v>0</v>
      </c>
      <c r="T27" s="193">
        <f t="shared" si="2"/>
        <v>202665.87</v>
      </c>
    </row>
    <row r="28" spans="1:20">
      <c r="A28" s="13">
        <v>24</v>
      </c>
      <c r="B28" s="216" t="s">
        <v>222</v>
      </c>
      <c r="C28" s="217"/>
      <c r="D28" s="196">
        <v>48</v>
      </c>
      <c r="E28" s="196">
        <v>84</v>
      </c>
      <c r="F28" s="197">
        <v>5387</v>
      </c>
      <c r="G28" s="192">
        <f t="shared" si="0"/>
        <v>0</v>
      </c>
      <c r="H28" s="192">
        <v>493</v>
      </c>
      <c r="I28" s="11">
        <v>0</v>
      </c>
      <c r="J28" s="11">
        <v>0</v>
      </c>
      <c r="K28" s="11">
        <v>0</v>
      </c>
      <c r="L28" s="193">
        <v>0</v>
      </c>
      <c r="M28" s="193">
        <v>7260</v>
      </c>
      <c r="N28" s="193">
        <v>12705</v>
      </c>
      <c r="O28" s="193">
        <f t="shared" si="1"/>
        <v>107416.78000000001</v>
      </c>
      <c r="P28" s="193">
        <f t="shared" si="1"/>
        <v>0</v>
      </c>
      <c r="Q28" s="193">
        <v>74566.25</v>
      </c>
      <c r="R28" s="193">
        <v>0</v>
      </c>
      <c r="S28" s="193">
        <v>0</v>
      </c>
      <c r="T28" s="193">
        <f t="shared" si="2"/>
        <v>201948.03000000003</v>
      </c>
    </row>
    <row r="29" spans="1:20">
      <c r="A29" s="13">
        <v>25</v>
      </c>
      <c r="B29" s="216" t="s">
        <v>223</v>
      </c>
      <c r="C29" s="217"/>
      <c r="D29" s="196">
        <v>0</v>
      </c>
      <c r="E29" s="196">
        <v>113</v>
      </c>
      <c r="F29" s="197">
        <v>5274</v>
      </c>
      <c r="G29" s="192">
        <f t="shared" si="0"/>
        <v>0</v>
      </c>
      <c r="H29" s="192">
        <v>512</v>
      </c>
      <c r="I29" s="11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17091.25</v>
      </c>
      <c r="O29" s="193">
        <f t="shared" si="1"/>
        <v>105163.56000000001</v>
      </c>
      <c r="P29" s="193">
        <f t="shared" si="1"/>
        <v>0</v>
      </c>
      <c r="Q29" s="193">
        <v>77440</v>
      </c>
      <c r="R29" s="193">
        <v>0</v>
      </c>
      <c r="S29" s="193">
        <v>0</v>
      </c>
      <c r="T29" s="193">
        <f t="shared" si="2"/>
        <v>199694.81</v>
      </c>
    </row>
    <row r="30" spans="1:20">
      <c r="A30" s="13">
        <v>26</v>
      </c>
      <c r="B30" s="216" t="s">
        <v>224</v>
      </c>
      <c r="C30" s="217"/>
      <c r="D30" s="196">
        <v>57</v>
      </c>
      <c r="E30" s="196">
        <v>103</v>
      </c>
      <c r="F30" s="197">
        <v>5228</v>
      </c>
      <c r="G30" s="192">
        <f t="shared" si="0"/>
        <v>0</v>
      </c>
      <c r="H30" s="192">
        <v>465</v>
      </c>
      <c r="I30" s="11">
        <v>0</v>
      </c>
      <c r="J30" s="11">
        <v>0</v>
      </c>
      <c r="K30" s="11">
        <v>0</v>
      </c>
      <c r="L30" s="193">
        <v>0</v>
      </c>
      <c r="M30" s="193">
        <v>8621.25</v>
      </c>
      <c r="N30" s="193">
        <v>15578.75</v>
      </c>
      <c r="O30" s="193">
        <f t="shared" si="1"/>
        <v>104246.32</v>
      </c>
      <c r="P30" s="193">
        <f t="shared" si="1"/>
        <v>0</v>
      </c>
      <c r="Q30" s="193">
        <v>70331.25</v>
      </c>
      <c r="R30" s="193">
        <v>0</v>
      </c>
      <c r="S30" s="193">
        <v>0</v>
      </c>
      <c r="T30" s="193">
        <f t="shared" si="2"/>
        <v>198777.57</v>
      </c>
    </row>
    <row r="31" spans="1:20">
      <c r="A31" s="13">
        <v>27</v>
      </c>
      <c r="B31" s="216" t="s">
        <v>225</v>
      </c>
      <c r="C31" s="217"/>
      <c r="D31" s="196">
        <v>0</v>
      </c>
      <c r="E31" s="196">
        <v>220</v>
      </c>
      <c r="F31" s="197">
        <v>5008</v>
      </c>
      <c r="G31" s="192">
        <f t="shared" si="0"/>
        <v>24</v>
      </c>
      <c r="H31" s="192">
        <v>405</v>
      </c>
      <c r="I31" s="11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33275</v>
      </c>
      <c r="O31" s="193">
        <f t="shared" si="1"/>
        <v>99859.520000000004</v>
      </c>
      <c r="P31" s="193">
        <f t="shared" si="1"/>
        <v>478.56000000000006</v>
      </c>
      <c r="Q31" s="193">
        <v>61256.25</v>
      </c>
      <c r="R31" s="193">
        <v>0</v>
      </c>
      <c r="S31" s="193">
        <v>0</v>
      </c>
      <c r="T31" s="193">
        <f t="shared" si="2"/>
        <v>194869.33000000002</v>
      </c>
    </row>
    <row r="32" spans="1:20">
      <c r="A32" s="13">
        <v>28</v>
      </c>
      <c r="B32" s="216" t="s">
        <v>226</v>
      </c>
      <c r="C32" s="217"/>
      <c r="D32" s="196">
        <v>0</v>
      </c>
      <c r="E32" s="196">
        <v>196</v>
      </c>
      <c r="F32" s="197">
        <v>4812</v>
      </c>
      <c r="G32" s="192">
        <f t="shared" si="0"/>
        <v>220</v>
      </c>
      <c r="H32" s="192">
        <v>429</v>
      </c>
      <c r="I32" s="11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29645</v>
      </c>
      <c r="O32" s="193">
        <f t="shared" si="1"/>
        <v>95951.280000000013</v>
      </c>
      <c r="P32" s="193">
        <f t="shared" si="1"/>
        <v>4386.8</v>
      </c>
      <c r="Q32" s="193">
        <v>64886.25</v>
      </c>
      <c r="R32" s="193">
        <v>0</v>
      </c>
      <c r="S32" s="193">
        <v>0</v>
      </c>
      <c r="T32" s="193">
        <f t="shared" si="2"/>
        <v>194869.33000000002</v>
      </c>
    </row>
    <row r="33" spans="1:20">
      <c r="A33" s="13">
        <v>29</v>
      </c>
      <c r="B33" s="216" t="s">
        <v>227</v>
      </c>
      <c r="C33" s="217"/>
      <c r="D33" s="196">
        <v>15</v>
      </c>
      <c r="E33" s="196">
        <v>104</v>
      </c>
      <c r="F33" s="197">
        <v>4723</v>
      </c>
      <c r="G33" s="192">
        <f t="shared" si="0"/>
        <v>309</v>
      </c>
      <c r="H33" s="192">
        <v>506</v>
      </c>
      <c r="I33" s="11">
        <v>0</v>
      </c>
      <c r="J33" s="11">
        <v>0</v>
      </c>
      <c r="K33" s="11">
        <v>0</v>
      </c>
      <c r="L33" s="193">
        <v>0</v>
      </c>
      <c r="M33" s="193">
        <v>2268.75</v>
      </c>
      <c r="N33" s="193">
        <v>15730</v>
      </c>
      <c r="O33" s="193">
        <f t="shared" si="1"/>
        <v>94176.62000000001</v>
      </c>
      <c r="P33" s="193">
        <f t="shared" si="1"/>
        <v>6161.46</v>
      </c>
      <c r="Q33" s="193">
        <v>76532.5</v>
      </c>
      <c r="R33" s="193">
        <v>0</v>
      </c>
      <c r="S33" s="193">
        <v>0</v>
      </c>
      <c r="T33" s="193">
        <f t="shared" si="2"/>
        <v>194869.33000000002</v>
      </c>
    </row>
    <row r="34" spans="1:20">
      <c r="A34" s="13">
        <v>30</v>
      </c>
      <c r="B34" s="216" t="s">
        <v>228</v>
      </c>
      <c r="C34" s="217"/>
      <c r="D34" s="196">
        <v>15</v>
      </c>
      <c r="E34" s="196">
        <v>139</v>
      </c>
      <c r="F34" s="197">
        <v>4599</v>
      </c>
      <c r="G34" s="192">
        <f t="shared" si="0"/>
        <v>433</v>
      </c>
      <c r="H34" s="192">
        <v>471</v>
      </c>
      <c r="I34" s="11">
        <v>0</v>
      </c>
      <c r="J34" s="11">
        <v>0</v>
      </c>
      <c r="K34" s="11">
        <v>0</v>
      </c>
      <c r="L34" s="193">
        <v>0</v>
      </c>
      <c r="M34" s="193">
        <v>2268.75</v>
      </c>
      <c r="N34" s="193">
        <v>21023.75</v>
      </c>
      <c r="O34" s="193">
        <f t="shared" si="1"/>
        <v>91704.060000000012</v>
      </c>
      <c r="P34" s="193">
        <f t="shared" si="1"/>
        <v>8634.02</v>
      </c>
      <c r="Q34" s="193">
        <v>71238.75</v>
      </c>
      <c r="R34" s="193">
        <v>0</v>
      </c>
      <c r="S34" s="193">
        <v>0</v>
      </c>
      <c r="T34" s="193">
        <f t="shared" si="2"/>
        <v>194869.33000000002</v>
      </c>
    </row>
    <row r="35" spans="1:20">
      <c r="A35" s="13">
        <v>31</v>
      </c>
      <c r="B35" s="216" t="s">
        <v>229</v>
      </c>
      <c r="C35" s="217"/>
      <c r="D35" s="196">
        <v>15</v>
      </c>
      <c r="E35" s="196">
        <v>70</v>
      </c>
      <c r="F35" s="197">
        <v>4544</v>
      </c>
      <c r="G35" s="192">
        <f t="shared" si="0"/>
        <v>488</v>
      </c>
      <c r="H35" s="192">
        <v>540</v>
      </c>
      <c r="I35" s="11">
        <v>0</v>
      </c>
      <c r="J35" s="11">
        <v>0</v>
      </c>
      <c r="K35" s="11">
        <v>0</v>
      </c>
      <c r="L35" s="193">
        <v>0</v>
      </c>
      <c r="M35" s="193">
        <v>2268.75</v>
      </c>
      <c r="N35" s="193">
        <v>10587.5</v>
      </c>
      <c r="O35" s="193">
        <f t="shared" si="1"/>
        <v>90607.360000000001</v>
      </c>
      <c r="P35" s="193">
        <f t="shared" si="1"/>
        <v>9730.7200000000012</v>
      </c>
      <c r="Q35" s="193">
        <v>81675</v>
      </c>
      <c r="R35" s="193">
        <v>0</v>
      </c>
      <c r="S35" s="193">
        <v>0</v>
      </c>
      <c r="T35" s="193">
        <f t="shared" si="2"/>
        <v>194869.33000000002</v>
      </c>
    </row>
    <row r="36" spans="1:20">
      <c r="D36" s="19">
        <v>3646</v>
      </c>
      <c r="E36" s="19">
        <v>2261</v>
      </c>
      <c r="F36" s="19">
        <f>SUM(F5:F35)</f>
        <v>150124</v>
      </c>
      <c r="G36" s="198">
        <f>SUM(G5:G35)</f>
        <v>12503</v>
      </c>
      <c r="H36" s="198">
        <f t="shared" ref="H36:R36" si="3">SUM(H5:H35)</f>
        <v>13468</v>
      </c>
      <c r="I36" s="198">
        <f t="shared" si="3"/>
        <v>0</v>
      </c>
      <c r="J36" s="198">
        <f t="shared" si="3"/>
        <v>0</v>
      </c>
      <c r="K36" s="198">
        <f t="shared" si="3"/>
        <v>0</v>
      </c>
      <c r="L36" s="199">
        <f t="shared" si="3"/>
        <v>0</v>
      </c>
      <c r="M36" s="199">
        <f t="shared" si="3"/>
        <v>551457.5</v>
      </c>
      <c r="N36" s="199">
        <f t="shared" si="3"/>
        <v>341976.25</v>
      </c>
      <c r="O36" s="199">
        <f t="shared" si="3"/>
        <v>2993472.5599999996</v>
      </c>
      <c r="P36" s="199">
        <f t="shared" si="3"/>
        <v>249309.81999999998</v>
      </c>
      <c r="Q36" s="199">
        <f t="shared" si="3"/>
        <v>2037035</v>
      </c>
      <c r="R36" s="199">
        <f t="shared" si="3"/>
        <v>0</v>
      </c>
      <c r="S36" s="194">
        <v>0</v>
      </c>
      <c r="T36" s="194">
        <f>SUM(T5:T35)</f>
        <v>6173251.1300000018</v>
      </c>
    </row>
    <row r="37" spans="1:20">
      <c r="R37" s="21"/>
      <c r="S37" s="21"/>
      <c r="T37" s="195">
        <f>T36*1.22</f>
        <v>7531366.3786000023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4E57-BE78-42B7-A213-819920297A71}">
  <sheetPr codeName="Лист25">
    <pageSetUpPr fitToPage="1"/>
  </sheetPr>
  <dimension ref="A1:T37"/>
  <sheetViews>
    <sheetView workbookViewId="0">
      <selection activeCell="T37" sqref="T37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8" t="s">
        <v>232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146</v>
      </c>
      <c r="E3" s="209" t="s">
        <v>147</v>
      </c>
      <c r="F3" s="4" t="s">
        <v>4</v>
      </c>
      <c r="G3" s="209" t="s">
        <v>195</v>
      </c>
      <c r="H3" s="209" t="s">
        <v>196</v>
      </c>
      <c r="I3" s="209" t="s">
        <v>7</v>
      </c>
      <c r="J3" s="209" t="s">
        <v>8</v>
      </c>
      <c r="K3" s="209" t="s">
        <v>197</v>
      </c>
      <c r="L3" s="209" t="s">
        <v>198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 ht="30">
      <c r="A4" s="210"/>
      <c r="B4" s="213"/>
      <c r="C4" s="214"/>
      <c r="D4" s="210"/>
      <c r="E4" s="210"/>
      <c r="F4" s="5" t="s">
        <v>156</v>
      </c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196">
        <v>0</v>
      </c>
      <c r="E5" s="196">
        <v>0</v>
      </c>
      <c r="F5" s="197">
        <v>113</v>
      </c>
      <c r="G5" s="192">
        <v>0</v>
      </c>
      <c r="H5" s="192">
        <v>0</v>
      </c>
      <c r="I5" s="11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2253.2199999999998</v>
      </c>
      <c r="P5" s="193">
        <v>0</v>
      </c>
      <c r="Q5" s="193">
        <v>0</v>
      </c>
      <c r="R5" s="193">
        <v>0</v>
      </c>
      <c r="S5" s="193">
        <v>0</v>
      </c>
      <c r="T5" s="193">
        <v>2253.2199999999998</v>
      </c>
    </row>
    <row r="6" spans="1:20">
      <c r="A6" s="13">
        <v>2</v>
      </c>
      <c r="B6" s="216" t="s">
        <v>200</v>
      </c>
      <c r="C6" s="217"/>
      <c r="D6" s="196">
        <v>0</v>
      </c>
      <c r="E6" s="196">
        <v>0</v>
      </c>
      <c r="F6" s="197">
        <v>113</v>
      </c>
      <c r="G6" s="192">
        <v>0</v>
      </c>
      <c r="H6" s="192">
        <v>0</v>
      </c>
      <c r="I6" s="11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2253.2199999999998</v>
      </c>
      <c r="P6" s="193">
        <v>0</v>
      </c>
      <c r="Q6" s="193">
        <v>0</v>
      </c>
      <c r="R6" s="193">
        <v>0</v>
      </c>
      <c r="S6" s="193">
        <v>0</v>
      </c>
      <c r="T6" s="193">
        <v>2253.2199999999998</v>
      </c>
    </row>
    <row r="7" spans="1:20">
      <c r="A7" s="13">
        <v>3</v>
      </c>
      <c r="B7" s="216" t="s">
        <v>201</v>
      </c>
      <c r="C7" s="217"/>
      <c r="D7" s="196">
        <v>0</v>
      </c>
      <c r="E7" s="196">
        <v>0</v>
      </c>
      <c r="F7" s="197">
        <v>113</v>
      </c>
      <c r="G7" s="192">
        <v>0</v>
      </c>
      <c r="H7" s="192">
        <v>0</v>
      </c>
      <c r="I7" s="11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2253.2199999999998</v>
      </c>
      <c r="P7" s="193">
        <v>0</v>
      </c>
      <c r="Q7" s="193">
        <v>0</v>
      </c>
      <c r="R7" s="193">
        <v>0</v>
      </c>
      <c r="S7" s="193">
        <v>0</v>
      </c>
      <c r="T7" s="193">
        <v>2253.2199999999998</v>
      </c>
    </row>
    <row r="8" spans="1:20">
      <c r="A8" s="13">
        <v>4</v>
      </c>
      <c r="B8" s="216" t="s">
        <v>202</v>
      </c>
      <c r="C8" s="217"/>
      <c r="D8" s="196">
        <v>0</v>
      </c>
      <c r="E8" s="196">
        <v>0</v>
      </c>
      <c r="F8" s="197">
        <v>113</v>
      </c>
      <c r="G8" s="192">
        <v>0</v>
      </c>
      <c r="H8" s="192">
        <v>0</v>
      </c>
      <c r="I8" s="11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2253.2199999999998</v>
      </c>
      <c r="P8" s="193">
        <v>0</v>
      </c>
      <c r="Q8" s="193">
        <v>0</v>
      </c>
      <c r="R8" s="193">
        <v>0</v>
      </c>
      <c r="S8" s="193">
        <v>0</v>
      </c>
      <c r="T8" s="193">
        <v>2253.2199999999998</v>
      </c>
    </row>
    <row r="9" spans="1:20">
      <c r="A9" s="13">
        <v>5</v>
      </c>
      <c r="B9" s="216" t="s">
        <v>203</v>
      </c>
      <c r="C9" s="217"/>
      <c r="D9" s="196">
        <v>32</v>
      </c>
      <c r="E9" s="196">
        <v>0</v>
      </c>
      <c r="F9" s="197">
        <v>145</v>
      </c>
      <c r="G9" s="192">
        <v>0</v>
      </c>
      <c r="H9" s="192">
        <v>0</v>
      </c>
      <c r="I9" s="11">
        <v>0</v>
      </c>
      <c r="J9" s="11">
        <v>0</v>
      </c>
      <c r="K9" s="11">
        <v>0</v>
      </c>
      <c r="L9" s="193">
        <v>0</v>
      </c>
      <c r="M9" s="193">
        <v>4840</v>
      </c>
      <c r="N9" s="193">
        <v>0</v>
      </c>
      <c r="O9" s="193">
        <v>2891.3</v>
      </c>
      <c r="P9" s="193">
        <v>0</v>
      </c>
      <c r="Q9" s="193">
        <v>0</v>
      </c>
      <c r="R9" s="193">
        <v>0</v>
      </c>
      <c r="S9" s="193">
        <v>0</v>
      </c>
      <c r="T9" s="193">
        <v>7731.3</v>
      </c>
    </row>
    <row r="10" spans="1:20">
      <c r="A10" s="13">
        <v>6</v>
      </c>
      <c r="B10" s="216" t="s">
        <v>204</v>
      </c>
      <c r="C10" s="217"/>
      <c r="D10" s="196">
        <v>128</v>
      </c>
      <c r="E10" s="196">
        <v>0</v>
      </c>
      <c r="F10" s="197">
        <v>273</v>
      </c>
      <c r="G10" s="192">
        <v>0</v>
      </c>
      <c r="H10" s="192">
        <v>0</v>
      </c>
      <c r="I10" s="11">
        <v>0</v>
      </c>
      <c r="J10" s="11">
        <v>0</v>
      </c>
      <c r="K10" s="11">
        <v>0</v>
      </c>
      <c r="L10" s="193">
        <v>0</v>
      </c>
      <c r="M10" s="193">
        <v>19360</v>
      </c>
      <c r="N10" s="193">
        <v>0</v>
      </c>
      <c r="O10" s="193">
        <v>5443.62</v>
      </c>
      <c r="P10" s="193">
        <v>0</v>
      </c>
      <c r="Q10" s="193">
        <v>0</v>
      </c>
      <c r="R10" s="193">
        <v>0</v>
      </c>
      <c r="S10" s="193">
        <v>0</v>
      </c>
      <c r="T10" s="193">
        <v>24803.62</v>
      </c>
    </row>
    <row r="11" spans="1:20">
      <c r="A11" s="13">
        <v>7</v>
      </c>
      <c r="B11" s="216" t="s">
        <v>205</v>
      </c>
      <c r="C11" s="217"/>
      <c r="D11" s="196">
        <v>16</v>
      </c>
      <c r="E11" s="196">
        <v>0</v>
      </c>
      <c r="F11" s="197">
        <v>289</v>
      </c>
      <c r="G11" s="192">
        <v>0</v>
      </c>
      <c r="H11" s="192">
        <v>0</v>
      </c>
      <c r="I11" s="11">
        <v>0</v>
      </c>
      <c r="J11" s="11">
        <v>0</v>
      </c>
      <c r="K11" s="11">
        <v>0</v>
      </c>
      <c r="L11" s="193">
        <v>0</v>
      </c>
      <c r="M11" s="193">
        <v>2420</v>
      </c>
      <c r="N11" s="193">
        <v>0</v>
      </c>
      <c r="O11" s="193">
        <v>5762.66</v>
      </c>
      <c r="P11" s="193">
        <v>0</v>
      </c>
      <c r="Q11" s="193">
        <v>0</v>
      </c>
      <c r="R11" s="193">
        <v>0</v>
      </c>
      <c r="S11" s="193">
        <v>0</v>
      </c>
      <c r="T11" s="193">
        <v>8182.66</v>
      </c>
    </row>
    <row r="12" spans="1:20">
      <c r="A12" s="13">
        <v>8</v>
      </c>
      <c r="B12" s="216" t="s">
        <v>206</v>
      </c>
      <c r="C12" s="217"/>
      <c r="D12" s="196">
        <v>0</v>
      </c>
      <c r="E12" s="196">
        <v>0</v>
      </c>
      <c r="F12" s="197">
        <v>289</v>
      </c>
      <c r="G12" s="192">
        <v>0</v>
      </c>
      <c r="H12" s="192">
        <v>0</v>
      </c>
      <c r="I12" s="11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5762.66</v>
      </c>
      <c r="P12" s="193">
        <v>0</v>
      </c>
      <c r="Q12" s="193">
        <v>0</v>
      </c>
      <c r="R12" s="193">
        <v>0</v>
      </c>
      <c r="S12" s="193">
        <v>0</v>
      </c>
      <c r="T12" s="193">
        <v>5762.66</v>
      </c>
    </row>
    <row r="13" spans="1:20">
      <c r="A13" s="13">
        <v>9</v>
      </c>
      <c r="B13" s="216" t="s">
        <v>207</v>
      </c>
      <c r="C13" s="217"/>
      <c r="D13" s="196">
        <v>0</v>
      </c>
      <c r="E13" s="196">
        <v>0</v>
      </c>
      <c r="F13" s="197">
        <v>289</v>
      </c>
      <c r="G13" s="192">
        <v>0</v>
      </c>
      <c r="H13" s="192">
        <v>0</v>
      </c>
      <c r="I13" s="11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5762.66</v>
      </c>
      <c r="P13" s="193">
        <v>0</v>
      </c>
      <c r="Q13" s="193">
        <v>0</v>
      </c>
      <c r="R13" s="193">
        <v>0</v>
      </c>
      <c r="S13" s="193">
        <v>0</v>
      </c>
      <c r="T13" s="193">
        <v>5762.66</v>
      </c>
    </row>
    <row r="14" spans="1:20">
      <c r="A14" s="13">
        <v>10</v>
      </c>
      <c r="B14" s="216" t="s">
        <v>208</v>
      </c>
      <c r="C14" s="217"/>
      <c r="D14" s="196">
        <v>0</v>
      </c>
      <c r="E14" s="196">
        <v>16</v>
      </c>
      <c r="F14" s="197">
        <v>273</v>
      </c>
      <c r="G14" s="192">
        <v>0</v>
      </c>
      <c r="H14" s="192">
        <v>0</v>
      </c>
      <c r="I14" s="11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2420</v>
      </c>
      <c r="O14" s="193">
        <v>5443.62</v>
      </c>
      <c r="P14" s="193">
        <v>0</v>
      </c>
      <c r="Q14" s="193">
        <v>0</v>
      </c>
      <c r="R14" s="193">
        <v>0</v>
      </c>
      <c r="S14" s="193">
        <v>0</v>
      </c>
      <c r="T14" s="193">
        <v>7863.62</v>
      </c>
    </row>
    <row r="15" spans="1:20">
      <c r="A15" s="13">
        <v>11</v>
      </c>
      <c r="B15" s="216" t="s">
        <v>209</v>
      </c>
      <c r="C15" s="217"/>
      <c r="D15" s="196">
        <v>0</v>
      </c>
      <c r="E15" s="196">
        <v>0</v>
      </c>
      <c r="F15" s="197">
        <v>273</v>
      </c>
      <c r="G15" s="192">
        <v>0</v>
      </c>
      <c r="H15" s="192">
        <v>0</v>
      </c>
      <c r="I15" s="11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5443.62</v>
      </c>
      <c r="P15" s="193">
        <v>0</v>
      </c>
      <c r="Q15" s="193">
        <v>0</v>
      </c>
      <c r="R15" s="193">
        <v>0</v>
      </c>
      <c r="S15" s="193">
        <v>0</v>
      </c>
      <c r="T15" s="193">
        <v>5443.62</v>
      </c>
    </row>
    <row r="16" spans="1:20">
      <c r="A16" s="13">
        <v>12</v>
      </c>
      <c r="B16" s="216" t="s">
        <v>210</v>
      </c>
      <c r="C16" s="217"/>
      <c r="D16" s="196">
        <v>0</v>
      </c>
      <c r="E16" s="196">
        <v>0</v>
      </c>
      <c r="F16" s="197">
        <v>273</v>
      </c>
      <c r="G16" s="192">
        <v>0</v>
      </c>
      <c r="H16" s="192">
        <v>0</v>
      </c>
      <c r="I16" s="11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5443.62</v>
      </c>
      <c r="P16" s="193">
        <v>0</v>
      </c>
      <c r="Q16" s="193">
        <v>0</v>
      </c>
      <c r="R16" s="193">
        <v>0</v>
      </c>
      <c r="S16" s="193">
        <v>0</v>
      </c>
      <c r="T16" s="193">
        <v>5443.62</v>
      </c>
    </row>
    <row r="17" spans="1:20">
      <c r="A17" s="13">
        <v>13</v>
      </c>
      <c r="B17" s="216" t="s">
        <v>211</v>
      </c>
      <c r="C17" s="217"/>
      <c r="D17" s="196">
        <v>0</v>
      </c>
      <c r="E17" s="196">
        <v>0</v>
      </c>
      <c r="F17" s="197">
        <v>273</v>
      </c>
      <c r="G17" s="192">
        <v>0</v>
      </c>
      <c r="H17" s="192">
        <v>0</v>
      </c>
      <c r="I17" s="11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5443.62</v>
      </c>
      <c r="P17" s="193">
        <v>0</v>
      </c>
      <c r="Q17" s="193">
        <v>0</v>
      </c>
      <c r="R17" s="193">
        <v>0</v>
      </c>
      <c r="S17" s="193">
        <v>0</v>
      </c>
      <c r="T17" s="193">
        <v>5443.62</v>
      </c>
    </row>
    <row r="18" spans="1:20">
      <c r="A18" s="13">
        <v>14</v>
      </c>
      <c r="B18" s="216" t="s">
        <v>212</v>
      </c>
      <c r="C18" s="217"/>
      <c r="D18" s="196">
        <v>0</v>
      </c>
      <c r="E18" s="196">
        <v>16</v>
      </c>
      <c r="F18" s="197">
        <v>257</v>
      </c>
      <c r="G18" s="192">
        <v>0</v>
      </c>
      <c r="H18" s="192">
        <v>0</v>
      </c>
      <c r="I18" s="11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2420</v>
      </c>
      <c r="O18" s="193">
        <v>5124.58</v>
      </c>
      <c r="P18" s="193">
        <v>0</v>
      </c>
      <c r="Q18" s="193">
        <v>0</v>
      </c>
      <c r="R18" s="193">
        <v>0</v>
      </c>
      <c r="S18" s="193">
        <v>0</v>
      </c>
      <c r="T18" s="193">
        <v>7544.58</v>
      </c>
    </row>
    <row r="19" spans="1:20">
      <c r="A19" s="13">
        <v>15</v>
      </c>
      <c r="B19" s="216" t="s">
        <v>213</v>
      </c>
      <c r="C19" s="217"/>
      <c r="D19" s="196">
        <v>0</v>
      </c>
      <c r="E19" s="196">
        <v>32</v>
      </c>
      <c r="F19" s="197">
        <v>225</v>
      </c>
      <c r="G19" s="192">
        <v>0</v>
      </c>
      <c r="H19" s="192">
        <v>0</v>
      </c>
      <c r="I19" s="11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4840</v>
      </c>
      <c r="O19" s="193">
        <v>4486.5</v>
      </c>
      <c r="P19" s="193">
        <v>0</v>
      </c>
      <c r="Q19" s="193">
        <v>0</v>
      </c>
      <c r="R19" s="193">
        <v>0</v>
      </c>
      <c r="S19" s="193">
        <v>0</v>
      </c>
      <c r="T19" s="193">
        <v>9326.5</v>
      </c>
    </row>
    <row r="20" spans="1:20">
      <c r="A20" s="13">
        <v>16</v>
      </c>
      <c r="B20" s="216" t="s">
        <v>214</v>
      </c>
      <c r="C20" s="217"/>
      <c r="D20" s="196">
        <v>0</v>
      </c>
      <c r="E20" s="196">
        <v>32</v>
      </c>
      <c r="F20" s="197">
        <v>193</v>
      </c>
      <c r="G20" s="192">
        <v>0</v>
      </c>
      <c r="H20" s="192">
        <v>0</v>
      </c>
      <c r="I20" s="11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4840</v>
      </c>
      <c r="O20" s="193">
        <v>3848.42</v>
      </c>
      <c r="P20" s="193">
        <v>0</v>
      </c>
      <c r="Q20" s="193">
        <v>0</v>
      </c>
      <c r="R20" s="193">
        <v>0</v>
      </c>
      <c r="S20" s="193">
        <v>0</v>
      </c>
      <c r="T20" s="193">
        <v>8688.42</v>
      </c>
    </row>
    <row r="21" spans="1:20">
      <c r="A21" s="13">
        <v>17</v>
      </c>
      <c r="B21" s="216" t="s">
        <v>215</v>
      </c>
      <c r="C21" s="217"/>
      <c r="D21" s="196">
        <v>0</v>
      </c>
      <c r="E21" s="196">
        <v>48</v>
      </c>
      <c r="F21" s="197">
        <v>145</v>
      </c>
      <c r="G21" s="192">
        <v>0</v>
      </c>
      <c r="H21" s="192">
        <v>0</v>
      </c>
      <c r="I21" s="11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7260</v>
      </c>
      <c r="O21" s="193">
        <v>2891.3</v>
      </c>
      <c r="P21" s="193">
        <v>0</v>
      </c>
      <c r="Q21" s="193">
        <v>0</v>
      </c>
      <c r="R21" s="193">
        <v>0</v>
      </c>
      <c r="S21" s="193">
        <v>0</v>
      </c>
      <c r="T21" s="193">
        <v>10151.299999999999</v>
      </c>
    </row>
    <row r="22" spans="1:20">
      <c r="A22" s="13">
        <v>18</v>
      </c>
      <c r="B22" s="216" t="s">
        <v>216</v>
      </c>
      <c r="C22" s="217"/>
      <c r="D22" s="196">
        <v>0</v>
      </c>
      <c r="E22" s="196">
        <v>0</v>
      </c>
      <c r="F22" s="197">
        <v>145</v>
      </c>
      <c r="G22" s="192">
        <v>0</v>
      </c>
      <c r="H22" s="192">
        <v>0</v>
      </c>
      <c r="I22" s="11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2891.3</v>
      </c>
      <c r="P22" s="193">
        <v>0</v>
      </c>
      <c r="Q22" s="193">
        <v>0</v>
      </c>
      <c r="R22" s="193">
        <v>0</v>
      </c>
      <c r="S22" s="193">
        <v>0</v>
      </c>
      <c r="T22" s="193">
        <v>2891.3</v>
      </c>
    </row>
    <row r="23" spans="1:20">
      <c r="A23" s="13">
        <v>19</v>
      </c>
      <c r="B23" s="216" t="s">
        <v>217</v>
      </c>
      <c r="C23" s="217"/>
      <c r="D23" s="196">
        <v>0</v>
      </c>
      <c r="E23" s="196">
        <v>0</v>
      </c>
      <c r="F23" s="197">
        <v>145</v>
      </c>
      <c r="G23" s="192">
        <v>0</v>
      </c>
      <c r="H23" s="192">
        <v>0</v>
      </c>
      <c r="I23" s="11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2891.3</v>
      </c>
      <c r="P23" s="193">
        <v>0</v>
      </c>
      <c r="Q23" s="193">
        <v>0</v>
      </c>
      <c r="R23" s="193">
        <v>0</v>
      </c>
      <c r="S23" s="193">
        <v>0</v>
      </c>
      <c r="T23" s="193">
        <v>2891.3</v>
      </c>
    </row>
    <row r="24" spans="1:20">
      <c r="A24" s="13">
        <v>20</v>
      </c>
      <c r="B24" s="216" t="s">
        <v>218</v>
      </c>
      <c r="C24" s="217"/>
      <c r="D24" s="196">
        <v>0</v>
      </c>
      <c r="E24" s="196">
        <v>0</v>
      </c>
      <c r="F24" s="197">
        <v>145</v>
      </c>
      <c r="G24" s="192">
        <v>0</v>
      </c>
      <c r="H24" s="192">
        <v>0</v>
      </c>
      <c r="I24" s="11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2891.3</v>
      </c>
      <c r="P24" s="193">
        <v>0</v>
      </c>
      <c r="Q24" s="193">
        <v>0</v>
      </c>
      <c r="R24" s="193">
        <v>0</v>
      </c>
      <c r="S24" s="193">
        <v>0</v>
      </c>
      <c r="T24" s="193">
        <v>2891.3</v>
      </c>
    </row>
    <row r="25" spans="1:20">
      <c r="A25" s="13">
        <v>21</v>
      </c>
      <c r="B25" s="216" t="s">
        <v>219</v>
      </c>
      <c r="C25" s="217"/>
      <c r="D25" s="196">
        <v>0</v>
      </c>
      <c r="E25" s="196">
        <v>16</v>
      </c>
      <c r="F25" s="197">
        <v>129</v>
      </c>
      <c r="G25" s="192">
        <v>0</v>
      </c>
      <c r="H25" s="192">
        <v>0</v>
      </c>
      <c r="I25" s="11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2420</v>
      </c>
      <c r="O25" s="193">
        <v>2572.2600000000002</v>
      </c>
      <c r="P25" s="193">
        <v>0</v>
      </c>
      <c r="Q25" s="193">
        <v>0</v>
      </c>
      <c r="R25" s="193">
        <v>0</v>
      </c>
      <c r="S25" s="193">
        <v>0</v>
      </c>
      <c r="T25" s="193">
        <v>4992.26</v>
      </c>
    </row>
    <row r="26" spans="1:20">
      <c r="A26" s="13">
        <v>22</v>
      </c>
      <c r="B26" s="216" t="s">
        <v>220</v>
      </c>
      <c r="C26" s="217"/>
      <c r="D26" s="196">
        <v>0</v>
      </c>
      <c r="E26" s="196">
        <v>16</v>
      </c>
      <c r="F26" s="197">
        <v>113</v>
      </c>
      <c r="G26" s="192">
        <v>0</v>
      </c>
      <c r="H26" s="192">
        <v>0</v>
      </c>
      <c r="I26" s="11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2420</v>
      </c>
      <c r="O26" s="193">
        <v>2253.2199999999998</v>
      </c>
      <c r="P26" s="193">
        <v>0</v>
      </c>
      <c r="Q26" s="193">
        <v>0</v>
      </c>
      <c r="R26" s="193">
        <v>0</v>
      </c>
      <c r="S26" s="193">
        <v>0</v>
      </c>
      <c r="T26" s="193">
        <v>4673.22</v>
      </c>
    </row>
    <row r="27" spans="1:20">
      <c r="A27" s="13">
        <v>23</v>
      </c>
      <c r="B27" s="216" t="s">
        <v>221</v>
      </c>
      <c r="C27" s="217"/>
      <c r="D27" s="196">
        <v>16</v>
      </c>
      <c r="E27" s="196">
        <v>0</v>
      </c>
      <c r="F27" s="197">
        <v>129</v>
      </c>
      <c r="G27" s="192">
        <v>0</v>
      </c>
      <c r="H27" s="192">
        <v>0</v>
      </c>
      <c r="I27" s="11">
        <v>0</v>
      </c>
      <c r="J27" s="11">
        <v>0</v>
      </c>
      <c r="K27" s="11">
        <v>0</v>
      </c>
      <c r="L27" s="193">
        <v>0</v>
      </c>
      <c r="M27" s="193">
        <v>2420</v>
      </c>
      <c r="N27" s="193">
        <v>0</v>
      </c>
      <c r="O27" s="193">
        <v>2572.2600000000002</v>
      </c>
      <c r="P27" s="193">
        <v>0</v>
      </c>
      <c r="Q27" s="193">
        <v>0</v>
      </c>
      <c r="R27" s="193">
        <v>0</v>
      </c>
      <c r="S27" s="193">
        <v>0</v>
      </c>
      <c r="T27" s="193">
        <v>4992.26</v>
      </c>
    </row>
    <row r="28" spans="1:20">
      <c r="A28" s="13">
        <v>24</v>
      </c>
      <c r="B28" s="216" t="s">
        <v>222</v>
      </c>
      <c r="C28" s="217"/>
      <c r="D28" s="196">
        <v>48</v>
      </c>
      <c r="E28" s="196">
        <v>0</v>
      </c>
      <c r="F28" s="197">
        <v>177</v>
      </c>
      <c r="G28" s="192">
        <v>0</v>
      </c>
      <c r="H28" s="192">
        <v>0</v>
      </c>
      <c r="I28" s="11">
        <v>0</v>
      </c>
      <c r="J28" s="11">
        <v>0</v>
      </c>
      <c r="K28" s="11">
        <v>0</v>
      </c>
      <c r="L28" s="193">
        <v>0</v>
      </c>
      <c r="M28" s="193">
        <v>7260</v>
      </c>
      <c r="N28" s="193">
        <v>0</v>
      </c>
      <c r="O28" s="193">
        <v>3529.38</v>
      </c>
      <c r="P28" s="193">
        <v>0</v>
      </c>
      <c r="Q28" s="193">
        <v>0</v>
      </c>
      <c r="R28" s="193">
        <v>0</v>
      </c>
      <c r="S28" s="193">
        <v>0</v>
      </c>
      <c r="T28" s="193">
        <v>10789.38</v>
      </c>
    </row>
    <row r="29" spans="1:20">
      <c r="A29" s="13">
        <v>25</v>
      </c>
      <c r="B29" s="216" t="s">
        <v>223</v>
      </c>
      <c r="C29" s="217"/>
      <c r="D29" s="196">
        <v>16</v>
      </c>
      <c r="E29" s="196">
        <v>16</v>
      </c>
      <c r="F29" s="197">
        <v>177</v>
      </c>
      <c r="G29" s="192">
        <v>0</v>
      </c>
      <c r="H29" s="192">
        <v>0</v>
      </c>
      <c r="I29" s="11">
        <v>0</v>
      </c>
      <c r="J29" s="11">
        <v>0</v>
      </c>
      <c r="K29" s="11">
        <v>0</v>
      </c>
      <c r="L29" s="193">
        <v>0</v>
      </c>
      <c r="M29" s="193">
        <v>2420</v>
      </c>
      <c r="N29" s="193">
        <v>2420</v>
      </c>
      <c r="O29" s="193">
        <v>3529.38</v>
      </c>
      <c r="P29" s="193">
        <v>0</v>
      </c>
      <c r="Q29" s="193">
        <v>0</v>
      </c>
      <c r="R29" s="193">
        <v>0</v>
      </c>
      <c r="S29" s="193">
        <v>0</v>
      </c>
      <c r="T29" s="193">
        <v>8369.3799999999992</v>
      </c>
    </row>
    <row r="30" spans="1:20">
      <c r="A30" s="13">
        <v>26</v>
      </c>
      <c r="B30" s="216" t="s">
        <v>224</v>
      </c>
      <c r="C30" s="217"/>
      <c r="D30" s="196">
        <v>32</v>
      </c>
      <c r="E30" s="196">
        <v>48</v>
      </c>
      <c r="F30" s="197">
        <v>161</v>
      </c>
      <c r="G30" s="192">
        <v>0</v>
      </c>
      <c r="H30" s="192">
        <v>0</v>
      </c>
      <c r="I30" s="11">
        <v>0</v>
      </c>
      <c r="J30" s="11">
        <v>0</v>
      </c>
      <c r="K30" s="11">
        <v>0</v>
      </c>
      <c r="L30" s="193">
        <v>0</v>
      </c>
      <c r="M30" s="193">
        <v>4840</v>
      </c>
      <c r="N30" s="193">
        <v>7260</v>
      </c>
      <c r="O30" s="193">
        <v>3210.34</v>
      </c>
      <c r="P30" s="193">
        <v>0</v>
      </c>
      <c r="Q30" s="193">
        <v>0</v>
      </c>
      <c r="R30" s="193">
        <v>0</v>
      </c>
      <c r="S30" s="193">
        <v>0</v>
      </c>
      <c r="T30" s="193">
        <v>15310.34</v>
      </c>
    </row>
    <row r="31" spans="1:20">
      <c r="A31" s="13">
        <v>27</v>
      </c>
      <c r="B31" s="216" t="s">
        <v>225</v>
      </c>
      <c r="C31" s="217"/>
      <c r="D31" s="196">
        <v>64</v>
      </c>
      <c r="E31" s="196">
        <v>16</v>
      </c>
      <c r="F31" s="197">
        <v>209</v>
      </c>
      <c r="G31" s="192">
        <v>0</v>
      </c>
      <c r="H31" s="192">
        <v>0</v>
      </c>
      <c r="I31" s="11">
        <v>0</v>
      </c>
      <c r="J31" s="11">
        <v>0</v>
      </c>
      <c r="K31" s="11">
        <v>0</v>
      </c>
      <c r="L31" s="193">
        <v>0</v>
      </c>
      <c r="M31" s="193">
        <v>9680</v>
      </c>
      <c r="N31" s="193">
        <v>2420</v>
      </c>
      <c r="O31" s="193">
        <v>4167.46</v>
      </c>
      <c r="P31" s="193">
        <v>0</v>
      </c>
      <c r="Q31" s="193">
        <v>0</v>
      </c>
      <c r="R31" s="193">
        <v>0</v>
      </c>
      <c r="S31" s="193">
        <v>0</v>
      </c>
      <c r="T31" s="193">
        <v>16267.46</v>
      </c>
    </row>
    <row r="32" spans="1:20">
      <c r="A32" s="13">
        <v>28</v>
      </c>
      <c r="B32" s="216" t="s">
        <v>226</v>
      </c>
      <c r="C32" s="217"/>
      <c r="D32" s="196">
        <v>16</v>
      </c>
      <c r="E32" s="196">
        <v>32</v>
      </c>
      <c r="F32" s="197">
        <v>193</v>
      </c>
      <c r="G32" s="192">
        <v>0</v>
      </c>
      <c r="H32" s="192">
        <v>0</v>
      </c>
      <c r="I32" s="11">
        <v>0</v>
      </c>
      <c r="J32" s="11">
        <v>0</v>
      </c>
      <c r="K32" s="11">
        <v>0</v>
      </c>
      <c r="L32" s="193">
        <v>0</v>
      </c>
      <c r="M32" s="193">
        <v>2420</v>
      </c>
      <c r="N32" s="193">
        <v>4840</v>
      </c>
      <c r="O32" s="193">
        <v>3848.42</v>
      </c>
      <c r="P32" s="193">
        <v>0</v>
      </c>
      <c r="Q32" s="193">
        <v>0</v>
      </c>
      <c r="R32" s="193">
        <v>0</v>
      </c>
      <c r="S32" s="193">
        <v>0</v>
      </c>
      <c r="T32" s="193">
        <v>11108.42</v>
      </c>
    </row>
    <row r="33" spans="1:20">
      <c r="A33" s="13">
        <v>29</v>
      </c>
      <c r="B33" s="216" t="s">
        <v>227</v>
      </c>
      <c r="C33" s="217"/>
      <c r="D33" s="196">
        <v>0</v>
      </c>
      <c r="E33" s="196">
        <v>0</v>
      </c>
      <c r="F33" s="197">
        <v>193</v>
      </c>
      <c r="G33" s="192">
        <v>0</v>
      </c>
      <c r="H33" s="192">
        <v>0</v>
      </c>
      <c r="I33" s="11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3848.42</v>
      </c>
      <c r="P33" s="193">
        <v>0</v>
      </c>
      <c r="Q33" s="193">
        <v>0</v>
      </c>
      <c r="R33" s="193">
        <v>0</v>
      </c>
      <c r="S33" s="193">
        <v>0</v>
      </c>
      <c r="T33" s="193">
        <v>3848.42</v>
      </c>
    </row>
    <row r="34" spans="1:20">
      <c r="A34" s="13">
        <v>30</v>
      </c>
      <c r="B34" s="216" t="s">
        <v>228</v>
      </c>
      <c r="C34" s="217"/>
      <c r="D34" s="196">
        <v>16</v>
      </c>
      <c r="E34" s="196">
        <v>0</v>
      </c>
      <c r="F34" s="197">
        <v>209</v>
      </c>
      <c r="G34" s="192">
        <v>0</v>
      </c>
      <c r="H34" s="192">
        <v>0</v>
      </c>
      <c r="I34" s="11">
        <v>0</v>
      </c>
      <c r="J34" s="11">
        <v>0</v>
      </c>
      <c r="K34" s="11">
        <v>0</v>
      </c>
      <c r="L34" s="193">
        <v>0</v>
      </c>
      <c r="M34" s="193">
        <v>2420</v>
      </c>
      <c r="N34" s="193">
        <v>0</v>
      </c>
      <c r="O34" s="193">
        <v>4167.46</v>
      </c>
      <c r="P34" s="193">
        <v>0</v>
      </c>
      <c r="Q34" s="193">
        <v>0</v>
      </c>
      <c r="R34" s="193">
        <v>0</v>
      </c>
      <c r="S34" s="193">
        <v>0</v>
      </c>
      <c r="T34" s="193">
        <v>6587.46</v>
      </c>
    </row>
    <row r="35" spans="1:20">
      <c r="A35" s="13">
        <v>31</v>
      </c>
      <c r="B35" s="216" t="s">
        <v>229</v>
      </c>
      <c r="C35" s="217"/>
      <c r="D35" s="196">
        <v>0</v>
      </c>
      <c r="E35" s="196">
        <v>32</v>
      </c>
      <c r="F35" s="197">
        <v>177</v>
      </c>
      <c r="G35" s="192">
        <v>0</v>
      </c>
      <c r="H35" s="192">
        <v>0</v>
      </c>
      <c r="I35" s="11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4840</v>
      </c>
      <c r="O35" s="193">
        <v>3529.38</v>
      </c>
      <c r="P35" s="193">
        <v>0</v>
      </c>
      <c r="Q35" s="193">
        <v>0</v>
      </c>
      <c r="R35" s="193">
        <v>0</v>
      </c>
      <c r="S35" s="193">
        <v>0</v>
      </c>
      <c r="T35" s="193">
        <v>8369.3799999999992</v>
      </c>
    </row>
    <row r="36" spans="1:20">
      <c r="D36" s="19">
        <v>384</v>
      </c>
      <c r="E36" s="19">
        <v>320</v>
      </c>
      <c r="F36" s="19">
        <v>5951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4">
        <v>0</v>
      </c>
      <c r="M36" s="194">
        <v>58080</v>
      </c>
      <c r="N36" s="194">
        <v>48400</v>
      </c>
      <c r="O36" s="194">
        <v>118662.94</v>
      </c>
      <c r="P36" s="194">
        <v>0</v>
      </c>
      <c r="Q36" s="194">
        <v>0</v>
      </c>
      <c r="R36" s="194">
        <v>0</v>
      </c>
      <c r="S36" s="194">
        <v>0</v>
      </c>
      <c r="T36" s="194">
        <v>225142.94</v>
      </c>
    </row>
    <row r="37" spans="1:20">
      <c r="R37" s="21"/>
      <c r="S37" s="21"/>
      <c r="T37" s="195">
        <v>274674.39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21D7-B0EC-421E-99D0-732F9346FF67}">
  <sheetPr codeName="Лист26">
    <pageSetUpPr fitToPage="1"/>
  </sheetPr>
  <dimension ref="A1:T37"/>
  <sheetViews>
    <sheetView workbookViewId="0">
      <selection activeCell="Q9" sqref="Q9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8" t="s">
        <v>233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146</v>
      </c>
      <c r="E3" s="209" t="s">
        <v>147</v>
      </c>
      <c r="F3" s="4" t="s">
        <v>4</v>
      </c>
      <c r="G3" s="209" t="s">
        <v>195</v>
      </c>
      <c r="H3" s="209" t="s">
        <v>234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 ht="30">
      <c r="A4" s="210"/>
      <c r="B4" s="213"/>
      <c r="C4" s="214"/>
      <c r="D4" s="210"/>
      <c r="E4" s="210"/>
      <c r="F4" s="5" t="s">
        <v>156</v>
      </c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235</v>
      </c>
      <c r="C5" s="217"/>
      <c r="D5" s="196">
        <v>0</v>
      </c>
      <c r="E5" s="196">
        <v>0</v>
      </c>
      <c r="F5" s="197">
        <v>14</v>
      </c>
      <c r="G5" s="192">
        <v>0</v>
      </c>
      <c r="H5" s="192">
        <v>0</v>
      </c>
      <c r="I5" s="11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279.16000000000003</v>
      </c>
      <c r="P5" s="193">
        <v>0</v>
      </c>
      <c r="Q5" s="193">
        <v>0</v>
      </c>
      <c r="R5" s="193">
        <v>0</v>
      </c>
      <c r="S5" s="193">
        <v>0</v>
      </c>
      <c r="T5" s="193">
        <v>279.16000000000003</v>
      </c>
    </row>
    <row r="6" spans="1:20">
      <c r="A6" s="13">
        <v>2</v>
      </c>
      <c r="B6" s="216" t="s">
        <v>236</v>
      </c>
      <c r="C6" s="217"/>
      <c r="D6" s="196">
        <v>0</v>
      </c>
      <c r="E6" s="196">
        <v>0</v>
      </c>
      <c r="F6" s="197">
        <v>14</v>
      </c>
      <c r="G6" s="192">
        <v>0</v>
      </c>
      <c r="H6" s="192">
        <v>0</v>
      </c>
      <c r="I6" s="11">
        <v>0</v>
      </c>
      <c r="J6" s="11">
        <v>0</v>
      </c>
      <c r="K6" s="11"/>
      <c r="L6" s="193">
        <v>0</v>
      </c>
      <c r="M6" s="193">
        <v>0</v>
      </c>
      <c r="N6" s="193">
        <v>0</v>
      </c>
      <c r="O6" s="193">
        <v>279.16000000000003</v>
      </c>
      <c r="P6" s="193">
        <v>0</v>
      </c>
      <c r="Q6" s="193">
        <v>0</v>
      </c>
      <c r="R6" s="193">
        <v>0</v>
      </c>
      <c r="S6" s="193">
        <v>0</v>
      </c>
      <c r="T6" s="193">
        <v>279.16000000000003</v>
      </c>
    </row>
    <row r="7" spans="1:20">
      <c r="A7" s="13">
        <v>3</v>
      </c>
      <c r="B7" s="216" t="s">
        <v>237</v>
      </c>
      <c r="C7" s="217"/>
      <c r="D7" s="196">
        <v>0</v>
      </c>
      <c r="E7" s="196">
        <v>0</v>
      </c>
      <c r="F7" s="197">
        <v>14</v>
      </c>
      <c r="G7" s="192">
        <v>0</v>
      </c>
      <c r="H7" s="192">
        <v>0</v>
      </c>
      <c r="I7" s="11">
        <v>0</v>
      </c>
      <c r="J7" s="11">
        <v>0</v>
      </c>
      <c r="K7" s="11"/>
      <c r="L7" s="193">
        <v>0</v>
      </c>
      <c r="M7" s="193">
        <v>0</v>
      </c>
      <c r="N7" s="193">
        <v>0</v>
      </c>
      <c r="O7" s="193">
        <v>279.16000000000003</v>
      </c>
      <c r="P7" s="193">
        <v>0</v>
      </c>
      <c r="Q7" s="193">
        <v>0</v>
      </c>
      <c r="R7" s="193">
        <v>0</v>
      </c>
      <c r="S7" s="193">
        <v>0</v>
      </c>
      <c r="T7" s="193">
        <v>279.16000000000003</v>
      </c>
    </row>
    <row r="8" spans="1:20">
      <c r="A8" s="13">
        <v>4</v>
      </c>
      <c r="B8" s="216" t="s">
        <v>238</v>
      </c>
      <c r="C8" s="217"/>
      <c r="D8" s="196">
        <v>0</v>
      </c>
      <c r="E8" s="196">
        <v>0</v>
      </c>
      <c r="F8" s="197">
        <v>14</v>
      </c>
      <c r="G8" s="192">
        <v>0</v>
      </c>
      <c r="H8" s="192">
        <v>0</v>
      </c>
      <c r="I8" s="11">
        <v>0</v>
      </c>
      <c r="J8" s="11">
        <v>0</v>
      </c>
      <c r="K8" s="11"/>
      <c r="L8" s="193">
        <v>0</v>
      </c>
      <c r="M8" s="193">
        <v>0</v>
      </c>
      <c r="N8" s="193">
        <v>0</v>
      </c>
      <c r="O8" s="193">
        <v>279.16000000000003</v>
      </c>
      <c r="P8" s="193">
        <v>0</v>
      </c>
      <c r="Q8" s="193">
        <v>0</v>
      </c>
      <c r="R8" s="193">
        <v>0</v>
      </c>
      <c r="S8" s="193">
        <v>0</v>
      </c>
      <c r="T8" s="193">
        <v>279.16000000000003</v>
      </c>
    </row>
    <row r="9" spans="1:20">
      <c r="A9" s="13">
        <v>5</v>
      </c>
      <c r="B9" s="216" t="s">
        <v>239</v>
      </c>
      <c r="C9" s="217"/>
      <c r="D9" s="196">
        <v>0</v>
      </c>
      <c r="E9" s="196">
        <v>0</v>
      </c>
      <c r="F9" s="197">
        <v>14</v>
      </c>
      <c r="G9" s="192">
        <v>0</v>
      </c>
      <c r="H9" s="192">
        <v>0</v>
      </c>
      <c r="I9" s="11">
        <v>0</v>
      </c>
      <c r="J9" s="11">
        <v>0</v>
      </c>
      <c r="K9" s="11"/>
      <c r="L9" s="193">
        <v>0</v>
      </c>
      <c r="M9" s="193">
        <v>0</v>
      </c>
      <c r="N9" s="193">
        <v>0</v>
      </c>
      <c r="O9" s="193">
        <v>279.16000000000003</v>
      </c>
      <c r="P9" s="193">
        <v>0</v>
      </c>
      <c r="Q9" s="193">
        <v>0</v>
      </c>
      <c r="R9" s="193">
        <v>0</v>
      </c>
      <c r="S9" s="193">
        <v>0</v>
      </c>
      <c r="T9" s="193">
        <v>279.16000000000003</v>
      </c>
    </row>
    <row r="10" spans="1:20">
      <c r="A10" s="13">
        <v>6</v>
      </c>
      <c r="B10" s="216" t="s">
        <v>240</v>
      </c>
      <c r="C10" s="217"/>
      <c r="D10" s="196">
        <v>0</v>
      </c>
      <c r="E10" s="196">
        <v>0</v>
      </c>
      <c r="F10" s="197">
        <v>14</v>
      </c>
      <c r="G10" s="192">
        <v>0</v>
      </c>
      <c r="H10" s="192">
        <v>0</v>
      </c>
      <c r="I10" s="11">
        <v>0</v>
      </c>
      <c r="J10" s="11">
        <v>0</v>
      </c>
      <c r="K10" s="11"/>
      <c r="L10" s="193">
        <v>0</v>
      </c>
      <c r="M10" s="193">
        <v>0</v>
      </c>
      <c r="N10" s="193">
        <v>0</v>
      </c>
      <c r="O10" s="193">
        <v>279.16000000000003</v>
      </c>
      <c r="P10" s="193">
        <v>0</v>
      </c>
      <c r="Q10" s="193">
        <v>0</v>
      </c>
      <c r="R10" s="193">
        <v>0</v>
      </c>
      <c r="S10" s="193">
        <v>0</v>
      </c>
      <c r="T10" s="193">
        <v>279.16000000000003</v>
      </c>
    </row>
    <row r="11" spans="1:20">
      <c r="A11" s="13">
        <v>7</v>
      </c>
      <c r="B11" s="216" t="s">
        <v>241</v>
      </c>
      <c r="C11" s="217"/>
      <c r="D11" s="196">
        <v>0</v>
      </c>
      <c r="E11" s="196">
        <v>0</v>
      </c>
      <c r="F11" s="197">
        <v>14</v>
      </c>
      <c r="G11" s="192">
        <v>0</v>
      </c>
      <c r="H11" s="192">
        <v>0</v>
      </c>
      <c r="I11" s="11">
        <v>0</v>
      </c>
      <c r="J11" s="11">
        <v>0</v>
      </c>
      <c r="K11" s="11"/>
      <c r="L11" s="193">
        <v>0</v>
      </c>
      <c r="M11" s="193">
        <v>0</v>
      </c>
      <c r="N11" s="193">
        <v>0</v>
      </c>
      <c r="O11" s="193">
        <v>279.16000000000003</v>
      </c>
      <c r="P11" s="193">
        <v>0</v>
      </c>
      <c r="Q11" s="193">
        <v>0</v>
      </c>
      <c r="R11" s="193">
        <v>0</v>
      </c>
      <c r="S11" s="193">
        <v>0</v>
      </c>
      <c r="T11" s="193">
        <v>279.16000000000003</v>
      </c>
    </row>
    <row r="12" spans="1:20">
      <c r="A12" s="13">
        <v>8</v>
      </c>
      <c r="B12" s="216" t="s">
        <v>242</v>
      </c>
      <c r="C12" s="217"/>
      <c r="D12" s="196">
        <v>0</v>
      </c>
      <c r="E12" s="196">
        <v>0</v>
      </c>
      <c r="F12" s="197">
        <v>14</v>
      </c>
      <c r="G12" s="192">
        <v>0</v>
      </c>
      <c r="H12" s="192">
        <v>0</v>
      </c>
      <c r="I12" s="11">
        <v>0</v>
      </c>
      <c r="J12" s="11">
        <v>0</v>
      </c>
      <c r="K12" s="11"/>
      <c r="L12" s="193">
        <v>0</v>
      </c>
      <c r="M12" s="193">
        <v>0</v>
      </c>
      <c r="N12" s="193">
        <v>0</v>
      </c>
      <c r="O12" s="193">
        <v>279.16000000000003</v>
      </c>
      <c r="P12" s="193">
        <v>0</v>
      </c>
      <c r="Q12" s="193">
        <v>0</v>
      </c>
      <c r="R12" s="193">
        <v>0</v>
      </c>
      <c r="S12" s="193">
        <v>0</v>
      </c>
      <c r="T12" s="193">
        <v>279.16000000000003</v>
      </c>
    </row>
    <row r="13" spans="1:20">
      <c r="A13" s="13">
        <v>9</v>
      </c>
      <c r="B13" s="216" t="s">
        <v>243</v>
      </c>
      <c r="C13" s="217"/>
      <c r="D13" s="196">
        <v>0</v>
      </c>
      <c r="E13" s="196">
        <v>0</v>
      </c>
      <c r="F13" s="197">
        <v>14</v>
      </c>
      <c r="G13" s="192">
        <v>0</v>
      </c>
      <c r="H13" s="192">
        <v>0</v>
      </c>
      <c r="I13" s="11">
        <v>0</v>
      </c>
      <c r="J13" s="11">
        <v>0</v>
      </c>
      <c r="K13" s="11"/>
      <c r="L13" s="193">
        <v>0</v>
      </c>
      <c r="M13" s="193">
        <v>0</v>
      </c>
      <c r="N13" s="193">
        <v>0</v>
      </c>
      <c r="O13" s="193">
        <v>279.16000000000003</v>
      </c>
      <c r="P13" s="193">
        <v>0</v>
      </c>
      <c r="Q13" s="193">
        <v>0</v>
      </c>
      <c r="R13" s="193">
        <v>0</v>
      </c>
      <c r="S13" s="193">
        <v>0</v>
      </c>
      <c r="T13" s="193">
        <v>279.16000000000003</v>
      </c>
    </row>
    <row r="14" spans="1:20">
      <c r="A14" s="13">
        <v>10</v>
      </c>
      <c r="B14" s="216" t="s">
        <v>244</v>
      </c>
      <c r="C14" s="217"/>
      <c r="D14" s="196">
        <v>0</v>
      </c>
      <c r="E14" s="196">
        <v>0</v>
      </c>
      <c r="F14" s="197">
        <v>14</v>
      </c>
      <c r="G14" s="192">
        <v>0</v>
      </c>
      <c r="H14" s="192">
        <v>0</v>
      </c>
      <c r="I14" s="11">
        <v>0</v>
      </c>
      <c r="J14" s="11">
        <v>0</v>
      </c>
      <c r="K14" s="11"/>
      <c r="L14" s="193">
        <v>0</v>
      </c>
      <c r="M14" s="193">
        <v>0</v>
      </c>
      <c r="N14" s="193">
        <v>0</v>
      </c>
      <c r="O14" s="193">
        <v>279.16000000000003</v>
      </c>
      <c r="P14" s="193">
        <v>0</v>
      </c>
      <c r="Q14" s="193">
        <v>0</v>
      </c>
      <c r="R14" s="193">
        <v>0</v>
      </c>
      <c r="S14" s="193">
        <v>0</v>
      </c>
      <c r="T14" s="193">
        <v>279.16000000000003</v>
      </c>
    </row>
    <row r="15" spans="1:20">
      <c r="A15" s="13">
        <v>11</v>
      </c>
      <c r="B15" s="216" t="s">
        <v>245</v>
      </c>
      <c r="C15" s="217"/>
      <c r="D15" s="196">
        <v>0</v>
      </c>
      <c r="E15" s="196">
        <v>0</v>
      </c>
      <c r="F15" s="197">
        <v>14</v>
      </c>
      <c r="G15" s="192">
        <v>0</v>
      </c>
      <c r="H15" s="192">
        <v>0</v>
      </c>
      <c r="I15" s="11">
        <v>0</v>
      </c>
      <c r="J15" s="11">
        <v>0</v>
      </c>
      <c r="K15" s="11"/>
      <c r="L15" s="193">
        <v>0</v>
      </c>
      <c r="M15" s="193">
        <v>0</v>
      </c>
      <c r="N15" s="193">
        <v>0</v>
      </c>
      <c r="O15" s="193">
        <v>279.16000000000003</v>
      </c>
      <c r="P15" s="193">
        <v>0</v>
      </c>
      <c r="Q15" s="193">
        <v>0</v>
      </c>
      <c r="R15" s="193">
        <v>0</v>
      </c>
      <c r="S15" s="193">
        <v>0</v>
      </c>
      <c r="T15" s="193">
        <v>279.16000000000003</v>
      </c>
    </row>
    <row r="16" spans="1:20">
      <c r="A16" s="13">
        <v>12</v>
      </c>
      <c r="B16" s="216" t="s">
        <v>246</v>
      </c>
      <c r="C16" s="217"/>
      <c r="D16" s="196">
        <v>0</v>
      </c>
      <c r="E16" s="196">
        <v>0</v>
      </c>
      <c r="F16" s="197">
        <v>14</v>
      </c>
      <c r="G16" s="192">
        <v>0</v>
      </c>
      <c r="H16" s="192">
        <v>0</v>
      </c>
      <c r="I16" s="11">
        <v>0</v>
      </c>
      <c r="J16" s="11">
        <v>0</v>
      </c>
      <c r="K16" s="11"/>
      <c r="L16" s="193">
        <v>0</v>
      </c>
      <c r="M16" s="193">
        <v>0</v>
      </c>
      <c r="N16" s="193">
        <v>0</v>
      </c>
      <c r="O16" s="193">
        <v>279.16000000000003</v>
      </c>
      <c r="P16" s="193">
        <v>0</v>
      </c>
      <c r="Q16" s="193">
        <v>0</v>
      </c>
      <c r="R16" s="193">
        <v>0</v>
      </c>
      <c r="S16" s="193">
        <v>0</v>
      </c>
      <c r="T16" s="193">
        <v>279.16000000000003</v>
      </c>
    </row>
    <row r="17" spans="1:20">
      <c r="A17" s="13">
        <v>13</v>
      </c>
      <c r="B17" s="216" t="s">
        <v>247</v>
      </c>
      <c r="C17" s="217"/>
      <c r="D17" s="196">
        <v>0</v>
      </c>
      <c r="E17" s="196">
        <v>0</v>
      </c>
      <c r="F17" s="197">
        <v>14</v>
      </c>
      <c r="G17" s="192">
        <v>0</v>
      </c>
      <c r="H17" s="192">
        <v>0</v>
      </c>
      <c r="I17" s="11">
        <v>0</v>
      </c>
      <c r="J17" s="11">
        <v>0</v>
      </c>
      <c r="K17" s="11"/>
      <c r="L17" s="193">
        <v>0</v>
      </c>
      <c r="M17" s="193">
        <v>0</v>
      </c>
      <c r="N17" s="193">
        <v>0</v>
      </c>
      <c r="O17" s="193">
        <v>279.16000000000003</v>
      </c>
      <c r="P17" s="193">
        <v>0</v>
      </c>
      <c r="Q17" s="193">
        <v>0</v>
      </c>
      <c r="R17" s="193">
        <v>0</v>
      </c>
      <c r="S17" s="193">
        <v>0</v>
      </c>
      <c r="T17" s="193">
        <v>279.16000000000003</v>
      </c>
    </row>
    <row r="18" spans="1:20">
      <c r="A18" s="13">
        <v>14</v>
      </c>
      <c r="B18" s="216" t="s">
        <v>248</v>
      </c>
      <c r="C18" s="217"/>
      <c r="D18" s="196">
        <v>0</v>
      </c>
      <c r="E18" s="196">
        <v>0</v>
      </c>
      <c r="F18" s="197">
        <v>14</v>
      </c>
      <c r="G18" s="192">
        <v>0</v>
      </c>
      <c r="H18" s="192">
        <v>0</v>
      </c>
      <c r="I18" s="11">
        <v>0</v>
      </c>
      <c r="J18" s="11">
        <v>0</v>
      </c>
      <c r="K18" s="11"/>
      <c r="L18" s="193">
        <v>0</v>
      </c>
      <c r="M18" s="193">
        <v>0</v>
      </c>
      <c r="N18" s="193">
        <v>0</v>
      </c>
      <c r="O18" s="193">
        <v>279.16000000000003</v>
      </c>
      <c r="P18" s="193">
        <v>0</v>
      </c>
      <c r="Q18" s="193">
        <v>0</v>
      </c>
      <c r="R18" s="193">
        <v>0</v>
      </c>
      <c r="S18" s="193">
        <v>0</v>
      </c>
      <c r="T18" s="193">
        <v>279.16000000000003</v>
      </c>
    </row>
    <row r="19" spans="1:20">
      <c r="A19" s="13">
        <v>15</v>
      </c>
      <c r="B19" s="216" t="s">
        <v>249</v>
      </c>
      <c r="C19" s="217"/>
      <c r="D19" s="196">
        <v>0</v>
      </c>
      <c r="E19" s="196">
        <v>0</v>
      </c>
      <c r="F19" s="197">
        <v>14</v>
      </c>
      <c r="G19" s="192">
        <v>0</v>
      </c>
      <c r="H19" s="192">
        <v>0</v>
      </c>
      <c r="I19" s="11">
        <v>0</v>
      </c>
      <c r="J19" s="11">
        <v>0</v>
      </c>
      <c r="K19" s="11"/>
      <c r="L19" s="193">
        <v>0</v>
      </c>
      <c r="M19" s="193">
        <v>0</v>
      </c>
      <c r="N19" s="193">
        <v>0</v>
      </c>
      <c r="O19" s="193">
        <v>279.16000000000003</v>
      </c>
      <c r="P19" s="193">
        <v>0</v>
      </c>
      <c r="Q19" s="193">
        <v>0</v>
      </c>
      <c r="R19" s="193">
        <v>0</v>
      </c>
      <c r="S19" s="193">
        <v>0</v>
      </c>
      <c r="T19" s="193">
        <v>279.16000000000003</v>
      </c>
    </row>
    <row r="20" spans="1:20">
      <c r="A20" s="13">
        <v>16</v>
      </c>
      <c r="B20" s="216" t="s">
        <v>250</v>
      </c>
      <c r="C20" s="217"/>
      <c r="D20" s="196">
        <v>0</v>
      </c>
      <c r="E20" s="196">
        <v>0</v>
      </c>
      <c r="F20" s="197">
        <v>14</v>
      </c>
      <c r="G20" s="192">
        <v>0</v>
      </c>
      <c r="H20" s="192">
        <v>0</v>
      </c>
      <c r="I20" s="11">
        <v>0</v>
      </c>
      <c r="J20" s="11">
        <v>0</v>
      </c>
      <c r="K20" s="11"/>
      <c r="L20" s="193">
        <v>0</v>
      </c>
      <c r="M20" s="193">
        <v>0</v>
      </c>
      <c r="N20" s="193">
        <v>0</v>
      </c>
      <c r="O20" s="193">
        <v>279.16000000000003</v>
      </c>
      <c r="P20" s="193">
        <v>0</v>
      </c>
      <c r="Q20" s="193">
        <v>0</v>
      </c>
      <c r="R20" s="193">
        <v>0</v>
      </c>
      <c r="S20" s="193">
        <v>0</v>
      </c>
      <c r="T20" s="193">
        <v>279.16000000000003</v>
      </c>
    </row>
    <row r="21" spans="1:20">
      <c r="A21" s="13">
        <v>17</v>
      </c>
      <c r="B21" s="216" t="s">
        <v>251</v>
      </c>
      <c r="C21" s="217"/>
      <c r="D21" s="196">
        <v>0</v>
      </c>
      <c r="E21" s="196">
        <v>0</v>
      </c>
      <c r="F21" s="197">
        <v>14</v>
      </c>
      <c r="G21" s="192">
        <v>0</v>
      </c>
      <c r="H21" s="192">
        <v>0</v>
      </c>
      <c r="I21" s="11">
        <v>0</v>
      </c>
      <c r="J21" s="11">
        <v>0</v>
      </c>
      <c r="K21" s="11"/>
      <c r="L21" s="193">
        <v>0</v>
      </c>
      <c r="M21" s="193">
        <v>0</v>
      </c>
      <c r="N21" s="193">
        <v>0</v>
      </c>
      <c r="O21" s="193">
        <v>279.16000000000003</v>
      </c>
      <c r="P21" s="193">
        <v>0</v>
      </c>
      <c r="Q21" s="193">
        <v>0</v>
      </c>
      <c r="R21" s="193">
        <v>0</v>
      </c>
      <c r="S21" s="193">
        <v>0</v>
      </c>
      <c r="T21" s="193">
        <v>279.16000000000003</v>
      </c>
    </row>
    <row r="22" spans="1:20">
      <c r="A22" s="13">
        <v>18</v>
      </c>
      <c r="B22" s="216" t="s">
        <v>252</v>
      </c>
      <c r="C22" s="217"/>
      <c r="D22" s="196">
        <v>0</v>
      </c>
      <c r="E22" s="196">
        <v>0</v>
      </c>
      <c r="F22" s="197">
        <v>14</v>
      </c>
      <c r="G22" s="192">
        <v>0</v>
      </c>
      <c r="H22" s="192">
        <v>0</v>
      </c>
      <c r="I22" s="11">
        <v>0</v>
      </c>
      <c r="J22" s="11">
        <v>0</v>
      </c>
      <c r="K22" s="11"/>
      <c r="L22" s="193">
        <v>0</v>
      </c>
      <c r="M22" s="193">
        <v>0</v>
      </c>
      <c r="N22" s="193">
        <v>0</v>
      </c>
      <c r="O22" s="193">
        <v>279.16000000000003</v>
      </c>
      <c r="P22" s="193">
        <v>0</v>
      </c>
      <c r="Q22" s="193">
        <v>0</v>
      </c>
      <c r="R22" s="193">
        <v>0</v>
      </c>
      <c r="S22" s="193">
        <v>0</v>
      </c>
      <c r="T22" s="193">
        <v>279.16000000000003</v>
      </c>
    </row>
    <row r="23" spans="1:20">
      <c r="A23" s="13">
        <v>19</v>
      </c>
      <c r="B23" s="216" t="s">
        <v>253</v>
      </c>
      <c r="C23" s="217"/>
      <c r="D23" s="196">
        <v>0</v>
      </c>
      <c r="E23" s="196">
        <v>0</v>
      </c>
      <c r="F23" s="197">
        <v>14</v>
      </c>
      <c r="G23" s="192">
        <v>0</v>
      </c>
      <c r="H23" s="192">
        <v>0</v>
      </c>
      <c r="I23" s="11">
        <v>0</v>
      </c>
      <c r="J23" s="11">
        <v>0</v>
      </c>
      <c r="K23" s="11"/>
      <c r="L23" s="193">
        <v>0</v>
      </c>
      <c r="M23" s="193">
        <v>0</v>
      </c>
      <c r="N23" s="193">
        <v>0</v>
      </c>
      <c r="O23" s="193">
        <v>279.16000000000003</v>
      </c>
      <c r="P23" s="193">
        <v>0</v>
      </c>
      <c r="Q23" s="193">
        <v>0</v>
      </c>
      <c r="R23" s="193">
        <v>0</v>
      </c>
      <c r="S23" s="193">
        <v>0</v>
      </c>
      <c r="T23" s="193">
        <v>279.16000000000003</v>
      </c>
    </row>
    <row r="24" spans="1:20">
      <c r="A24" s="13">
        <v>20</v>
      </c>
      <c r="B24" s="216" t="s">
        <v>254</v>
      </c>
      <c r="C24" s="217"/>
      <c r="D24" s="196">
        <v>0</v>
      </c>
      <c r="E24" s="196">
        <v>0</v>
      </c>
      <c r="F24" s="197">
        <v>14</v>
      </c>
      <c r="G24" s="192">
        <v>0</v>
      </c>
      <c r="H24" s="192">
        <v>0</v>
      </c>
      <c r="I24" s="11">
        <v>0</v>
      </c>
      <c r="J24" s="11">
        <v>0</v>
      </c>
      <c r="K24" s="11"/>
      <c r="L24" s="193">
        <v>0</v>
      </c>
      <c r="M24" s="193">
        <v>0</v>
      </c>
      <c r="N24" s="193">
        <v>0</v>
      </c>
      <c r="O24" s="193">
        <v>279.16000000000003</v>
      </c>
      <c r="P24" s="193">
        <v>0</v>
      </c>
      <c r="Q24" s="193">
        <v>0</v>
      </c>
      <c r="R24" s="193">
        <v>0</v>
      </c>
      <c r="S24" s="193">
        <v>0</v>
      </c>
      <c r="T24" s="193">
        <v>279.16000000000003</v>
      </c>
    </row>
    <row r="25" spans="1:20">
      <c r="A25" s="13">
        <v>21</v>
      </c>
      <c r="B25" s="216" t="s">
        <v>255</v>
      </c>
      <c r="C25" s="217"/>
      <c r="D25" s="196">
        <v>0</v>
      </c>
      <c r="E25" s="196">
        <v>0</v>
      </c>
      <c r="F25" s="197">
        <v>14</v>
      </c>
      <c r="G25" s="192">
        <v>0</v>
      </c>
      <c r="H25" s="192">
        <v>0</v>
      </c>
      <c r="I25" s="11">
        <v>0</v>
      </c>
      <c r="J25" s="11">
        <v>0</v>
      </c>
      <c r="K25" s="11"/>
      <c r="L25" s="193">
        <v>0</v>
      </c>
      <c r="M25" s="193">
        <v>0</v>
      </c>
      <c r="N25" s="193">
        <v>0</v>
      </c>
      <c r="O25" s="193">
        <v>279.16000000000003</v>
      </c>
      <c r="P25" s="193">
        <v>0</v>
      </c>
      <c r="Q25" s="193">
        <v>0</v>
      </c>
      <c r="R25" s="193">
        <v>0</v>
      </c>
      <c r="S25" s="193">
        <v>0</v>
      </c>
      <c r="T25" s="193">
        <v>279.16000000000003</v>
      </c>
    </row>
    <row r="26" spans="1:20">
      <c r="A26" s="13">
        <v>22</v>
      </c>
      <c r="B26" s="216" t="s">
        <v>256</v>
      </c>
      <c r="C26" s="217"/>
      <c r="D26" s="196">
        <v>0</v>
      </c>
      <c r="E26" s="196">
        <v>0</v>
      </c>
      <c r="F26" s="197">
        <v>14</v>
      </c>
      <c r="G26" s="192">
        <v>0</v>
      </c>
      <c r="H26" s="192">
        <v>0</v>
      </c>
      <c r="I26" s="11">
        <v>0</v>
      </c>
      <c r="J26" s="11">
        <v>0</v>
      </c>
      <c r="K26" s="11"/>
      <c r="L26" s="193">
        <v>0</v>
      </c>
      <c r="M26" s="193">
        <v>0</v>
      </c>
      <c r="N26" s="193">
        <v>0</v>
      </c>
      <c r="O26" s="193">
        <v>279.16000000000003</v>
      </c>
      <c r="P26" s="193">
        <v>0</v>
      </c>
      <c r="Q26" s="193">
        <v>0</v>
      </c>
      <c r="R26" s="193">
        <v>0</v>
      </c>
      <c r="S26" s="193">
        <v>0</v>
      </c>
      <c r="T26" s="193">
        <v>279.16000000000003</v>
      </c>
    </row>
    <row r="27" spans="1:20">
      <c r="A27" s="13">
        <v>23</v>
      </c>
      <c r="B27" s="216" t="s">
        <v>257</v>
      </c>
      <c r="C27" s="217"/>
      <c r="D27" s="196">
        <v>0</v>
      </c>
      <c r="E27" s="196">
        <v>0</v>
      </c>
      <c r="F27" s="197">
        <v>14</v>
      </c>
      <c r="G27" s="192">
        <v>0</v>
      </c>
      <c r="H27" s="192">
        <v>0</v>
      </c>
      <c r="I27" s="11">
        <v>0</v>
      </c>
      <c r="J27" s="11">
        <v>0</v>
      </c>
      <c r="K27" s="11"/>
      <c r="L27" s="193">
        <v>0</v>
      </c>
      <c r="M27" s="193">
        <v>0</v>
      </c>
      <c r="N27" s="193">
        <v>0</v>
      </c>
      <c r="O27" s="193">
        <v>279.16000000000003</v>
      </c>
      <c r="P27" s="193">
        <v>0</v>
      </c>
      <c r="Q27" s="193">
        <v>0</v>
      </c>
      <c r="R27" s="193">
        <v>0</v>
      </c>
      <c r="S27" s="193">
        <v>0</v>
      </c>
      <c r="T27" s="193">
        <v>279.16000000000003</v>
      </c>
    </row>
    <row r="28" spans="1:20">
      <c r="A28" s="13">
        <v>24</v>
      </c>
      <c r="B28" s="216" t="s">
        <v>258</v>
      </c>
      <c r="C28" s="217"/>
      <c r="D28" s="196">
        <v>0</v>
      </c>
      <c r="E28" s="196">
        <v>0</v>
      </c>
      <c r="F28" s="197">
        <v>14</v>
      </c>
      <c r="G28" s="192">
        <v>0</v>
      </c>
      <c r="H28" s="192">
        <v>0</v>
      </c>
      <c r="I28" s="11">
        <v>0</v>
      </c>
      <c r="J28" s="11">
        <v>0</v>
      </c>
      <c r="K28" s="11"/>
      <c r="L28" s="193">
        <v>0</v>
      </c>
      <c r="M28" s="193">
        <v>0</v>
      </c>
      <c r="N28" s="193">
        <v>0</v>
      </c>
      <c r="O28" s="193">
        <v>279.16000000000003</v>
      </c>
      <c r="P28" s="193">
        <v>0</v>
      </c>
      <c r="Q28" s="193">
        <v>0</v>
      </c>
      <c r="R28" s="193">
        <v>0</v>
      </c>
      <c r="S28" s="193">
        <v>0</v>
      </c>
      <c r="T28" s="193">
        <v>279.16000000000003</v>
      </c>
    </row>
    <row r="29" spans="1:20">
      <c r="A29" s="13">
        <v>25</v>
      </c>
      <c r="B29" s="216" t="s">
        <v>259</v>
      </c>
      <c r="C29" s="217"/>
      <c r="D29" s="196">
        <v>0</v>
      </c>
      <c r="E29" s="196">
        <v>0</v>
      </c>
      <c r="F29" s="197">
        <v>14</v>
      </c>
      <c r="G29" s="192">
        <v>0</v>
      </c>
      <c r="H29" s="192">
        <v>0</v>
      </c>
      <c r="I29" s="11">
        <v>0</v>
      </c>
      <c r="J29" s="11">
        <v>0</v>
      </c>
      <c r="K29" s="11"/>
      <c r="L29" s="193">
        <v>0</v>
      </c>
      <c r="M29" s="193">
        <v>0</v>
      </c>
      <c r="N29" s="193">
        <v>0</v>
      </c>
      <c r="O29" s="193">
        <v>279.16000000000003</v>
      </c>
      <c r="P29" s="193">
        <v>0</v>
      </c>
      <c r="Q29" s="193">
        <v>0</v>
      </c>
      <c r="R29" s="193">
        <v>0</v>
      </c>
      <c r="S29" s="193">
        <v>0</v>
      </c>
      <c r="T29" s="193">
        <v>279.16000000000003</v>
      </c>
    </row>
    <row r="30" spans="1:20">
      <c r="A30" s="13">
        <v>26</v>
      </c>
      <c r="B30" s="216" t="s">
        <v>260</v>
      </c>
      <c r="C30" s="217"/>
      <c r="D30" s="196">
        <v>0</v>
      </c>
      <c r="E30" s="196">
        <v>0</v>
      </c>
      <c r="F30" s="197">
        <v>14</v>
      </c>
      <c r="G30" s="192">
        <v>0</v>
      </c>
      <c r="H30" s="192">
        <v>0</v>
      </c>
      <c r="I30" s="11">
        <v>0</v>
      </c>
      <c r="J30" s="11">
        <v>0</v>
      </c>
      <c r="K30" s="11"/>
      <c r="L30" s="193">
        <v>0</v>
      </c>
      <c r="M30" s="193">
        <v>0</v>
      </c>
      <c r="N30" s="193">
        <v>0</v>
      </c>
      <c r="O30" s="193">
        <v>279.16000000000003</v>
      </c>
      <c r="P30" s="193">
        <v>0</v>
      </c>
      <c r="Q30" s="193">
        <v>0</v>
      </c>
      <c r="R30" s="193">
        <v>0</v>
      </c>
      <c r="S30" s="193">
        <v>0</v>
      </c>
      <c r="T30" s="193">
        <v>279.16000000000003</v>
      </c>
    </row>
    <row r="31" spans="1:20">
      <c r="A31" s="13">
        <v>27</v>
      </c>
      <c r="B31" s="216" t="s">
        <v>261</v>
      </c>
      <c r="C31" s="217"/>
      <c r="D31" s="196">
        <v>0</v>
      </c>
      <c r="E31" s="196">
        <v>0</v>
      </c>
      <c r="F31" s="197">
        <v>14</v>
      </c>
      <c r="G31" s="192">
        <v>0</v>
      </c>
      <c r="H31" s="192">
        <v>0</v>
      </c>
      <c r="I31" s="11">
        <v>0</v>
      </c>
      <c r="J31" s="11">
        <v>0</v>
      </c>
      <c r="K31" s="11"/>
      <c r="L31" s="193">
        <v>0</v>
      </c>
      <c r="M31" s="193">
        <v>0</v>
      </c>
      <c r="N31" s="193">
        <v>0</v>
      </c>
      <c r="O31" s="193">
        <v>279.16000000000003</v>
      </c>
      <c r="P31" s="193">
        <v>0</v>
      </c>
      <c r="Q31" s="193">
        <v>0</v>
      </c>
      <c r="R31" s="193">
        <v>0</v>
      </c>
      <c r="S31" s="193">
        <v>0</v>
      </c>
      <c r="T31" s="193">
        <v>279.16000000000003</v>
      </c>
    </row>
    <row r="32" spans="1:20">
      <c r="A32" s="13">
        <v>28</v>
      </c>
      <c r="B32" s="216" t="s">
        <v>262</v>
      </c>
      <c r="C32" s="217"/>
      <c r="D32" s="196">
        <v>0</v>
      </c>
      <c r="E32" s="196">
        <v>0</v>
      </c>
      <c r="F32" s="197">
        <v>14</v>
      </c>
      <c r="G32" s="192">
        <v>0</v>
      </c>
      <c r="H32" s="192">
        <v>0</v>
      </c>
      <c r="I32" s="11">
        <v>0</v>
      </c>
      <c r="J32" s="11">
        <v>0</v>
      </c>
      <c r="K32" s="11"/>
      <c r="L32" s="193">
        <v>0</v>
      </c>
      <c r="M32" s="193">
        <v>0</v>
      </c>
      <c r="N32" s="193">
        <v>0</v>
      </c>
      <c r="O32" s="193">
        <v>279.16000000000003</v>
      </c>
      <c r="P32" s="193">
        <v>0</v>
      </c>
      <c r="Q32" s="193">
        <v>0</v>
      </c>
      <c r="R32" s="193">
        <v>0</v>
      </c>
      <c r="S32" s="193">
        <v>0</v>
      </c>
      <c r="T32" s="193">
        <v>279.16000000000003</v>
      </c>
    </row>
    <row r="33" spans="1:20">
      <c r="A33" s="13">
        <v>29</v>
      </c>
      <c r="B33" s="216" t="s">
        <v>263</v>
      </c>
      <c r="C33" s="217"/>
      <c r="D33" s="196">
        <v>0</v>
      </c>
      <c r="E33" s="196">
        <v>0</v>
      </c>
      <c r="F33" s="197">
        <v>14</v>
      </c>
      <c r="G33" s="192">
        <v>0</v>
      </c>
      <c r="H33" s="192">
        <v>0</v>
      </c>
      <c r="I33" s="11">
        <v>0</v>
      </c>
      <c r="J33" s="11">
        <v>0</v>
      </c>
      <c r="K33" s="11"/>
      <c r="L33" s="193">
        <v>0</v>
      </c>
      <c r="M33" s="193">
        <v>0</v>
      </c>
      <c r="N33" s="193">
        <v>0</v>
      </c>
      <c r="O33" s="193">
        <v>279.16000000000003</v>
      </c>
      <c r="P33" s="193">
        <v>0</v>
      </c>
      <c r="Q33" s="193">
        <v>0</v>
      </c>
      <c r="R33" s="193">
        <v>0</v>
      </c>
      <c r="S33" s="193">
        <v>0</v>
      </c>
      <c r="T33" s="193">
        <v>279.16000000000003</v>
      </c>
    </row>
    <row r="34" spans="1:20">
      <c r="A34" s="13">
        <v>30</v>
      </c>
      <c r="B34" s="216" t="s">
        <v>264</v>
      </c>
      <c r="C34" s="217"/>
      <c r="D34" s="196">
        <v>0</v>
      </c>
      <c r="E34" s="196">
        <v>0</v>
      </c>
      <c r="F34" s="197">
        <v>14</v>
      </c>
      <c r="G34" s="192">
        <v>0</v>
      </c>
      <c r="H34" s="192">
        <v>0</v>
      </c>
      <c r="I34" s="11">
        <v>0</v>
      </c>
      <c r="J34" s="11">
        <v>0</v>
      </c>
      <c r="K34" s="11"/>
      <c r="L34" s="193">
        <v>0</v>
      </c>
      <c r="M34" s="193">
        <v>0</v>
      </c>
      <c r="N34" s="193">
        <v>0</v>
      </c>
      <c r="O34" s="193">
        <v>279.16000000000003</v>
      </c>
      <c r="P34" s="193">
        <v>0</v>
      </c>
      <c r="Q34" s="193">
        <v>0</v>
      </c>
      <c r="R34" s="193">
        <v>0</v>
      </c>
      <c r="S34" s="193">
        <v>0</v>
      </c>
      <c r="T34" s="193">
        <v>279.16000000000003</v>
      </c>
    </row>
    <row r="35" spans="1:20">
      <c r="A35" s="13">
        <v>31</v>
      </c>
      <c r="B35" s="216" t="s">
        <v>265</v>
      </c>
      <c r="C35" s="217"/>
      <c r="D35" s="196">
        <v>0</v>
      </c>
      <c r="E35" s="196">
        <v>0</v>
      </c>
      <c r="F35" s="197">
        <v>14</v>
      </c>
      <c r="G35" s="192">
        <v>0</v>
      </c>
      <c r="H35" s="192">
        <v>0</v>
      </c>
      <c r="I35" s="11">
        <v>0</v>
      </c>
      <c r="J35" s="11">
        <v>0</v>
      </c>
      <c r="K35" s="11"/>
      <c r="L35" s="193">
        <v>0</v>
      </c>
      <c r="M35" s="193">
        <v>0</v>
      </c>
      <c r="N35" s="193">
        <v>0</v>
      </c>
      <c r="O35" s="193">
        <v>279.16000000000003</v>
      </c>
      <c r="P35" s="193">
        <v>0</v>
      </c>
      <c r="Q35" s="193">
        <v>0</v>
      </c>
      <c r="R35" s="193">
        <v>0</v>
      </c>
      <c r="S35" s="193">
        <v>0</v>
      </c>
      <c r="T35" s="193">
        <v>279.16000000000003</v>
      </c>
    </row>
    <row r="36" spans="1:20">
      <c r="D36" s="19">
        <v>0</v>
      </c>
      <c r="E36" s="19">
        <v>0</v>
      </c>
      <c r="F36" s="19">
        <v>434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4">
        <v>0</v>
      </c>
      <c r="M36" s="194">
        <v>0</v>
      </c>
      <c r="N36" s="194">
        <v>0</v>
      </c>
      <c r="O36" s="194">
        <v>8653.9599999999991</v>
      </c>
      <c r="P36" s="194">
        <v>0</v>
      </c>
      <c r="Q36" s="194">
        <v>0</v>
      </c>
      <c r="R36" s="194">
        <v>0</v>
      </c>
      <c r="S36" s="194">
        <v>0</v>
      </c>
      <c r="T36" s="194">
        <v>8653.9599999999991</v>
      </c>
    </row>
    <row r="37" spans="1:20">
      <c r="R37" s="21"/>
      <c r="S37" s="21"/>
      <c r="T37" s="195">
        <v>10384.75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243E-0BE1-40C4-AEF4-32FC02B36D40}">
  <sheetPr codeName="Лист27">
    <pageSetUpPr fitToPage="1"/>
  </sheetPr>
  <dimension ref="A1:T37"/>
  <sheetViews>
    <sheetView workbookViewId="0">
      <selection activeCell="Q9" sqref="Q9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8" t="s">
        <v>266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146</v>
      </c>
      <c r="E3" s="209" t="s">
        <v>147</v>
      </c>
      <c r="F3" s="4" t="s">
        <v>4</v>
      </c>
      <c r="G3" s="209" t="s">
        <v>195</v>
      </c>
      <c r="H3" s="209" t="s">
        <v>234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 ht="30">
      <c r="A4" s="210"/>
      <c r="B4" s="213"/>
      <c r="C4" s="214"/>
      <c r="D4" s="210"/>
      <c r="E4" s="210"/>
      <c r="F4" s="5" t="s">
        <v>156</v>
      </c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235</v>
      </c>
      <c r="C5" s="217"/>
      <c r="D5" s="196">
        <v>0</v>
      </c>
      <c r="E5" s="196">
        <v>0</v>
      </c>
      <c r="F5" s="197">
        <v>1989</v>
      </c>
      <c r="G5" s="192">
        <v>4931</v>
      </c>
      <c r="H5" s="192">
        <v>600</v>
      </c>
      <c r="I5" s="11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39660.660000000003</v>
      </c>
      <c r="P5" s="193">
        <v>98324.14</v>
      </c>
      <c r="Q5" s="193">
        <v>90750</v>
      </c>
      <c r="R5" s="193">
        <v>0</v>
      </c>
      <c r="S5" s="193">
        <v>0</v>
      </c>
      <c r="T5" s="193">
        <v>228734.8</v>
      </c>
    </row>
    <row r="6" spans="1:20">
      <c r="A6" s="13">
        <v>2</v>
      </c>
      <c r="B6" s="216" t="s">
        <v>236</v>
      </c>
      <c r="C6" s="217"/>
      <c r="D6" s="196">
        <v>135</v>
      </c>
      <c r="E6" s="196">
        <v>0</v>
      </c>
      <c r="F6" s="197">
        <v>2124</v>
      </c>
      <c r="G6" s="192">
        <v>4796</v>
      </c>
      <c r="H6" s="192">
        <v>465</v>
      </c>
      <c r="I6" s="11">
        <v>0</v>
      </c>
      <c r="J6" s="11">
        <v>0</v>
      </c>
      <c r="K6" s="11"/>
      <c r="L6" s="193">
        <v>0</v>
      </c>
      <c r="M6" s="193">
        <v>20418.75</v>
      </c>
      <c r="N6" s="193">
        <v>0</v>
      </c>
      <c r="O6" s="193">
        <v>42352.56</v>
      </c>
      <c r="P6" s="193">
        <v>95632.24</v>
      </c>
      <c r="Q6" s="193">
        <v>70331.25</v>
      </c>
      <c r="R6" s="193">
        <v>0</v>
      </c>
      <c r="S6" s="193">
        <v>0</v>
      </c>
      <c r="T6" s="193">
        <v>228734.8</v>
      </c>
    </row>
    <row r="7" spans="1:20">
      <c r="A7" s="13">
        <v>3</v>
      </c>
      <c r="B7" s="216" t="s">
        <v>237</v>
      </c>
      <c r="C7" s="217"/>
      <c r="D7" s="196">
        <v>75</v>
      </c>
      <c r="E7" s="196">
        <v>0</v>
      </c>
      <c r="F7" s="197">
        <v>2199</v>
      </c>
      <c r="G7" s="192">
        <v>4721</v>
      </c>
      <c r="H7" s="192">
        <v>525</v>
      </c>
      <c r="I7" s="11">
        <v>0</v>
      </c>
      <c r="J7" s="11">
        <v>0</v>
      </c>
      <c r="K7" s="11"/>
      <c r="L7" s="193">
        <v>0</v>
      </c>
      <c r="M7" s="193">
        <v>11343.75</v>
      </c>
      <c r="N7" s="193">
        <v>0</v>
      </c>
      <c r="O7" s="193">
        <v>43848.06</v>
      </c>
      <c r="P7" s="193">
        <v>94136.74</v>
      </c>
      <c r="Q7" s="193">
        <v>79406.25</v>
      </c>
      <c r="R7" s="193">
        <v>0</v>
      </c>
      <c r="S7" s="193">
        <v>0</v>
      </c>
      <c r="T7" s="193">
        <v>228734.8</v>
      </c>
    </row>
    <row r="8" spans="1:20">
      <c r="A8" s="13">
        <v>4</v>
      </c>
      <c r="B8" s="216" t="s">
        <v>238</v>
      </c>
      <c r="C8" s="217"/>
      <c r="D8" s="196">
        <v>150</v>
      </c>
      <c r="E8" s="196">
        <v>30</v>
      </c>
      <c r="F8" s="197">
        <v>2319</v>
      </c>
      <c r="G8" s="192">
        <v>4601</v>
      </c>
      <c r="H8" s="192">
        <v>420</v>
      </c>
      <c r="I8" s="11">
        <v>0</v>
      </c>
      <c r="J8" s="11">
        <v>0</v>
      </c>
      <c r="K8" s="11"/>
      <c r="L8" s="193">
        <v>0</v>
      </c>
      <c r="M8" s="193">
        <v>22687.5</v>
      </c>
      <c r="N8" s="193">
        <v>4537.5</v>
      </c>
      <c r="O8" s="193">
        <v>46240.86</v>
      </c>
      <c r="P8" s="193">
        <v>91743.94</v>
      </c>
      <c r="Q8" s="193">
        <v>63525</v>
      </c>
      <c r="R8" s="193">
        <v>0</v>
      </c>
      <c r="S8" s="193">
        <v>0</v>
      </c>
      <c r="T8" s="193">
        <v>228734.8</v>
      </c>
    </row>
    <row r="9" spans="1:20">
      <c r="A9" s="13">
        <v>5</v>
      </c>
      <c r="B9" s="216" t="s">
        <v>239</v>
      </c>
      <c r="C9" s="217"/>
      <c r="D9" s="196">
        <v>215</v>
      </c>
      <c r="E9" s="196">
        <v>0</v>
      </c>
      <c r="F9" s="197">
        <v>2534</v>
      </c>
      <c r="G9" s="192">
        <v>4386</v>
      </c>
      <c r="H9" s="192">
        <v>385</v>
      </c>
      <c r="I9" s="11">
        <v>0</v>
      </c>
      <c r="J9" s="11">
        <v>0</v>
      </c>
      <c r="K9" s="11"/>
      <c r="L9" s="193">
        <v>0</v>
      </c>
      <c r="M9" s="193">
        <v>32518.75</v>
      </c>
      <c r="N9" s="193">
        <v>0</v>
      </c>
      <c r="O9" s="193">
        <v>50527.96</v>
      </c>
      <c r="P9" s="193">
        <v>87456.84</v>
      </c>
      <c r="Q9" s="193">
        <v>58231.25</v>
      </c>
      <c r="R9" s="193">
        <v>0</v>
      </c>
      <c r="S9" s="193">
        <v>0</v>
      </c>
      <c r="T9" s="193">
        <v>228734.8</v>
      </c>
    </row>
    <row r="10" spans="1:20">
      <c r="A10" s="13">
        <v>6</v>
      </c>
      <c r="B10" s="216" t="s">
        <v>240</v>
      </c>
      <c r="C10" s="217"/>
      <c r="D10" s="196">
        <v>225</v>
      </c>
      <c r="E10" s="196">
        <v>0</v>
      </c>
      <c r="F10" s="197">
        <v>2759</v>
      </c>
      <c r="G10" s="192">
        <v>4161</v>
      </c>
      <c r="H10" s="192">
        <v>375</v>
      </c>
      <c r="I10" s="11">
        <v>0</v>
      </c>
      <c r="J10" s="11">
        <v>0</v>
      </c>
      <c r="K10" s="11"/>
      <c r="L10" s="193">
        <v>0</v>
      </c>
      <c r="M10" s="193">
        <v>34031.25</v>
      </c>
      <c r="N10" s="193">
        <v>0</v>
      </c>
      <c r="O10" s="193">
        <v>55014.46</v>
      </c>
      <c r="P10" s="193">
        <v>82970.34</v>
      </c>
      <c r="Q10" s="193">
        <v>56718.75</v>
      </c>
      <c r="R10" s="193">
        <v>0</v>
      </c>
      <c r="S10" s="193">
        <v>0</v>
      </c>
      <c r="T10" s="193">
        <v>228734.8</v>
      </c>
    </row>
    <row r="11" spans="1:20">
      <c r="A11" s="13">
        <v>7</v>
      </c>
      <c r="B11" s="216" t="s">
        <v>241</v>
      </c>
      <c r="C11" s="217"/>
      <c r="D11" s="196">
        <v>345</v>
      </c>
      <c r="E11" s="196">
        <v>0</v>
      </c>
      <c r="F11" s="197">
        <v>3104</v>
      </c>
      <c r="G11" s="192">
        <v>3816</v>
      </c>
      <c r="H11" s="192">
        <v>255</v>
      </c>
      <c r="I11" s="11">
        <v>0</v>
      </c>
      <c r="J11" s="11">
        <v>0</v>
      </c>
      <c r="K11" s="11"/>
      <c r="L11" s="193">
        <v>0</v>
      </c>
      <c r="M11" s="193">
        <v>52181.25</v>
      </c>
      <c r="N11" s="193">
        <v>0</v>
      </c>
      <c r="O11" s="193">
        <v>61893.760000000002</v>
      </c>
      <c r="P11" s="193">
        <v>76091.039999999994</v>
      </c>
      <c r="Q11" s="193">
        <v>38568.75</v>
      </c>
      <c r="R11" s="193">
        <v>0</v>
      </c>
      <c r="S11" s="193">
        <v>0</v>
      </c>
      <c r="T11" s="193">
        <v>228734.8</v>
      </c>
    </row>
    <row r="12" spans="1:20">
      <c r="A12" s="13">
        <v>8</v>
      </c>
      <c r="B12" s="216" t="s">
        <v>242</v>
      </c>
      <c r="C12" s="217"/>
      <c r="D12" s="196">
        <v>270</v>
      </c>
      <c r="E12" s="196">
        <v>0</v>
      </c>
      <c r="F12" s="197">
        <v>3374</v>
      </c>
      <c r="G12" s="192">
        <v>3546</v>
      </c>
      <c r="H12" s="192">
        <v>330</v>
      </c>
      <c r="I12" s="11">
        <v>4.125</v>
      </c>
      <c r="J12" s="11">
        <v>4.125</v>
      </c>
      <c r="K12" s="11"/>
      <c r="L12" s="193">
        <v>0</v>
      </c>
      <c r="M12" s="193">
        <v>40837.5</v>
      </c>
      <c r="N12" s="193">
        <v>0</v>
      </c>
      <c r="O12" s="193">
        <v>67277.56</v>
      </c>
      <c r="P12" s="193">
        <v>70707.240000000005</v>
      </c>
      <c r="Q12" s="193">
        <v>49912.5</v>
      </c>
      <c r="R12" s="193">
        <v>3403.13</v>
      </c>
      <c r="S12" s="193">
        <v>495</v>
      </c>
      <c r="T12" s="193">
        <v>232632.93</v>
      </c>
    </row>
    <row r="13" spans="1:20">
      <c r="A13" s="13">
        <v>9</v>
      </c>
      <c r="B13" s="216" t="s">
        <v>243</v>
      </c>
      <c r="C13" s="217"/>
      <c r="D13" s="196">
        <v>210</v>
      </c>
      <c r="E13" s="196">
        <v>0</v>
      </c>
      <c r="F13" s="197">
        <v>3584</v>
      </c>
      <c r="G13" s="192">
        <v>3336</v>
      </c>
      <c r="H13" s="192">
        <v>390</v>
      </c>
      <c r="I13" s="11">
        <v>0</v>
      </c>
      <c r="J13" s="11">
        <v>0</v>
      </c>
      <c r="K13" s="11"/>
      <c r="L13" s="193">
        <v>0</v>
      </c>
      <c r="M13" s="193">
        <v>31762.5</v>
      </c>
      <c r="N13" s="193">
        <v>0</v>
      </c>
      <c r="O13" s="193">
        <v>71464.960000000006</v>
      </c>
      <c r="P13" s="193">
        <v>66519.839999999997</v>
      </c>
      <c r="Q13" s="193">
        <v>58987.5</v>
      </c>
      <c r="R13" s="193">
        <v>0</v>
      </c>
      <c r="S13" s="193">
        <v>0</v>
      </c>
      <c r="T13" s="193">
        <v>228734.8</v>
      </c>
    </row>
    <row r="14" spans="1:20">
      <c r="A14" s="13">
        <v>10</v>
      </c>
      <c r="B14" s="216" t="s">
        <v>244</v>
      </c>
      <c r="C14" s="217"/>
      <c r="D14" s="196">
        <v>150</v>
      </c>
      <c r="E14" s="196">
        <v>16</v>
      </c>
      <c r="F14" s="197">
        <v>3718</v>
      </c>
      <c r="G14" s="192">
        <v>3202</v>
      </c>
      <c r="H14" s="192">
        <v>434</v>
      </c>
      <c r="I14" s="11">
        <v>0</v>
      </c>
      <c r="J14" s="11">
        <v>0</v>
      </c>
      <c r="K14" s="11"/>
      <c r="L14" s="193">
        <v>0</v>
      </c>
      <c r="M14" s="193">
        <v>22687.5</v>
      </c>
      <c r="N14" s="193">
        <v>2420</v>
      </c>
      <c r="O14" s="193">
        <v>74136.92</v>
      </c>
      <c r="P14" s="193">
        <v>63847.88</v>
      </c>
      <c r="Q14" s="193">
        <v>65642.5</v>
      </c>
      <c r="R14" s="193">
        <v>0</v>
      </c>
      <c r="S14" s="193">
        <v>0</v>
      </c>
      <c r="T14" s="193">
        <v>228734.8</v>
      </c>
    </row>
    <row r="15" spans="1:20">
      <c r="A15" s="13">
        <v>11</v>
      </c>
      <c r="B15" s="216" t="s">
        <v>245</v>
      </c>
      <c r="C15" s="217"/>
      <c r="D15" s="196">
        <v>120</v>
      </c>
      <c r="E15" s="196">
        <v>0</v>
      </c>
      <c r="F15" s="197">
        <v>3838</v>
      </c>
      <c r="G15" s="192">
        <v>3082</v>
      </c>
      <c r="H15" s="192">
        <v>480</v>
      </c>
      <c r="I15" s="11">
        <v>0</v>
      </c>
      <c r="J15" s="11">
        <v>0</v>
      </c>
      <c r="K15" s="11"/>
      <c r="L15" s="193">
        <v>0</v>
      </c>
      <c r="M15" s="193">
        <v>18150</v>
      </c>
      <c r="N15" s="193">
        <v>0</v>
      </c>
      <c r="O15" s="193">
        <v>76529.72</v>
      </c>
      <c r="P15" s="193">
        <v>61455.08</v>
      </c>
      <c r="Q15" s="193">
        <v>72600</v>
      </c>
      <c r="R15" s="193">
        <v>0</v>
      </c>
      <c r="S15" s="193">
        <v>0</v>
      </c>
      <c r="T15" s="193">
        <v>228734.8</v>
      </c>
    </row>
    <row r="16" spans="1:20">
      <c r="A16" s="13">
        <v>12</v>
      </c>
      <c r="B16" s="216" t="s">
        <v>246</v>
      </c>
      <c r="C16" s="217"/>
      <c r="D16" s="196">
        <v>119</v>
      </c>
      <c r="E16" s="196">
        <v>0</v>
      </c>
      <c r="F16" s="197">
        <v>3957</v>
      </c>
      <c r="G16" s="192">
        <v>2963</v>
      </c>
      <c r="H16" s="192">
        <v>481</v>
      </c>
      <c r="I16" s="11">
        <v>1.35</v>
      </c>
      <c r="J16" s="11">
        <v>1.35</v>
      </c>
      <c r="K16" s="11"/>
      <c r="L16" s="193">
        <v>0</v>
      </c>
      <c r="M16" s="193">
        <v>17998.75</v>
      </c>
      <c r="N16" s="193">
        <v>0</v>
      </c>
      <c r="O16" s="193">
        <v>78902.58</v>
      </c>
      <c r="P16" s="193">
        <v>59082.22</v>
      </c>
      <c r="Q16" s="193">
        <v>72751.25</v>
      </c>
      <c r="R16" s="193">
        <v>1113.75</v>
      </c>
      <c r="S16" s="193">
        <v>162</v>
      </c>
      <c r="T16" s="193">
        <v>230010.55</v>
      </c>
    </row>
    <row r="17" spans="1:20">
      <c r="A17" s="13">
        <v>13</v>
      </c>
      <c r="B17" s="216" t="s">
        <v>247</v>
      </c>
      <c r="C17" s="217"/>
      <c r="D17" s="196">
        <v>60</v>
      </c>
      <c r="E17" s="196">
        <v>30</v>
      </c>
      <c r="F17" s="197">
        <v>3987</v>
      </c>
      <c r="G17" s="192">
        <v>2933</v>
      </c>
      <c r="H17" s="192">
        <v>510</v>
      </c>
      <c r="I17" s="11">
        <v>0</v>
      </c>
      <c r="J17" s="11">
        <v>0</v>
      </c>
      <c r="K17" s="11"/>
      <c r="L17" s="193">
        <v>0</v>
      </c>
      <c r="M17" s="193">
        <v>9075</v>
      </c>
      <c r="N17" s="193">
        <v>4537.5</v>
      </c>
      <c r="O17" s="193">
        <v>79500.78</v>
      </c>
      <c r="P17" s="193">
        <v>58484.02</v>
      </c>
      <c r="Q17" s="193">
        <v>77137.5</v>
      </c>
      <c r="R17" s="193">
        <v>0</v>
      </c>
      <c r="S17" s="193">
        <v>0</v>
      </c>
      <c r="T17" s="193">
        <v>228734.8</v>
      </c>
    </row>
    <row r="18" spans="1:20">
      <c r="A18" s="13">
        <v>14</v>
      </c>
      <c r="B18" s="216" t="s">
        <v>248</v>
      </c>
      <c r="C18" s="217"/>
      <c r="D18" s="196">
        <v>30</v>
      </c>
      <c r="E18" s="196">
        <v>120</v>
      </c>
      <c r="F18" s="197">
        <v>3897</v>
      </c>
      <c r="G18" s="192">
        <v>3023</v>
      </c>
      <c r="H18" s="192">
        <v>450</v>
      </c>
      <c r="I18" s="11">
        <v>0</v>
      </c>
      <c r="J18" s="11">
        <v>0</v>
      </c>
      <c r="K18" s="11"/>
      <c r="L18" s="193">
        <v>0</v>
      </c>
      <c r="M18" s="193">
        <v>4537.5</v>
      </c>
      <c r="N18" s="193">
        <v>18150</v>
      </c>
      <c r="O18" s="193">
        <v>77706.179999999993</v>
      </c>
      <c r="P18" s="193">
        <v>60278.62</v>
      </c>
      <c r="Q18" s="193">
        <v>68062.5</v>
      </c>
      <c r="R18" s="193">
        <v>0</v>
      </c>
      <c r="S18" s="193">
        <v>0</v>
      </c>
      <c r="T18" s="193">
        <v>228734.8</v>
      </c>
    </row>
    <row r="19" spans="1:20">
      <c r="A19" s="13">
        <v>15</v>
      </c>
      <c r="B19" s="216" t="s">
        <v>249</v>
      </c>
      <c r="C19" s="217"/>
      <c r="D19" s="196">
        <v>0</v>
      </c>
      <c r="E19" s="196">
        <v>105</v>
      </c>
      <c r="F19" s="197">
        <v>3792</v>
      </c>
      <c r="G19" s="192">
        <v>3128</v>
      </c>
      <c r="H19" s="192">
        <v>495</v>
      </c>
      <c r="I19" s="11">
        <v>0</v>
      </c>
      <c r="J19" s="11">
        <v>0</v>
      </c>
      <c r="K19" s="11"/>
      <c r="L19" s="193">
        <v>0</v>
      </c>
      <c r="M19" s="193">
        <v>0</v>
      </c>
      <c r="N19" s="193">
        <v>15881.25</v>
      </c>
      <c r="O19" s="193">
        <v>75612.479999999996</v>
      </c>
      <c r="P19" s="193">
        <v>62372.32</v>
      </c>
      <c r="Q19" s="193">
        <v>74868.75</v>
      </c>
      <c r="R19" s="193">
        <v>0</v>
      </c>
      <c r="S19" s="193">
        <v>0</v>
      </c>
      <c r="T19" s="193">
        <v>228734.8</v>
      </c>
    </row>
    <row r="20" spans="1:20">
      <c r="A20" s="13">
        <v>16</v>
      </c>
      <c r="B20" s="216" t="s">
        <v>250</v>
      </c>
      <c r="C20" s="217"/>
      <c r="D20" s="196">
        <v>60</v>
      </c>
      <c r="E20" s="196">
        <v>244</v>
      </c>
      <c r="F20" s="197">
        <v>3608</v>
      </c>
      <c r="G20" s="192">
        <v>3312</v>
      </c>
      <c r="H20" s="192">
        <v>296</v>
      </c>
      <c r="I20" s="11">
        <v>0</v>
      </c>
      <c r="J20" s="11">
        <v>0</v>
      </c>
      <c r="K20" s="11"/>
      <c r="L20" s="193">
        <v>0</v>
      </c>
      <c r="M20" s="193">
        <v>9075</v>
      </c>
      <c r="N20" s="193">
        <v>36905</v>
      </c>
      <c r="O20" s="193">
        <v>71943.520000000004</v>
      </c>
      <c r="P20" s="193">
        <v>66041.279999999999</v>
      </c>
      <c r="Q20" s="193">
        <v>44770</v>
      </c>
      <c r="R20" s="193">
        <v>0</v>
      </c>
      <c r="S20" s="193">
        <v>0</v>
      </c>
      <c r="T20" s="193">
        <v>228734.8</v>
      </c>
    </row>
    <row r="21" spans="1:20">
      <c r="A21" s="13">
        <v>17</v>
      </c>
      <c r="B21" s="216" t="s">
        <v>251</v>
      </c>
      <c r="C21" s="217"/>
      <c r="D21" s="196">
        <v>90</v>
      </c>
      <c r="E21" s="196">
        <v>150</v>
      </c>
      <c r="F21" s="197">
        <v>3548</v>
      </c>
      <c r="G21" s="192">
        <v>3372</v>
      </c>
      <c r="H21" s="192">
        <v>360</v>
      </c>
      <c r="I21" s="11">
        <v>0</v>
      </c>
      <c r="J21" s="11">
        <v>0</v>
      </c>
      <c r="K21" s="11"/>
      <c r="L21" s="193">
        <v>0</v>
      </c>
      <c r="M21" s="193">
        <v>13612.5</v>
      </c>
      <c r="N21" s="193">
        <v>22687.5</v>
      </c>
      <c r="O21" s="193">
        <v>70747.12</v>
      </c>
      <c r="P21" s="193">
        <v>67237.679999999993</v>
      </c>
      <c r="Q21" s="193">
        <v>54450</v>
      </c>
      <c r="R21" s="193">
        <v>0</v>
      </c>
      <c r="S21" s="193">
        <v>0</v>
      </c>
      <c r="T21" s="193">
        <v>228734.8</v>
      </c>
    </row>
    <row r="22" spans="1:20">
      <c r="A22" s="13">
        <v>18</v>
      </c>
      <c r="B22" s="216" t="s">
        <v>252</v>
      </c>
      <c r="C22" s="217"/>
      <c r="D22" s="196">
        <v>15</v>
      </c>
      <c r="E22" s="196">
        <v>165</v>
      </c>
      <c r="F22" s="197">
        <v>3398</v>
      </c>
      <c r="G22" s="192">
        <v>3522</v>
      </c>
      <c r="H22" s="192">
        <v>420</v>
      </c>
      <c r="I22" s="11">
        <v>0</v>
      </c>
      <c r="J22" s="11">
        <v>0</v>
      </c>
      <c r="K22" s="11"/>
      <c r="L22" s="193">
        <v>0</v>
      </c>
      <c r="M22" s="193">
        <v>2268.75</v>
      </c>
      <c r="N22" s="193">
        <v>24956.25</v>
      </c>
      <c r="O22" s="193">
        <v>67756.12</v>
      </c>
      <c r="P22" s="193">
        <v>70228.679999999993</v>
      </c>
      <c r="Q22" s="193">
        <v>63525</v>
      </c>
      <c r="R22" s="193">
        <v>0</v>
      </c>
      <c r="S22" s="193">
        <v>0</v>
      </c>
      <c r="T22" s="193">
        <v>228734.8</v>
      </c>
    </row>
    <row r="23" spans="1:20">
      <c r="A23" s="13">
        <v>19</v>
      </c>
      <c r="B23" s="216" t="s">
        <v>253</v>
      </c>
      <c r="C23" s="217"/>
      <c r="D23" s="196">
        <v>30</v>
      </c>
      <c r="E23" s="196">
        <v>180</v>
      </c>
      <c r="F23" s="197">
        <v>3248</v>
      </c>
      <c r="G23" s="192">
        <v>3672</v>
      </c>
      <c r="H23" s="192">
        <v>390</v>
      </c>
      <c r="I23" s="11">
        <v>0</v>
      </c>
      <c r="J23" s="11">
        <v>0</v>
      </c>
      <c r="K23" s="11"/>
      <c r="L23" s="193">
        <v>0</v>
      </c>
      <c r="M23" s="193">
        <v>4537.5</v>
      </c>
      <c r="N23" s="193">
        <v>27225</v>
      </c>
      <c r="O23" s="193">
        <v>64765.120000000003</v>
      </c>
      <c r="P23" s="193">
        <v>73219.679999999993</v>
      </c>
      <c r="Q23" s="193">
        <v>58987.5</v>
      </c>
      <c r="R23" s="193">
        <v>0</v>
      </c>
      <c r="S23" s="193">
        <v>0</v>
      </c>
      <c r="T23" s="193">
        <v>228734.8</v>
      </c>
    </row>
    <row r="24" spans="1:20">
      <c r="A24" s="13">
        <v>20</v>
      </c>
      <c r="B24" s="216" t="s">
        <v>254</v>
      </c>
      <c r="C24" s="217"/>
      <c r="D24" s="196">
        <v>0</v>
      </c>
      <c r="E24" s="196">
        <v>110</v>
      </c>
      <c r="F24" s="197">
        <v>3138</v>
      </c>
      <c r="G24" s="192">
        <v>3782</v>
      </c>
      <c r="H24" s="192">
        <v>490</v>
      </c>
      <c r="I24" s="11">
        <v>0</v>
      </c>
      <c r="J24" s="11">
        <v>0</v>
      </c>
      <c r="K24" s="11"/>
      <c r="L24" s="193">
        <v>0</v>
      </c>
      <c r="M24" s="193">
        <v>0</v>
      </c>
      <c r="N24" s="193">
        <v>16637.5</v>
      </c>
      <c r="O24" s="193">
        <v>62571.72</v>
      </c>
      <c r="P24" s="193">
        <v>75413.08</v>
      </c>
      <c r="Q24" s="193">
        <v>74112.5</v>
      </c>
      <c r="R24" s="193">
        <v>0</v>
      </c>
      <c r="S24" s="193">
        <v>0</v>
      </c>
      <c r="T24" s="193">
        <v>228734.8</v>
      </c>
    </row>
    <row r="25" spans="1:20">
      <c r="A25" s="13">
        <v>21</v>
      </c>
      <c r="B25" s="216" t="s">
        <v>255</v>
      </c>
      <c r="C25" s="217"/>
      <c r="D25" s="196">
        <v>0</v>
      </c>
      <c r="E25" s="196">
        <v>75</v>
      </c>
      <c r="F25" s="197">
        <v>3063</v>
      </c>
      <c r="G25" s="192">
        <v>3857</v>
      </c>
      <c r="H25" s="192">
        <v>525</v>
      </c>
      <c r="I25" s="11">
        <v>0</v>
      </c>
      <c r="J25" s="11">
        <v>0</v>
      </c>
      <c r="K25" s="11"/>
      <c r="L25" s="193">
        <v>0</v>
      </c>
      <c r="M25" s="193">
        <v>0</v>
      </c>
      <c r="N25" s="193">
        <v>11343.75</v>
      </c>
      <c r="O25" s="193">
        <v>61076.22</v>
      </c>
      <c r="P25" s="193">
        <v>76908.58</v>
      </c>
      <c r="Q25" s="193">
        <v>79406.25</v>
      </c>
      <c r="R25" s="193">
        <v>0</v>
      </c>
      <c r="S25" s="193">
        <v>0</v>
      </c>
      <c r="T25" s="193">
        <v>228734.8</v>
      </c>
    </row>
    <row r="26" spans="1:20">
      <c r="A26" s="13">
        <v>22</v>
      </c>
      <c r="B26" s="216" t="s">
        <v>256</v>
      </c>
      <c r="C26" s="217"/>
      <c r="D26" s="196">
        <v>0</v>
      </c>
      <c r="E26" s="196">
        <v>196</v>
      </c>
      <c r="F26" s="197">
        <v>2867</v>
      </c>
      <c r="G26" s="192">
        <v>4053</v>
      </c>
      <c r="H26" s="192">
        <v>404</v>
      </c>
      <c r="I26" s="11">
        <v>0</v>
      </c>
      <c r="J26" s="11">
        <v>0</v>
      </c>
      <c r="K26" s="11"/>
      <c r="L26" s="193">
        <v>0</v>
      </c>
      <c r="M26" s="193">
        <v>0</v>
      </c>
      <c r="N26" s="193">
        <v>29645</v>
      </c>
      <c r="O26" s="193">
        <v>57167.98</v>
      </c>
      <c r="P26" s="193">
        <v>80816.820000000007</v>
      </c>
      <c r="Q26" s="193">
        <v>61105</v>
      </c>
      <c r="R26" s="193">
        <v>0</v>
      </c>
      <c r="S26" s="193">
        <v>0</v>
      </c>
      <c r="T26" s="193">
        <v>228734.8</v>
      </c>
    </row>
    <row r="27" spans="1:20">
      <c r="A27" s="13">
        <v>23</v>
      </c>
      <c r="B27" s="216" t="s">
        <v>257</v>
      </c>
      <c r="C27" s="217"/>
      <c r="D27" s="196">
        <v>0</v>
      </c>
      <c r="E27" s="196">
        <v>77</v>
      </c>
      <c r="F27" s="197">
        <v>2790</v>
      </c>
      <c r="G27" s="192">
        <v>4130</v>
      </c>
      <c r="H27" s="192">
        <v>523</v>
      </c>
      <c r="I27" s="11">
        <v>0</v>
      </c>
      <c r="J27" s="11">
        <v>0</v>
      </c>
      <c r="K27" s="11"/>
      <c r="L27" s="193">
        <v>0</v>
      </c>
      <c r="M27" s="193">
        <v>0</v>
      </c>
      <c r="N27" s="193">
        <v>11646.25</v>
      </c>
      <c r="O27" s="193">
        <v>55632.6</v>
      </c>
      <c r="P27" s="193">
        <v>82352.2</v>
      </c>
      <c r="Q27" s="193">
        <v>79103.75</v>
      </c>
      <c r="R27" s="193">
        <v>0</v>
      </c>
      <c r="S27" s="193">
        <v>0</v>
      </c>
      <c r="T27" s="193">
        <v>228734.8</v>
      </c>
    </row>
    <row r="28" spans="1:20">
      <c r="A28" s="13">
        <v>24</v>
      </c>
      <c r="B28" s="216" t="s">
        <v>258</v>
      </c>
      <c r="C28" s="217"/>
      <c r="D28" s="196">
        <v>0</v>
      </c>
      <c r="E28" s="196">
        <v>135</v>
      </c>
      <c r="F28" s="197">
        <v>2655</v>
      </c>
      <c r="G28" s="192">
        <v>4265</v>
      </c>
      <c r="H28" s="192">
        <v>465</v>
      </c>
      <c r="I28" s="11">
        <v>0</v>
      </c>
      <c r="J28" s="11">
        <v>0</v>
      </c>
      <c r="K28" s="11"/>
      <c r="L28" s="193">
        <v>0</v>
      </c>
      <c r="M28" s="193">
        <v>0</v>
      </c>
      <c r="N28" s="193">
        <v>20418.75</v>
      </c>
      <c r="O28" s="193">
        <v>52940.7</v>
      </c>
      <c r="P28" s="193">
        <v>85044.1</v>
      </c>
      <c r="Q28" s="193">
        <v>70331.25</v>
      </c>
      <c r="R28" s="193">
        <v>0</v>
      </c>
      <c r="S28" s="193">
        <v>0</v>
      </c>
      <c r="T28" s="193">
        <v>228734.8</v>
      </c>
    </row>
    <row r="29" spans="1:20">
      <c r="A29" s="13">
        <v>25</v>
      </c>
      <c r="B29" s="216" t="s">
        <v>259</v>
      </c>
      <c r="C29" s="217"/>
      <c r="D29" s="196">
        <v>0</v>
      </c>
      <c r="E29" s="196">
        <v>119</v>
      </c>
      <c r="F29" s="197">
        <v>2536</v>
      </c>
      <c r="G29" s="192">
        <v>4384</v>
      </c>
      <c r="H29" s="192">
        <v>481</v>
      </c>
      <c r="I29" s="11">
        <v>0</v>
      </c>
      <c r="J29" s="11">
        <v>0</v>
      </c>
      <c r="K29" s="11"/>
      <c r="L29" s="193">
        <v>0</v>
      </c>
      <c r="M29" s="193">
        <v>0</v>
      </c>
      <c r="N29" s="193">
        <v>17998.75</v>
      </c>
      <c r="O29" s="193">
        <v>50567.839999999997</v>
      </c>
      <c r="P29" s="193">
        <v>87416.960000000006</v>
      </c>
      <c r="Q29" s="193">
        <v>72751.25</v>
      </c>
      <c r="R29" s="193">
        <v>0</v>
      </c>
      <c r="S29" s="193">
        <v>0</v>
      </c>
      <c r="T29" s="193">
        <v>228734.8</v>
      </c>
    </row>
    <row r="30" spans="1:20">
      <c r="A30" s="13">
        <v>26</v>
      </c>
      <c r="B30" s="216" t="s">
        <v>260</v>
      </c>
      <c r="C30" s="217"/>
      <c r="D30" s="196">
        <v>0</v>
      </c>
      <c r="E30" s="196">
        <v>95</v>
      </c>
      <c r="F30" s="197">
        <v>2441</v>
      </c>
      <c r="G30" s="192">
        <v>4479</v>
      </c>
      <c r="H30" s="192">
        <v>505</v>
      </c>
      <c r="I30" s="11">
        <v>0</v>
      </c>
      <c r="J30" s="11">
        <v>0</v>
      </c>
      <c r="K30" s="11"/>
      <c r="L30" s="193">
        <v>0</v>
      </c>
      <c r="M30" s="193">
        <v>0</v>
      </c>
      <c r="N30" s="193">
        <v>14368.75</v>
      </c>
      <c r="O30" s="193">
        <v>48673.54</v>
      </c>
      <c r="P30" s="193">
        <v>89311.26</v>
      </c>
      <c r="Q30" s="193">
        <v>76381.25</v>
      </c>
      <c r="R30" s="193">
        <v>0</v>
      </c>
      <c r="S30" s="193">
        <v>0</v>
      </c>
      <c r="T30" s="193">
        <v>228734.8</v>
      </c>
    </row>
    <row r="31" spans="1:20">
      <c r="A31" s="13">
        <v>27</v>
      </c>
      <c r="B31" s="216" t="s">
        <v>261</v>
      </c>
      <c r="C31" s="217"/>
      <c r="D31" s="196">
        <v>0</v>
      </c>
      <c r="E31" s="196">
        <v>75</v>
      </c>
      <c r="F31" s="197">
        <v>2366</v>
      </c>
      <c r="G31" s="192">
        <v>4554</v>
      </c>
      <c r="H31" s="192">
        <v>525</v>
      </c>
      <c r="I31" s="11">
        <v>0</v>
      </c>
      <c r="J31" s="11">
        <v>0</v>
      </c>
      <c r="K31" s="11"/>
      <c r="L31" s="193">
        <v>0</v>
      </c>
      <c r="M31" s="193">
        <v>0</v>
      </c>
      <c r="N31" s="193">
        <v>11343.75</v>
      </c>
      <c r="O31" s="193">
        <v>47178.04</v>
      </c>
      <c r="P31" s="193">
        <v>90806.76</v>
      </c>
      <c r="Q31" s="193">
        <v>79406.25</v>
      </c>
      <c r="R31" s="193">
        <v>0</v>
      </c>
      <c r="S31" s="193">
        <v>0</v>
      </c>
      <c r="T31" s="193">
        <v>228734.8</v>
      </c>
    </row>
    <row r="32" spans="1:20">
      <c r="A32" s="13">
        <v>28</v>
      </c>
      <c r="B32" s="216" t="s">
        <v>262</v>
      </c>
      <c r="C32" s="217"/>
      <c r="D32" s="196">
        <v>15</v>
      </c>
      <c r="E32" s="196">
        <v>91</v>
      </c>
      <c r="F32" s="197">
        <v>2290</v>
      </c>
      <c r="G32" s="192">
        <v>4630</v>
      </c>
      <c r="H32" s="192">
        <v>494</v>
      </c>
      <c r="I32" s="11">
        <v>0</v>
      </c>
      <c r="J32" s="11">
        <v>0</v>
      </c>
      <c r="K32" s="11"/>
      <c r="L32" s="193">
        <v>0</v>
      </c>
      <c r="M32" s="193">
        <v>2268.75</v>
      </c>
      <c r="N32" s="193">
        <v>13763.75</v>
      </c>
      <c r="O32" s="193">
        <v>45662.6</v>
      </c>
      <c r="P32" s="193">
        <v>92322.2</v>
      </c>
      <c r="Q32" s="193">
        <v>74717.5</v>
      </c>
      <c r="R32" s="193">
        <v>0</v>
      </c>
      <c r="S32" s="193">
        <v>0</v>
      </c>
      <c r="T32" s="193">
        <v>228734.8</v>
      </c>
    </row>
    <row r="33" spans="1:20">
      <c r="A33" s="13">
        <v>29</v>
      </c>
      <c r="B33" s="216" t="s">
        <v>263</v>
      </c>
      <c r="C33" s="217"/>
      <c r="D33" s="196">
        <v>15</v>
      </c>
      <c r="E33" s="196">
        <v>200</v>
      </c>
      <c r="F33" s="197">
        <v>2105</v>
      </c>
      <c r="G33" s="192">
        <v>4815</v>
      </c>
      <c r="H33" s="192">
        <v>385</v>
      </c>
      <c r="I33" s="11">
        <v>0</v>
      </c>
      <c r="J33" s="11">
        <v>0</v>
      </c>
      <c r="K33" s="11"/>
      <c r="L33" s="193">
        <v>0</v>
      </c>
      <c r="M33" s="193">
        <v>2268.75</v>
      </c>
      <c r="N33" s="193">
        <v>30250</v>
      </c>
      <c r="O33" s="193">
        <v>41973.7</v>
      </c>
      <c r="P33" s="193">
        <v>96011.1</v>
      </c>
      <c r="Q33" s="193">
        <v>58231.25</v>
      </c>
      <c r="R33" s="193">
        <v>0</v>
      </c>
      <c r="S33" s="193">
        <v>0</v>
      </c>
      <c r="T33" s="193">
        <v>228734.8</v>
      </c>
    </row>
    <row r="34" spans="1:20">
      <c r="A34" s="13">
        <v>30</v>
      </c>
      <c r="B34" s="216" t="s">
        <v>264</v>
      </c>
      <c r="C34" s="217"/>
      <c r="D34" s="196">
        <v>0</v>
      </c>
      <c r="E34" s="196">
        <v>93</v>
      </c>
      <c r="F34" s="197">
        <v>2012</v>
      </c>
      <c r="G34" s="192">
        <v>4908</v>
      </c>
      <c r="H34" s="192">
        <v>507</v>
      </c>
      <c r="I34" s="11">
        <v>0</v>
      </c>
      <c r="J34" s="11">
        <v>0</v>
      </c>
      <c r="K34" s="11"/>
      <c r="L34" s="193">
        <v>0</v>
      </c>
      <c r="M34" s="193">
        <v>0</v>
      </c>
      <c r="N34" s="193">
        <v>14066.25</v>
      </c>
      <c r="O34" s="193">
        <v>40119.279999999999</v>
      </c>
      <c r="P34" s="193">
        <v>97865.52</v>
      </c>
      <c r="Q34" s="193">
        <v>76683.75</v>
      </c>
      <c r="R34" s="193">
        <v>0</v>
      </c>
      <c r="S34" s="193">
        <v>0</v>
      </c>
      <c r="T34" s="193">
        <v>228734.8</v>
      </c>
    </row>
    <row r="35" spans="1:20">
      <c r="A35" s="13">
        <v>31</v>
      </c>
      <c r="B35" s="216" t="s">
        <v>265</v>
      </c>
      <c r="C35" s="217"/>
      <c r="D35" s="196">
        <v>0</v>
      </c>
      <c r="E35" s="196">
        <v>169</v>
      </c>
      <c r="F35" s="197">
        <v>1843</v>
      </c>
      <c r="G35" s="192">
        <v>5077</v>
      </c>
      <c r="H35" s="192">
        <v>431</v>
      </c>
      <c r="I35" s="11">
        <v>0</v>
      </c>
      <c r="J35" s="11">
        <v>0</v>
      </c>
      <c r="K35" s="11"/>
      <c r="L35" s="193">
        <v>0</v>
      </c>
      <c r="M35" s="193">
        <v>0</v>
      </c>
      <c r="N35" s="193">
        <v>25561.25</v>
      </c>
      <c r="O35" s="193">
        <v>36749.42</v>
      </c>
      <c r="P35" s="193">
        <v>101235.38</v>
      </c>
      <c r="Q35" s="193">
        <v>65188.75</v>
      </c>
      <c r="R35" s="193">
        <v>0</v>
      </c>
      <c r="S35" s="193">
        <v>0</v>
      </c>
      <c r="T35" s="193">
        <v>228734.8</v>
      </c>
    </row>
    <row r="36" spans="1:20">
      <c r="D36" s="19">
        <v>2329</v>
      </c>
      <c r="E36" s="19">
        <v>2475</v>
      </c>
      <c r="F36" s="19">
        <v>91083</v>
      </c>
      <c r="G36" s="19">
        <v>123437</v>
      </c>
      <c r="H36" s="19">
        <v>13796</v>
      </c>
      <c r="I36" s="19">
        <v>5.4749999999999996</v>
      </c>
      <c r="J36" s="19">
        <v>5.4749999999999996</v>
      </c>
      <c r="K36" s="19">
        <v>0</v>
      </c>
      <c r="L36" s="194">
        <v>0</v>
      </c>
      <c r="M36" s="194">
        <v>352261.25</v>
      </c>
      <c r="N36" s="194">
        <v>374343.75</v>
      </c>
      <c r="O36" s="194">
        <v>1816195.02</v>
      </c>
      <c r="P36" s="194">
        <v>2461333.7799999998</v>
      </c>
      <c r="Q36" s="194">
        <v>2086645</v>
      </c>
      <c r="R36" s="194">
        <v>4516.88</v>
      </c>
      <c r="S36" s="194">
        <v>657</v>
      </c>
      <c r="T36" s="194">
        <v>7095952.6799999997</v>
      </c>
    </row>
    <row r="37" spans="1:20">
      <c r="R37" s="21"/>
      <c r="S37" s="21"/>
      <c r="T37" s="195">
        <v>8515143.2100000009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1E0A-BE40-42C0-8BA2-03FA39F14C12}">
  <sheetPr codeName="Лист28">
    <pageSetUpPr fitToPage="1"/>
  </sheetPr>
  <dimension ref="A1:T37"/>
  <sheetViews>
    <sheetView workbookViewId="0">
      <selection activeCell="Q9" sqref="Q9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8" t="s">
        <v>267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146</v>
      </c>
      <c r="E3" s="209" t="s">
        <v>147</v>
      </c>
      <c r="F3" s="4" t="s">
        <v>4</v>
      </c>
      <c r="G3" s="209" t="s">
        <v>195</v>
      </c>
      <c r="H3" s="209" t="s">
        <v>234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 ht="30">
      <c r="A4" s="210"/>
      <c r="B4" s="213"/>
      <c r="C4" s="214"/>
      <c r="D4" s="210"/>
      <c r="E4" s="210"/>
      <c r="F4" s="5" t="s">
        <v>156</v>
      </c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235</v>
      </c>
      <c r="C5" s="217"/>
      <c r="D5" s="196">
        <v>0</v>
      </c>
      <c r="E5" s="196">
        <v>0</v>
      </c>
      <c r="F5" s="197">
        <v>16</v>
      </c>
      <c r="G5" s="192">
        <v>0</v>
      </c>
      <c r="H5" s="192">
        <v>0</v>
      </c>
      <c r="I5" s="11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319.04000000000002</v>
      </c>
      <c r="P5" s="193">
        <v>0</v>
      </c>
      <c r="Q5" s="193">
        <v>0</v>
      </c>
      <c r="R5" s="193">
        <v>0</v>
      </c>
      <c r="S5" s="193">
        <v>0</v>
      </c>
      <c r="T5" s="193">
        <v>319.04000000000002</v>
      </c>
    </row>
    <row r="6" spans="1:20">
      <c r="A6" s="13">
        <v>2</v>
      </c>
      <c r="B6" s="216" t="s">
        <v>236</v>
      </c>
      <c r="C6" s="217"/>
      <c r="D6" s="196">
        <v>15</v>
      </c>
      <c r="E6" s="196">
        <v>0</v>
      </c>
      <c r="F6" s="197">
        <v>31</v>
      </c>
      <c r="G6" s="192">
        <v>0</v>
      </c>
      <c r="H6" s="192">
        <v>0</v>
      </c>
      <c r="I6" s="11">
        <v>0</v>
      </c>
      <c r="J6" s="11">
        <v>0</v>
      </c>
      <c r="K6" s="11"/>
      <c r="L6" s="193">
        <v>0</v>
      </c>
      <c r="M6" s="193">
        <v>2268.75</v>
      </c>
      <c r="N6" s="193">
        <v>0</v>
      </c>
      <c r="O6" s="193">
        <v>618.14</v>
      </c>
      <c r="P6" s="193">
        <v>0</v>
      </c>
      <c r="Q6" s="193">
        <v>0</v>
      </c>
      <c r="R6" s="193">
        <v>0</v>
      </c>
      <c r="S6" s="193">
        <v>0</v>
      </c>
      <c r="T6" s="193">
        <v>2886.89</v>
      </c>
    </row>
    <row r="7" spans="1:20">
      <c r="A7" s="13">
        <v>3</v>
      </c>
      <c r="B7" s="216" t="s">
        <v>237</v>
      </c>
      <c r="C7" s="217"/>
      <c r="D7" s="196">
        <v>0</v>
      </c>
      <c r="E7" s="196">
        <v>0</v>
      </c>
      <c r="F7" s="197">
        <v>31</v>
      </c>
      <c r="G7" s="192">
        <v>0</v>
      </c>
      <c r="H7" s="192">
        <v>0</v>
      </c>
      <c r="I7" s="11">
        <v>0</v>
      </c>
      <c r="J7" s="11">
        <v>0</v>
      </c>
      <c r="K7" s="11"/>
      <c r="L7" s="193">
        <v>0</v>
      </c>
      <c r="M7" s="193">
        <v>0</v>
      </c>
      <c r="N7" s="193">
        <v>0</v>
      </c>
      <c r="O7" s="193">
        <v>618.14</v>
      </c>
      <c r="P7" s="193">
        <v>0</v>
      </c>
      <c r="Q7" s="193">
        <v>0</v>
      </c>
      <c r="R7" s="193">
        <v>0</v>
      </c>
      <c r="S7" s="193">
        <v>0</v>
      </c>
      <c r="T7" s="193">
        <v>618.14</v>
      </c>
    </row>
    <row r="8" spans="1:20">
      <c r="A8" s="13">
        <v>4</v>
      </c>
      <c r="B8" s="216" t="s">
        <v>238</v>
      </c>
      <c r="C8" s="217"/>
      <c r="D8" s="196">
        <v>0</v>
      </c>
      <c r="E8" s="196">
        <v>0</v>
      </c>
      <c r="F8" s="197">
        <v>31</v>
      </c>
      <c r="G8" s="192">
        <v>0</v>
      </c>
      <c r="H8" s="192">
        <v>0</v>
      </c>
      <c r="I8" s="11">
        <v>0</v>
      </c>
      <c r="J8" s="11">
        <v>0</v>
      </c>
      <c r="K8" s="11"/>
      <c r="L8" s="193">
        <v>0</v>
      </c>
      <c r="M8" s="193">
        <v>0</v>
      </c>
      <c r="N8" s="193">
        <v>0</v>
      </c>
      <c r="O8" s="193">
        <v>618.14</v>
      </c>
      <c r="P8" s="193">
        <v>0</v>
      </c>
      <c r="Q8" s="193">
        <v>0</v>
      </c>
      <c r="R8" s="193">
        <v>0</v>
      </c>
      <c r="S8" s="193">
        <v>0</v>
      </c>
      <c r="T8" s="193">
        <v>618.14</v>
      </c>
    </row>
    <row r="9" spans="1:20">
      <c r="A9" s="13">
        <v>5</v>
      </c>
      <c r="B9" s="216" t="s">
        <v>239</v>
      </c>
      <c r="C9" s="217"/>
      <c r="D9" s="196">
        <v>30</v>
      </c>
      <c r="E9" s="196">
        <v>0</v>
      </c>
      <c r="F9" s="197">
        <v>61</v>
      </c>
      <c r="G9" s="192">
        <v>0</v>
      </c>
      <c r="H9" s="192">
        <v>0</v>
      </c>
      <c r="I9" s="11">
        <v>0</v>
      </c>
      <c r="J9" s="11">
        <v>0</v>
      </c>
      <c r="K9" s="11"/>
      <c r="L9" s="193">
        <v>0</v>
      </c>
      <c r="M9" s="193">
        <v>4537.5</v>
      </c>
      <c r="N9" s="193">
        <v>0</v>
      </c>
      <c r="O9" s="193">
        <v>1216.3399999999999</v>
      </c>
      <c r="P9" s="193">
        <v>0</v>
      </c>
      <c r="Q9" s="193">
        <v>0</v>
      </c>
      <c r="R9" s="193">
        <v>0</v>
      </c>
      <c r="S9" s="193">
        <v>0</v>
      </c>
      <c r="T9" s="193">
        <v>5753.84</v>
      </c>
    </row>
    <row r="10" spans="1:20">
      <c r="A10" s="13">
        <v>6</v>
      </c>
      <c r="B10" s="216" t="s">
        <v>240</v>
      </c>
      <c r="C10" s="217"/>
      <c r="D10" s="196">
        <v>60</v>
      </c>
      <c r="E10" s="196">
        <v>0</v>
      </c>
      <c r="F10" s="197">
        <v>121</v>
      </c>
      <c r="G10" s="192">
        <v>0</v>
      </c>
      <c r="H10" s="192">
        <v>0</v>
      </c>
      <c r="I10" s="11">
        <v>0</v>
      </c>
      <c r="J10" s="11">
        <v>0</v>
      </c>
      <c r="K10" s="11"/>
      <c r="L10" s="193">
        <v>0</v>
      </c>
      <c r="M10" s="193">
        <v>9075</v>
      </c>
      <c r="N10" s="193">
        <v>0</v>
      </c>
      <c r="O10" s="193">
        <v>2412.7399999999998</v>
      </c>
      <c r="P10" s="193">
        <v>0</v>
      </c>
      <c r="Q10" s="193">
        <v>0</v>
      </c>
      <c r="R10" s="193">
        <v>0</v>
      </c>
      <c r="S10" s="193">
        <v>0</v>
      </c>
      <c r="T10" s="193">
        <v>11487.74</v>
      </c>
    </row>
    <row r="11" spans="1:20">
      <c r="A11" s="13">
        <v>7</v>
      </c>
      <c r="B11" s="216" t="s">
        <v>241</v>
      </c>
      <c r="C11" s="217"/>
      <c r="D11" s="196">
        <v>45</v>
      </c>
      <c r="E11" s="196">
        <v>0</v>
      </c>
      <c r="F11" s="197">
        <v>166</v>
      </c>
      <c r="G11" s="192">
        <v>0</v>
      </c>
      <c r="H11" s="192">
        <v>0</v>
      </c>
      <c r="I11" s="11">
        <v>0</v>
      </c>
      <c r="J11" s="11">
        <v>0</v>
      </c>
      <c r="K11" s="11"/>
      <c r="L11" s="193">
        <v>0</v>
      </c>
      <c r="M11" s="193">
        <v>6806.25</v>
      </c>
      <c r="N11" s="193">
        <v>0</v>
      </c>
      <c r="O11" s="193">
        <v>3310.04</v>
      </c>
      <c r="P11" s="193">
        <v>0</v>
      </c>
      <c r="Q11" s="193">
        <v>0</v>
      </c>
      <c r="R11" s="193">
        <v>0</v>
      </c>
      <c r="S11" s="193">
        <v>0</v>
      </c>
      <c r="T11" s="193">
        <v>10116.290000000001</v>
      </c>
    </row>
    <row r="12" spans="1:20">
      <c r="A12" s="13">
        <v>8</v>
      </c>
      <c r="B12" s="216" t="s">
        <v>242</v>
      </c>
      <c r="C12" s="217"/>
      <c r="D12" s="196">
        <v>45</v>
      </c>
      <c r="E12" s="196">
        <v>15</v>
      </c>
      <c r="F12" s="197">
        <v>196</v>
      </c>
      <c r="G12" s="192">
        <v>0</v>
      </c>
      <c r="H12" s="192">
        <v>0</v>
      </c>
      <c r="I12" s="11">
        <v>0</v>
      </c>
      <c r="J12" s="11">
        <v>0</v>
      </c>
      <c r="K12" s="11"/>
      <c r="L12" s="193">
        <v>0</v>
      </c>
      <c r="M12" s="193">
        <v>6806.25</v>
      </c>
      <c r="N12" s="193">
        <v>2268.75</v>
      </c>
      <c r="O12" s="193">
        <v>3908.24</v>
      </c>
      <c r="P12" s="193">
        <v>0</v>
      </c>
      <c r="Q12" s="193">
        <v>0</v>
      </c>
      <c r="R12" s="193">
        <v>0</v>
      </c>
      <c r="S12" s="193">
        <v>0</v>
      </c>
      <c r="T12" s="193">
        <v>12983.24</v>
      </c>
    </row>
    <row r="13" spans="1:20">
      <c r="A13" s="13">
        <v>9</v>
      </c>
      <c r="B13" s="216" t="s">
        <v>243</v>
      </c>
      <c r="C13" s="217"/>
      <c r="D13" s="196">
        <v>0</v>
      </c>
      <c r="E13" s="196">
        <v>0</v>
      </c>
      <c r="F13" s="197">
        <v>196</v>
      </c>
      <c r="G13" s="192">
        <v>0</v>
      </c>
      <c r="H13" s="192">
        <v>0</v>
      </c>
      <c r="I13" s="11">
        <v>0</v>
      </c>
      <c r="J13" s="11">
        <v>0</v>
      </c>
      <c r="K13" s="11"/>
      <c r="L13" s="193">
        <v>0</v>
      </c>
      <c r="M13" s="193">
        <v>0</v>
      </c>
      <c r="N13" s="193">
        <v>0</v>
      </c>
      <c r="O13" s="193">
        <v>3908.24</v>
      </c>
      <c r="P13" s="193">
        <v>0</v>
      </c>
      <c r="Q13" s="193">
        <v>0</v>
      </c>
      <c r="R13" s="193">
        <v>0</v>
      </c>
      <c r="S13" s="193">
        <v>0</v>
      </c>
      <c r="T13" s="193">
        <v>3908.24</v>
      </c>
    </row>
    <row r="14" spans="1:20">
      <c r="A14" s="13">
        <v>10</v>
      </c>
      <c r="B14" s="216" t="s">
        <v>244</v>
      </c>
      <c r="C14" s="217"/>
      <c r="D14" s="196">
        <v>0</v>
      </c>
      <c r="E14" s="196">
        <v>0</v>
      </c>
      <c r="F14" s="197">
        <v>196</v>
      </c>
      <c r="G14" s="192">
        <v>0</v>
      </c>
      <c r="H14" s="192">
        <v>0</v>
      </c>
      <c r="I14" s="11">
        <v>0</v>
      </c>
      <c r="J14" s="11">
        <v>0</v>
      </c>
      <c r="K14" s="11"/>
      <c r="L14" s="193">
        <v>0</v>
      </c>
      <c r="M14" s="193">
        <v>0</v>
      </c>
      <c r="N14" s="193">
        <v>0</v>
      </c>
      <c r="O14" s="193">
        <v>3908.24</v>
      </c>
      <c r="P14" s="193">
        <v>0</v>
      </c>
      <c r="Q14" s="193">
        <v>0</v>
      </c>
      <c r="R14" s="193">
        <v>0</v>
      </c>
      <c r="S14" s="193">
        <v>0</v>
      </c>
      <c r="T14" s="193">
        <v>3908.24</v>
      </c>
    </row>
    <row r="15" spans="1:20">
      <c r="A15" s="13">
        <v>11</v>
      </c>
      <c r="B15" s="216" t="s">
        <v>245</v>
      </c>
      <c r="C15" s="217"/>
      <c r="D15" s="196">
        <v>0</v>
      </c>
      <c r="E15" s="196">
        <v>0</v>
      </c>
      <c r="F15" s="197">
        <v>196</v>
      </c>
      <c r="G15" s="192">
        <v>0</v>
      </c>
      <c r="H15" s="192">
        <v>0</v>
      </c>
      <c r="I15" s="11">
        <v>0</v>
      </c>
      <c r="J15" s="11">
        <v>0</v>
      </c>
      <c r="K15" s="11"/>
      <c r="L15" s="193">
        <v>0</v>
      </c>
      <c r="M15" s="193">
        <v>0</v>
      </c>
      <c r="N15" s="193">
        <v>0</v>
      </c>
      <c r="O15" s="193">
        <v>3908.24</v>
      </c>
      <c r="P15" s="193">
        <v>0</v>
      </c>
      <c r="Q15" s="193">
        <v>0</v>
      </c>
      <c r="R15" s="193">
        <v>0</v>
      </c>
      <c r="S15" s="193">
        <v>0</v>
      </c>
      <c r="T15" s="193">
        <v>3908.24</v>
      </c>
    </row>
    <row r="16" spans="1:20">
      <c r="A16" s="13">
        <v>12</v>
      </c>
      <c r="B16" s="216" t="s">
        <v>246</v>
      </c>
      <c r="C16" s="217"/>
      <c r="D16" s="196">
        <v>0</v>
      </c>
      <c r="E16" s="196">
        <v>0</v>
      </c>
      <c r="F16" s="197">
        <v>196</v>
      </c>
      <c r="G16" s="192">
        <v>0</v>
      </c>
      <c r="H16" s="192">
        <v>0</v>
      </c>
      <c r="I16" s="11">
        <v>0</v>
      </c>
      <c r="J16" s="11">
        <v>0</v>
      </c>
      <c r="K16" s="11"/>
      <c r="L16" s="193">
        <v>0</v>
      </c>
      <c r="M16" s="193">
        <v>0</v>
      </c>
      <c r="N16" s="193">
        <v>0</v>
      </c>
      <c r="O16" s="193">
        <v>3908.24</v>
      </c>
      <c r="P16" s="193">
        <v>0</v>
      </c>
      <c r="Q16" s="193">
        <v>0</v>
      </c>
      <c r="R16" s="193">
        <v>0</v>
      </c>
      <c r="S16" s="193">
        <v>0</v>
      </c>
      <c r="T16" s="193">
        <v>3908.24</v>
      </c>
    </row>
    <row r="17" spans="1:20">
      <c r="A17" s="13">
        <v>13</v>
      </c>
      <c r="B17" s="216" t="s">
        <v>247</v>
      </c>
      <c r="C17" s="217"/>
      <c r="D17" s="196">
        <v>0</v>
      </c>
      <c r="E17" s="196">
        <v>30</v>
      </c>
      <c r="F17" s="197">
        <v>166</v>
      </c>
      <c r="G17" s="192">
        <v>0</v>
      </c>
      <c r="H17" s="192">
        <v>0</v>
      </c>
      <c r="I17" s="11">
        <v>0</v>
      </c>
      <c r="J17" s="11">
        <v>0</v>
      </c>
      <c r="K17" s="11"/>
      <c r="L17" s="193">
        <v>0</v>
      </c>
      <c r="M17" s="193">
        <v>0</v>
      </c>
      <c r="N17" s="193">
        <v>4537.5</v>
      </c>
      <c r="O17" s="193">
        <v>3310.04</v>
      </c>
      <c r="P17" s="193">
        <v>0</v>
      </c>
      <c r="Q17" s="193">
        <v>0</v>
      </c>
      <c r="R17" s="193">
        <v>0</v>
      </c>
      <c r="S17" s="193">
        <v>0</v>
      </c>
      <c r="T17" s="193">
        <v>7847.54</v>
      </c>
    </row>
    <row r="18" spans="1:20">
      <c r="A18" s="13">
        <v>14</v>
      </c>
      <c r="B18" s="216" t="s">
        <v>248</v>
      </c>
      <c r="C18" s="217"/>
      <c r="D18" s="196">
        <v>0</v>
      </c>
      <c r="E18" s="196">
        <v>30</v>
      </c>
      <c r="F18" s="197">
        <v>136</v>
      </c>
      <c r="G18" s="192">
        <v>0</v>
      </c>
      <c r="H18" s="192">
        <v>0</v>
      </c>
      <c r="I18" s="11">
        <v>0</v>
      </c>
      <c r="J18" s="11">
        <v>0</v>
      </c>
      <c r="K18" s="11"/>
      <c r="L18" s="193">
        <v>0</v>
      </c>
      <c r="M18" s="193">
        <v>0</v>
      </c>
      <c r="N18" s="193">
        <v>4537.5</v>
      </c>
      <c r="O18" s="193">
        <v>2711.84</v>
      </c>
      <c r="P18" s="193">
        <v>0</v>
      </c>
      <c r="Q18" s="193">
        <v>0</v>
      </c>
      <c r="R18" s="193">
        <v>0</v>
      </c>
      <c r="S18" s="193">
        <v>0</v>
      </c>
      <c r="T18" s="193">
        <v>7249.34</v>
      </c>
    </row>
    <row r="19" spans="1:20">
      <c r="A19" s="13">
        <v>15</v>
      </c>
      <c r="B19" s="216" t="s">
        <v>249</v>
      </c>
      <c r="C19" s="217"/>
      <c r="D19" s="196">
        <v>0</v>
      </c>
      <c r="E19" s="196">
        <v>15</v>
      </c>
      <c r="F19" s="197">
        <v>121</v>
      </c>
      <c r="G19" s="192">
        <v>0</v>
      </c>
      <c r="H19" s="192">
        <v>0</v>
      </c>
      <c r="I19" s="11">
        <v>0</v>
      </c>
      <c r="J19" s="11">
        <v>0</v>
      </c>
      <c r="K19" s="11"/>
      <c r="L19" s="193">
        <v>0</v>
      </c>
      <c r="M19" s="193">
        <v>0</v>
      </c>
      <c r="N19" s="193">
        <v>2268.75</v>
      </c>
      <c r="O19" s="193">
        <v>2412.7399999999998</v>
      </c>
      <c r="P19" s="193">
        <v>0</v>
      </c>
      <c r="Q19" s="193">
        <v>0</v>
      </c>
      <c r="R19" s="193">
        <v>0</v>
      </c>
      <c r="S19" s="193">
        <v>0</v>
      </c>
      <c r="T19" s="193">
        <v>4681.49</v>
      </c>
    </row>
    <row r="20" spans="1:20">
      <c r="A20" s="13">
        <v>16</v>
      </c>
      <c r="B20" s="216" t="s">
        <v>250</v>
      </c>
      <c r="C20" s="217"/>
      <c r="D20" s="196">
        <v>0</v>
      </c>
      <c r="E20" s="196">
        <v>0</v>
      </c>
      <c r="F20" s="197">
        <v>121</v>
      </c>
      <c r="G20" s="192">
        <v>0</v>
      </c>
      <c r="H20" s="192">
        <v>0</v>
      </c>
      <c r="I20" s="11">
        <v>0</v>
      </c>
      <c r="J20" s="11">
        <v>0</v>
      </c>
      <c r="K20" s="11"/>
      <c r="L20" s="193">
        <v>0</v>
      </c>
      <c r="M20" s="193">
        <v>0</v>
      </c>
      <c r="N20" s="193">
        <v>0</v>
      </c>
      <c r="O20" s="193">
        <v>2412.7399999999998</v>
      </c>
      <c r="P20" s="193">
        <v>0</v>
      </c>
      <c r="Q20" s="193">
        <v>0</v>
      </c>
      <c r="R20" s="193">
        <v>0</v>
      </c>
      <c r="S20" s="193">
        <v>0</v>
      </c>
      <c r="T20" s="193">
        <v>2412.7399999999998</v>
      </c>
    </row>
    <row r="21" spans="1:20">
      <c r="A21" s="13">
        <v>17</v>
      </c>
      <c r="B21" s="216" t="s">
        <v>251</v>
      </c>
      <c r="C21" s="217"/>
      <c r="D21" s="196">
        <v>0</v>
      </c>
      <c r="E21" s="196">
        <v>0</v>
      </c>
      <c r="F21" s="197">
        <v>121</v>
      </c>
      <c r="G21" s="192">
        <v>0</v>
      </c>
      <c r="H21" s="192">
        <v>0</v>
      </c>
      <c r="I21" s="11">
        <v>0</v>
      </c>
      <c r="J21" s="11">
        <v>0</v>
      </c>
      <c r="K21" s="11"/>
      <c r="L21" s="193">
        <v>0</v>
      </c>
      <c r="M21" s="193">
        <v>0</v>
      </c>
      <c r="N21" s="193">
        <v>0</v>
      </c>
      <c r="O21" s="193">
        <v>2412.7399999999998</v>
      </c>
      <c r="P21" s="193">
        <v>0</v>
      </c>
      <c r="Q21" s="193">
        <v>0</v>
      </c>
      <c r="R21" s="193">
        <v>0</v>
      </c>
      <c r="S21" s="193">
        <v>0</v>
      </c>
      <c r="T21" s="193">
        <v>2412.7399999999998</v>
      </c>
    </row>
    <row r="22" spans="1:20">
      <c r="A22" s="13">
        <v>18</v>
      </c>
      <c r="B22" s="216" t="s">
        <v>252</v>
      </c>
      <c r="C22" s="217"/>
      <c r="D22" s="196">
        <v>0</v>
      </c>
      <c r="E22" s="196">
        <v>15</v>
      </c>
      <c r="F22" s="197">
        <v>106</v>
      </c>
      <c r="G22" s="192">
        <v>0</v>
      </c>
      <c r="H22" s="192">
        <v>0</v>
      </c>
      <c r="I22" s="11">
        <v>0</v>
      </c>
      <c r="J22" s="11">
        <v>0</v>
      </c>
      <c r="K22" s="11"/>
      <c r="L22" s="193">
        <v>0</v>
      </c>
      <c r="M22" s="193">
        <v>0</v>
      </c>
      <c r="N22" s="193">
        <v>2268.75</v>
      </c>
      <c r="O22" s="193">
        <v>2113.64</v>
      </c>
      <c r="P22" s="193">
        <v>0</v>
      </c>
      <c r="Q22" s="193">
        <v>0</v>
      </c>
      <c r="R22" s="193">
        <v>0</v>
      </c>
      <c r="S22" s="193">
        <v>0</v>
      </c>
      <c r="T22" s="193">
        <v>4382.3900000000003</v>
      </c>
    </row>
    <row r="23" spans="1:20">
      <c r="A23" s="13">
        <v>19</v>
      </c>
      <c r="B23" s="216" t="s">
        <v>253</v>
      </c>
      <c r="C23" s="217"/>
      <c r="D23" s="196">
        <v>0</v>
      </c>
      <c r="E23" s="196">
        <v>0</v>
      </c>
      <c r="F23" s="197">
        <v>106</v>
      </c>
      <c r="G23" s="192">
        <v>0</v>
      </c>
      <c r="H23" s="192">
        <v>0</v>
      </c>
      <c r="I23" s="11">
        <v>0</v>
      </c>
      <c r="J23" s="11">
        <v>0</v>
      </c>
      <c r="K23" s="11"/>
      <c r="L23" s="193">
        <v>0</v>
      </c>
      <c r="M23" s="193">
        <v>0</v>
      </c>
      <c r="N23" s="193">
        <v>0</v>
      </c>
      <c r="O23" s="193">
        <v>2113.64</v>
      </c>
      <c r="P23" s="193">
        <v>0</v>
      </c>
      <c r="Q23" s="193">
        <v>0</v>
      </c>
      <c r="R23" s="193">
        <v>0</v>
      </c>
      <c r="S23" s="193">
        <v>0</v>
      </c>
      <c r="T23" s="193">
        <v>2113.64</v>
      </c>
    </row>
    <row r="24" spans="1:20">
      <c r="A24" s="13">
        <v>20</v>
      </c>
      <c r="B24" s="216" t="s">
        <v>254</v>
      </c>
      <c r="C24" s="217"/>
      <c r="D24" s="196">
        <v>0</v>
      </c>
      <c r="E24" s="196">
        <v>30</v>
      </c>
      <c r="F24" s="197">
        <v>76</v>
      </c>
      <c r="G24" s="192">
        <v>0</v>
      </c>
      <c r="H24" s="192">
        <v>0</v>
      </c>
      <c r="I24" s="11">
        <v>0</v>
      </c>
      <c r="J24" s="11">
        <v>0</v>
      </c>
      <c r="K24" s="11"/>
      <c r="L24" s="193">
        <v>0</v>
      </c>
      <c r="M24" s="193">
        <v>0</v>
      </c>
      <c r="N24" s="193">
        <v>4537.5</v>
      </c>
      <c r="O24" s="193">
        <v>1515.44</v>
      </c>
      <c r="P24" s="193">
        <v>0</v>
      </c>
      <c r="Q24" s="193">
        <v>0</v>
      </c>
      <c r="R24" s="193">
        <v>0</v>
      </c>
      <c r="S24" s="193">
        <v>0</v>
      </c>
      <c r="T24" s="193">
        <v>6052.94</v>
      </c>
    </row>
    <row r="25" spans="1:20">
      <c r="A25" s="13">
        <v>21</v>
      </c>
      <c r="B25" s="216" t="s">
        <v>255</v>
      </c>
      <c r="C25" s="217"/>
      <c r="D25" s="196">
        <v>0</v>
      </c>
      <c r="E25" s="196">
        <v>0</v>
      </c>
      <c r="F25" s="197">
        <v>76</v>
      </c>
      <c r="G25" s="192">
        <v>0</v>
      </c>
      <c r="H25" s="192">
        <v>0</v>
      </c>
      <c r="I25" s="11">
        <v>0</v>
      </c>
      <c r="J25" s="11">
        <v>0</v>
      </c>
      <c r="K25" s="11"/>
      <c r="L25" s="193">
        <v>0</v>
      </c>
      <c r="M25" s="193">
        <v>0</v>
      </c>
      <c r="N25" s="193">
        <v>0</v>
      </c>
      <c r="O25" s="193">
        <v>1515.44</v>
      </c>
      <c r="P25" s="193">
        <v>0</v>
      </c>
      <c r="Q25" s="193">
        <v>0</v>
      </c>
      <c r="R25" s="193">
        <v>0</v>
      </c>
      <c r="S25" s="193">
        <v>0</v>
      </c>
      <c r="T25" s="193">
        <v>1515.44</v>
      </c>
    </row>
    <row r="26" spans="1:20">
      <c r="A26" s="13">
        <v>22</v>
      </c>
      <c r="B26" s="216" t="s">
        <v>256</v>
      </c>
      <c r="C26" s="217"/>
      <c r="D26" s="196">
        <v>0</v>
      </c>
      <c r="E26" s="196">
        <v>0</v>
      </c>
      <c r="F26" s="197">
        <v>76</v>
      </c>
      <c r="G26" s="192">
        <v>0</v>
      </c>
      <c r="H26" s="192">
        <v>0</v>
      </c>
      <c r="I26" s="11">
        <v>0</v>
      </c>
      <c r="J26" s="11">
        <v>0</v>
      </c>
      <c r="K26" s="11"/>
      <c r="L26" s="193">
        <v>0</v>
      </c>
      <c r="M26" s="193">
        <v>0</v>
      </c>
      <c r="N26" s="193">
        <v>0</v>
      </c>
      <c r="O26" s="193">
        <v>1515.44</v>
      </c>
      <c r="P26" s="193">
        <v>0</v>
      </c>
      <c r="Q26" s="193">
        <v>0</v>
      </c>
      <c r="R26" s="193">
        <v>0</v>
      </c>
      <c r="S26" s="193">
        <v>0</v>
      </c>
      <c r="T26" s="193">
        <v>1515.44</v>
      </c>
    </row>
    <row r="27" spans="1:20">
      <c r="A27" s="13">
        <v>23</v>
      </c>
      <c r="B27" s="216" t="s">
        <v>257</v>
      </c>
      <c r="C27" s="217"/>
      <c r="D27" s="196">
        <v>0</v>
      </c>
      <c r="E27" s="196">
        <v>0</v>
      </c>
      <c r="F27" s="197">
        <v>76</v>
      </c>
      <c r="G27" s="192">
        <v>0</v>
      </c>
      <c r="H27" s="192">
        <v>0</v>
      </c>
      <c r="I27" s="11">
        <v>0</v>
      </c>
      <c r="J27" s="11">
        <v>0</v>
      </c>
      <c r="K27" s="11"/>
      <c r="L27" s="193">
        <v>0</v>
      </c>
      <c r="M27" s="193">
        <v>0</v>
      </c>
      <c r="N27" s="193">
        <v>0</v>
      </c>
      <c r="O27" s="193">
        <v>1515.44</v>
      </c>
      <c r="P27" s="193">
        <v>0</v>
      </c>
      <c r="Q27" s="193">
        <v>0</v>
      </c>
      <c r="R27" s="193">
        <v>0</v>
      </c>
      <c r="S27" s="193">
        <v>0</v>
      </c>
      <c r="T27" s="193">
        <v>1515.44</v>
      </c>
    </row>
    <row r="28" spans="1:20">
      <c r="A28" s="13">
        <v>24</v>
      </c>
      <c r="B28" s="216" t="s">
        <v>258</v>
      </c>
      <c r="C28" s="217"/>
      <c r="D28" s="196">
        <v>0</v>
      </c>
      <c r="E28" s="196">
        <v>0</v>
      </c>
      <c r="F28" s="197">
        <v>76</v>
      </c>
      <c r="G28" s="192">
        <v>0</v>
      </c>
      <c r="H28" s="192">
        <v>0</v>
      </c>
      <c r="I28" s="11">
        <v>0</v>
      </c>
      <c r="J28" s="11">
        <v>0</v>
      </c>
      <c r="K28" s="11"/>
      <c r="L28" s="193">
        <v>0</v>
      </c>
      <c r="M28" s="193">
        <v>0</v>
      </c>
      <c r="N28" s="193">
        <v>0</v>
      </c>
      <c r="O28" s="193">
        <v>1515.44</v>
      </c>
      <c r="P28" s="193">
        <v>0</v>
      </c>
      <c r="Q28" s="193">
        <v>0</v>
      </c>
      <c r="R28" s="193">
        <v>0</v>
      </c>
      <c r="S28" s="193">
        <v>0</v>
      </c>
      <c r="T28" s="193">
        <v>1515.44</v>
      </c>
    </row>
    <row r="29" spans="1:20">
      <c r="A29" s="13">
        <v>25</v>
      </c>
      <c r="B29" s="216" t="s">
        <v>259</v>
      </c>
      <c r="C29" s="217"/>
      <c r="D29" s="196">
        <v>0</v>
      </c>
      <c r="E29" s="196">
        <v>0</v>
      </c>
      <c r="F29" s="197">
        <v>76</v>
      </c>
      <c r="G29" s="192">
        <v>0</v>
      </c>
      <c r="H29" s="192">
        <v>0</v>
      </c>
      <c r="I29" s="11">
        <v>0</v>
      </c>
      <c r="J29" s="11">
        <v>0</v>
      </c>
      <c r="K29" s="11"/>
      <c r="L29" s="193">
        <v>0</v>
      </c>
      <c r="M29" s="193">
        <v>0</v>
      </c>
      <c r="N29" s="193">
        <v>0</v>
      </c>
      <c r="O29" s="193">
        <v>1515.44</v>
      </c>
      <c r="P29" s="193">
        <v>0</v>
      </c>
      <c r="Q29" s="193">
        <v>0</v>
      </c>
      <c r="R29" s="193">
        <v>0</v>
      </c>
      <c r="S29" s="193">
        <v>0</v>
      </c>
      <c r="T29" s="193">
        <v>1515.44</v>
      </c>
    </row>
    <row r="30" spans="1:20">
      <c r="A30" s="13">
        <v>26</v>
      </c>
      <c r="B30" s="216" t="s">
        <v>260</v>
      </c>
      <c r="C30" s="217"/>
      <c r="D30" s="196">
        <v>0</v>
      </c>
      <c r="E30" s="196">
        <v>0</v>
      </c>
      <c r="F30" s="197">
        <v>76</v>
      </c>
      <c r="G30" s="192">
        <v>0</v>
      </c>
      <c r="H30" s="192">
        <v>0</v>
      </c>
      <c r="I30" s="11">
        <v>0</v>
      </c>
      <c r="J30" s="11">
        <v>0</v>
      </c>
      <c r="K30" s="11"/>
      <c r="L30" s="193">
        <v>0</v>
      </c>
      <c r="M30" s="193">
        <v>0</v>
      </c>
      <c r="N30" s="193">
        <v>0</v>
      </c>
      <c r="O30" s="193">
        <v>1515.44</v>
      </c>
      <c r="P30" s="193">
        <v>0</v>
      </c>
      <c r="Q30" s="193">
        <v>0</v>
      </c>
      <c r="R30" s="193">
        <v>0</v>
      </c>
      <c r="S30" s="193">
        <v>0</v>
      </c>
      <c r="T30" s="193">
        <v>1515.44</v>
      </c>
    </row>
    <row r="31" spans="1:20">
      <c r="A31" s="13">
        <v>27</v>
      </c>
      <c r="B31" s="216" t="s">
        <v>261</v>
      </c>
      <c r="C31" s="217"/>
      <c r="D31" s="196">
        <v>0</v>
      </c>
      <c r="E31" s="196">
        <v>0</v>
      </c>
      <c r="F31" s="197">
        <v>76</v>
      </c>
      <c r="G31" s="192">
        <v>0</v>
      </c>
      <c r="H31" s="192">
        <v>0</v>
      </c>
      <c r="I31" s="11">
        <v>0</v>
      </c>
      <c r="J31" s="11">
        <v>0</v>
      </c>
      <c r="K31" s="11"/>
      <c r="L31" s="193">
        <v>0</v>
      </c>
      <c r="M31" s="193">
        <v>0</v>
      </c>
      <c r="N31" s="193">
        <v>0</v>
      </c>
      <c r="O31" s="193">
        <v>1515.44</v>
      </c>
      <c r="P31" s="193">
        <v>0</v>
      </c>
      <c r="Q31" s="193">
        <v>0</v>
      </c>
      <c r="R31" s="193">
        <v>0</v>
      </c>
      <c r="S31" s="193">
        <v>0</v>
      </c>
      <c r="T31" s="193">
        <v>1515.44</v>
      </c>
    </row>
    <row r="32" spans="1:20">
      <c r="A32" s="13">
        <v>28</v>
      </c>
      <c r="B32" s="216" t="s">
        <v>262</v>
      </c>
      <c r="C32" s="217"/>
      <c r="D32" s="196">
        <v>0</v>
      </c>
      <c r="E32" s="196">
        <v>0</v>
      </c>
      <c r="F32" s="197">
        <v>76</v>
      </c>
      <c r="G32" s="192">
        <v>0</v>
      </c>
      <c r="H32" s="192">
        <v>0</v>
      </c>
      <c r="I32" s="11">
        <v>0</v>
      </c>
      <c r="J32" s="11">
        <v>0</v>
      </c>
      <c r="K32" s="11"/>
      <c r="L32" s="193">
        <v>0</v>
      </c>
      <c r="M32" s="193">
        <v>0</v>
      </c>
      <c r="N32" s="193">
        <v>0</v>
      </c>
      <c r="O32" s="193">
        <v>1515.44</v>
      </c>
      <c r="P32" s="193">
        <v>0</v>
      </c>
      <c r="Q32" s="193">
        <v>0</v>
      </c>
      <c r="R32" s="193">
        <v>0</v>
      </c>
      <c r="S32" s="193">
        <v>0</v>
      </c>
      <c r="T32" s="193">
        <v>1515.44</v>
      </c>
    </row>
    <row r="33" spans="1:20">
      <c r="A33" s="13">
        <v>29</v>
      </c>
      <c r="B33" s="216" t="s">
        <v>263</v>
      </c>
      <c r="C33" s="217"/>
      <c r="D33" s="196">
        <v>0</v>
      </c>
      <c r="E33" s="196">
        <v>0</v>
      </c>
      <c r="F33" s="197">
        <v>76</v>
      </c>
      <c r="G33" s="192">
        <v>0</v>
      </c>
      <c r="H33" s="192">
        <v>0</v>
      </c>
      <c r="I33" s="11">
        <v>0</v>
      </c>
      <c r="J33" s="11">
        <v>0</v>
      </c>
      <c r="K33" s="11"/>
      <c r="L33" s="193">
        <v>0</v>
      </c>
      <c r="M33" s="193">
        <v>0</v>
      </c>
      <c r="N33" s="193">
        <v>0</v>
      </c>
      <c r="O33" s="193">
        <v>1515.44</v>
      </c>
      <c r="P33" s="193">
        <v>0</v>
      </c>
      <c r="Q33" s="193">
        <v>0</v>
      </c>
      <c r="R33" s="193">
        <v>0</v>
      </c>
      <c r="S33" s="193">
        <v>0</v>
      </c>
      <c r="T33" s="193">
        <v>1515.44</v>
      </c>
    </row>
    <row r="34" spans="1:20">
      <c r="A34" s="13">
        <v>30</v>
      </c>
      <c r="B34" s="216" t="s">
        <v>264</v>
      </c>
      <c r="C34" s="217"/>
      <c r="D34" s="196">
        <v>0</v>
      </c>
      <c r="E34" s="196">
        <v>0</v>
      </c>
      <c r="F34" s="197">
        <v>76</v>
      </c>
      <c r="G34" s="192">
        <v>0</v>
      </c>
      <c r="H34" s="192">
        <v>0</v>
      </c>
      <c r="I34" s="11">
        <v>0</v>
      </c>
      <c r="J34" s="11">
        <v>0</v>
      </c>
      <c r="K34" s="11"/>
      <c r="L34" s="193">
        <v>0</v>
      </c>
      <c r="M34" s="193">
        <v>0</v>
      </c>
      <c r="N34" s="193">
        <v>0</v>
      </c>
      <c r="O34" s="193">
        <v>1515.44</v>
      </c>
      <c r="P34" s="193">
        <v>0</v>
      </c>
      <c r="Q34" s="193">
        <v>0</v>
      </c>
      <c r="R34" s="193">
        <v>0</v>
      </c>
      <c r="S34" s="193">
        <v>0</v>
      </c>
      <c r="T34" s="193">
        <v>1515.44</v>
      </c>
    </row>
    <row r="35" spans="1:20">
      <c r="A35" s="13">
        <v>31</v>
      </c>
      <c r="B35" s="216" t="s">
        <v>265</v>
      </c>
      <c r="C35" s="217"/>
      <c r="D35" s="196">
        <v>0</v>
      </c>
      <c r="E35" s="196">
        <v>0</v>
      </c>
      <c r="F35" s="197">
        <v>76</v>
      </c>
      <c r="G35" s="192">
        <v>0</v>
      </c>
      <c r="H35" s="192">
        <v>0</v>
      </c>
      <c r="I35" s="11">
        <v>0</v>
      </c>
      <c r="J35" s="11">
        <v>0</v>
      </c>
      <c r="K35" s="11"/>
      <c r="L35" s="193">
        <v>0</v>
      </c>
      <c r="M35" s="193">
        <v>0</v>
      </c>
      <c r="N35" s="193">
        <v>0</v>
      </c>
      <c r="O35" s="193">
        <v>1515.44</v>
      </c>
      <c r="P35" s="193">
        <v>0</v>
      </c>
      <c r="Q35" s="193">
        <v>0</v>
      </c>
      <c r="R35" s="193">
        <v>0</v>
      </c>
      <c r="S35" s="193">
        <v>0</v>
      </c>
      <c r="T35" s="193">
        <v>1515.44</v>
      </c>
    </row>
    <row r="36" spans="1:20">
      <c r="D36" s="19">
        <v>195</v>
      </c>
      <c r="E36" s="19">
        <v>135</v>
      </c>
      <c r="F36" s="19">
        <v>3226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4">
        <v>0</v>
      </c>
      <c r="M36" s="194">
        <v>29493.75</v>
      </c>
      <c r="N36" s="194">
        <v>20418.75</v>
      </c>
      <c r="O36" s="194">
        <v>64326.44</v>
      </c>
      <c r="P36" s="194">
        <v>0</v>
      </c>
      <c r="Q36" s="194">
        <v>0</v>
      </c>
      <c r="R36" s="194">
        <v>0</v>
      </c>
      <c r="S36" s="194">
        <v>0</v>
      </c>
      <c r="T36" s="194">
        <v>114238.94</v>
      </c>
    </row>
    <row r="37" spans="1:20">
      <c r="R37" s="21"/>
      <c r="S37" s="21"/>
      <c r="T37" s="195">
        <v>137086.73000000001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015D-782A-4845-8670-CC7705892835}">
  <sheetPr codeName="Лист29">
    <pageSetUpPr fitToPage="1"/>
  </sheetPr>
  <dimension ref="A1:T37"/>
  <sheetViews>
    <sheetView topLeftCell="A19" workbookViewId="0">
      <selection activeCell="M23" sqref="M23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268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269</v>
      </c>
      <c r="H3" s="209" t="s">
        <v>270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3.85</v>
      </c>
      <c r="G5" s="201">
        <v>0</v>
      </c>
      <c r="H5" s="201">
        <v>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61.87</v>
      </c>
      <c r="P5" s="193">
        <v>0</v>
      </c>
      <c r="Q5" s="193">
        <v>0</v>
      </c>
      <c r="R5" s="193">
        <v>0</v>
      </c>
      <c r="S5" s="193">
        <v>0</v>
      </c>
      <c r="T5" s="193">
        <v>61.87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3.85</v>
      </c>
      <c r="G6" s="201">
        <v>0</v>
      </c>
      <c r="H6" s="201">
        <v>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61.87</v>
      </c>
      <c r="P6" s="193">
        <v>0</v>
      </c>
      <c r="Q6" s="193">
        <v>0</v>
      </c>
      <c r="R6" s="193">
        <v>0</v>
      </c>
      <c r="S6" s="193">
        <v>0</v>
      </c>
      <c r="T6" s="193">
        <v>61.87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3.85</v>
      </c>
      <c r="G7" s="201">
        <v>0</v>
      </c>
      <c r="H7" s="201">
        <v>0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61.87</v>
      </c>
      <c r="P7" s="193">
        <v>0</v>
      </c>
      <c r="Q7" s="193">
        <v>0</v>
      </c>
      <c r="R7" s="193">
        <v>0</v>
      </c>
      <c r="S7" s="193">
        <v>0</v>
      </c>
      <c r="T7" s="193">
        <v>61.87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3.85</v>
      </c>
      <c r="G8" s="201">
        <v>0</v>
      </c>
      <c r="H8" s="201">
        <v>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61.87</v>
      </c>
      <c r="P8" s="193">
        <v>0</v>
      </c>
      <c r="Q8" s="193">
        <v>0</v>
      </c>
      <c r="R8" s="193">
        <v>0</v>
      </c>
      <c r="S8" s="193">
        <v>0</v>
      </c>
      <c r="T8" s="193">
        <v>61.87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3.85</v>
      </c>
      <c r="G9" s="201">
        <v>0</v>
      </c>
      <c r="H9" s="201">
        <v>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61.87</v>
      </c>
      <c r="P9" s="193">
        <v>0</v>
      </c>
      <c r="Q9" s="193">
        <v>0</v>
      </c>
      <c r="R9" s="193">
        <v>0</v>
      </c>
      <c r="S9" s="193">
        <v>0</v>
      </c>
      <c r="T9" s="193">
        <v>61.87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3.85</v>
      </c>
      <c r="G10" s="201">
        <v>0</v>
      </c>
      <c r="H10" s="201">
        <v>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61.87</v>
      </c>
      <c r="P10" s="193">
        <v>0</v>
      </c>
      <c r="Q10" s="193">
        <v>0</v>
      </c>
      <c r="R10" s="193">
        <v>0</v>
      </c>
      <c r="S10" s="193">
        <v>0</v>
      </c>
      <c r="T10" s="193">
        <v>61.87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3.85</v>
      </c>
      <c r="G11" s="201">
        <v>0</v>
      </c>
      <c r="H11" s="201">
        <v>0</v>
      </c>
      <c r="I11" s="10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61.87</v>
      </c>
      <c r="P11" s="193">
        <v>0</v>
      </c>
      <c r="Q11" s="193">
        <v>0</v>
      </c>
      <c r="R11" s="193">
        <v>0</v>
      </c>
      <c r="S11" s="193">
        <v>0</v>
      </c>
      <c r="T11" s="193">
        <v>61.87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3.85</v>
      </c>
      <c r="G12" s="201">
        <v>0</v>
      </c>
      <c r="H12" s="201">
        <v>0</v>
      </c>
      <c r="I12" s="10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61.87</v>
      </c>
      <c r="P12" s="193">
        <v>0</v>
      </c>
      <c r="Q12" s="193">
        <v>0</v>
      </c>
      <c r="R12" s="193">
        <v>0</v>
      </c>
      <c r="S12" s="193">
        <v>0</v>
      </c>
      <c r="T12" s="193">
        <v>61.87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3.85</v>
      </c>
      <c r="G13" s="201">
        <v>0</v>
      </c>
      <c r="H13" s="201">
        <v>0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61.87</v>
      </c>
      <c r="P13" s="193">
        <v>0</v>
      </c>
      <c r="Q13" s="193">
        <v>0</v>
      </c>
      <c r="R13" s="193">
        <v>0</v>
      </c>
      <c r="S13" s="193">
        <v>0</v>
      </c>
      <c r="T13" s="193">
        <v>61.87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3.85</v>
      </c>
      <c r="G14" s="201">
        <v>0</v>
      </c>
      <c r="H14" s="201">
        <v>0</v>
      </c>
      <c r="I14" s="10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61.87</v>
      </c>
      <c r="P14" s="193">
        <v>0</v>
      </c>
      <c r="Q14" s="193">
        <v>0</v>
      </c>
      <c r="R14" s="193">
        <v>0</v>
      </c>
      <c r="S14" s="193">
        <v>0</v>
      </c>
      <c r="T14" s="193">
        <v>61.87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3.85</v>
      </c>
      <c r="G15" s="201">
        <v>0</v>
      </c>
      <c r="H15" s="201">
        <v>0</v>
      </c>
      <c r="I15" s="10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61.87</v>
      </c>
      <c r="P15" s="193">
        <v>0</v>
      </c>
      <c r="Q15" s="193">
        <v>0</v>
      </c>
      <c r="R15" s="193">
        <v>0</v>
      </c>
      <c r="S15" s="193">
        <v>0</v>
      </c>
      <c r="T15" s="193">
        <v>61.87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3.85</v>
      </c>
      <c r="G16" s="201">
        <v>0</v>
      </c>
      <c r="H16" s="201">
        <v>0</v>
      </c>
      <c r="I16" s="10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61.87</v>
      </c>
      <c r="P16" s="193">
        <v>0</v>
      </c>
      <c r="Q16" s="193">
        <v>0</v>
      </c>
      <c r="R16" s="193">
        <v>0</v>
      </c>
      <c r="S16" s="193">
        <v>0</v>
      </c>
      <c r="T16" s="193">
        <v>61.87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3.85</v>
      </c>
      <c r="G17" s="201">
        <v>0</v>
      </c>
      <c r="H17" s="201">
        <v>0</v>
      </c>
      <c r="I17" s="10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61.87</v>
      </c>
      <c r="P17" s="193">
        <v>0</v>
      </c>
      <c r="Q17" s="193">
        <v>0</v>
      </c>
      <c r="R17" s="193">
        <v>0</v>
      </c>
      <c r="S17" s="193">
        <v>0</v>
      </c>
      <c r="T17" s="193">
        <v>61.87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3.85</v>
      </c>
      <c r="G18" s="201">
        <v>0</v>
      </c>
      <c r="H18" s="201">
        <v>0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61.87</v>
      </c>
      <c r="P18" s="193">
        <v>0</v>
      </c>
      <c r="Q18" s="193">
        <v>0</v>
      </c>
      <c r="R18" s="193">
        <v>0</v>
      </c>
      <c r="S18" s="193">
        <v>0</v>
      </c>
      <c r="T18" s="193">
        <v>61.87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3.85</v>
      </c>
      <c r="G19" s="201">
        <v>0</v>
      </c>
      <c r="H19" s="201">
        <v>0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61.87</v>
      </c>
      <c r="P19" s="193">
        <v>0</v>
      </c>
      <c r="Q19" s="193">
        <v>0</v>
      </c>
      <c r="R19" s="193">
        <v>0</v>
      </c>
      <c r="S19" s="193">
        <v>0</v>
      </c>
      <c r="T19" s="193">
        <v>61.87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3.85</v>
      </c>
      <c r="G20" s="201">
        <v>0</v>
      </c>
      <c r="H20" s="201">
        <v>0</v>
      </c>
      <c r="I20" s="10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61.87</v>
      </c>
      <c r="P20" s="193">
        <v>0</v>
      </c>
      <c r="Q20" s="193">
        <v>0</v>
      </c>
      <c r="R20" s="193">
        <v>0</v>
      </c>
      <c r="S20" s="193">
        <v>0</v>
      </c>
      <c r="T20" s="193">
        <v>61.87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3.85</v>
      </c>
      <c r="G21" s="201">
        <v>0</v>
      </c>
      <c r="H21" s="201">
        <v>0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61.87</v>
      </c>
      <c r="P21" s="193">
        <v>0</v>
      </c>
      <c r="Q21" s="193">
        <v>0</v>
      </c>
      <c r="R21" s="193">
        <v>0</v>
      </c>
      <c r="S21" s="193">
        <v>0</v>
      </c>
      <c r="T21" s="193">
        <v>61.87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3.85</v>
      </c>
      <c r="G22" s="201">
        <v>0</v>
      </c>
      <c r="H22" s="201">
        <v>0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61.87</v>
      </c>
      <c r="P22" s="193">
        <v>0</v>
      </c>
      <c r="Q22" s="193">
        <v>0</v>
      </c>
      <c r="R22" s="193">
        <v>0</v>
      </c>
      <c r="S22" s="193">
        <v>0</v>
      </c>
      <c r="T22" s="193">
        <v>61.87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3.85</v>
      </c>
      <c r="G23" s="201">
        <v>0</v>
      </c>
      <c r="H23" s="201">
        <v>0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61.87</v>
      </c>
      <c r="P23" s="193">
        <v>0</v>
      </c>
      <c r="Q23" s="193">
        <v>0</v>
      </c>
      <c r="R23" s="193">
        <v>0</v>
      </c>
      <c r="S23" s="193">
        <v>0</v>
      </c>
      <c r="T23" s="193">
        <v>61.87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</v>
      </c>
      <c r="F24" s="200">
        <v>3.85</v>
      </c>
      <c r="G24" s="201">
        <v>0</v>
      </c>
      <c r="H24" s="201">
        <v>0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61.87</v>
      </c>
      <c r="P24" s="193">
        <v>0</v>
      </c>
      <c r="Q24" s="193">
        <v>0</v>
      </c>
      <c r="R24" s="193">
        <v>0</v>
      </c>
      <c r="S24" s="193">
        <v>0</v>
      </c>
      <c r="T24" s="193">
        <v>61.87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3.85</v>
      </c>
      <c r="G25" s="201">
        <v>0</v>
      </c>
      <c r="H25" s="201">
        <v>0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61.87</v>
      </c>
      <c r="P25" s="193">
        <v>0</v>
      </c>
      <c r="Q25" s="193">
        <v>0</v>
      </c>
      <c r="R25" s="193">
        <v>0</v>
      </c>
      <c r="S25" s="193">
        <v>0</v>
      </c>
      <c r="T25" s="193">
        <v>61.87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0</v>
      </c>
      <c r="F26" s="200">
        <v>3.85</v>
      </c>
      <c r="G26" s="201">
        <v>0</v>
      </c>
      <c r="H26" s="201">
        <v>0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61.87</v>
      </c>
      <c r="P26" s="193">
        <v>0</v>
      </c>
      <c r="Q26" s="193">
        <v>0</v>
      </c>
      <c r="R26" s="193">
        <v>0</v>
      </c>
      <c r="S26" s="193">
        <v>0</v>
      </c>
      <c r="T26" s="193">
        <v>61.87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3.85</v>
      </c>
      <c r="G27" s="201">
        <v>0</v>
      </c>
      <c r="H27" s="201">
        <v>0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61.87</v>
      </c>
      <c r="P27" s="193">
        <v>0</v>
      </c>
      <c r="Q27" s="193">
        <v>0</v>
      </c>
      <c r="R27" s="193">
        <v>0</v>
      </c>
      <c r="S27" s="193">
        <v>0</v>
      </c>
      <c r="T27" s="193">
        <v>61.87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3.85</v>
      </c>
      <c r="G28" s="201">
        <v>0</v>
      </c>
      <c r="H28" s="201">
        <v>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61.87</v>
      </c>
      <c r="P28" s="193">
        <v>0</v>
      </c>
      <c r="Q28" s="193">
        <v>0</v>
      </c>
      <c r="R28" s="193">
        <v>0</v>
      </c>
      <c r="S28" s="193">
        <v>0</v>
      </c>
      <c r="T28" s="193">
        <v>61.87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3.85</v>
      </c>
      <c r="G29" s="201">
        <v>0</v>
      </c>
      <c r="H29" s="201">
        <v>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61.87</v>
      </c>
      <c r="P29" s="193">
        <v>0</v>
      </c>
      <c r="Q29" s="193">
        <v>0</v>
      </c>
      <c r="R29" s="193">
        <v>0</v>
      </c>
      <c r="S29" s="193">
        <v>0</v>
      </c>
      <c r="T29" s="193">
        <v>61.87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3.85</v>
      </c>
      <c r="G30" s="201">
        <v>0</v>
      </c>
      <c r="H30" s="201">
        <v>0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61.87</v>
      </c>
      <c r="P30" s="193">
        <v>0</v>
      </c>
      <c r="Q30" s="193">
        <v>0</v>
      </c>
      <c r="R30" s="193">
        <v>0</v>
      </c>
      <c r="S30" s="193">
        <v>0</v>
      </c>
      <c r="T30" s="193">
        <v>61.87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3.85</v>
      </c>
      <c r="G31" s="201">
        <v>0</v>
      </c>
      <c r="H31" s="201">
        <v>0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61.87</v>
      </c>
      <c r="P31" s="193">
        <v>0</v>
      </c>
      <c r="Q31" s="193">
        <v>0</v>
      </c>
      <c r="R31" s="193">
        <v>0</v>
      </c>
      <c r="S31" s="193">
        <v>0</v>
      </c>
      <c r="T31" s="193">
        <v>61.87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3.85</v>
      </c>
      <c r="G32" s="201">
        <v>0</v>
      </c>
      <c r="H32" s="201">
        <v>0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61.87</v>
      </c>
      <c r="P32" s="193">
        <v>0</v>
      </c>
      <c r="Q32" s="193">
        <v>0</v>
      </c>
      <c r="R32" s="193">
        <v>0</v>
      </c>
      <c r="S32" s="193">
        <v>0</v>
      </c>
      <c r="T32" s="193">
        <v>61.87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3.85</v>
      </c>
      <c r="G33" s="201">
        <v>0</v>
      </c>
      <c r="H33" s="201">
        <v>0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61.87</v>
      </c>
      <c r="P33" s="193">
        <v>0</v>
      </c>
      <c r="Q33" s="193">
        <v>0</v>
      </c>
      <c r="R33" s="193">
        <v>0</v>
      </c>
      <c r="S33" s="193">
        <v>0</v>
      </c>
      <c r="T33" s="193">
        <v>61.87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3.85</v>
      </c>
      <c r="G34" s="201">
        <v>0</v>
      </c>
      <c r="H34" s="201">
        <v>0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61.87</v>
      </c>
      <c r="P34" s="193">
        <v>0</v>
      </c>
      <c r="Q34" s="193">
        <v>0</v>
      </c>
      <c r="R34" s="193">
        <v>0</v>
      </c>
      <c r="S34" s="193">
        <v>0</v>
      </c>
      <c r="T34" s="193">
        <v>61.87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3.85</v>
      </c>
      <c r="G35" s="201">
        <v>0</v>
      </c>
      <c r="H35" s="201">
        <v>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61.87</v>
      </c>
      <c r="P35" s="193">
        <v>0</v>
      </c>
      <c r="Q35" s="193">
        <v>0</v>
      </c>
      <c r="R35" s="193">
        <v>0</v>
      </c>
      <c r="S35" s="193">
        <v>0</v>
      </c>
      <c r="T35" s="193">
        <v>61.87</v>
      </c>
    </row>
    <row r="36" spans="1:20">
      <c r="D36" s="18">
        <v>0</v>
      </c>
      <c r="E36" s="18">
        <v>0</v>
      </c>
      <c r="F36" s="18">
        <v>119.34999999999994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4">
        <v>0</v>
      </c>
      <c r="M36" s="194">
        <v>0</v>
      </c>
      <c r="N36" s="194">
        <v>0</v>
      </c>
      <c r="O36" s="194">
        <v>1917.95</v>
      </c>
      <c r="P36" s="194">
        <v>0</v>
      </c>
      <c r="Q36" s="194">
        <v>0</v>
      </c>
      <c r="R36" s="194">
        <v>0</v>
      </c>
      <c r="S36" s="194">
        <v>0</v>
      </c>
      <c r="T36" s="194">
        <v>1917.95</v>
      </c>
    </row>
    <row r="37" spans="1:20">
      <c r="R37" s="21"/>
      <c r="S37" s="21"/>
      <c r="T37" s="195">
        <v>2339.9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40B5-6138-410D-8A0B-5576A7324292}">
  <sheetPr codeName="Лист30">
    <pageSetUpPr fitToPage="1"/>
  </sheetPr>
  <dimension ref="A1:T37"/>
  <sheetViews>
    <sheetView topLeftCell="A19" workbookViewId="0">
      <selection activeCell="M23" sqref="M23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272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269</v>
      </c>
      <c r="H3" s="209" t="s">
        <v>270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6250.1769999999997</v>
      </c>
      <c r="G5" s="201">
        <v>4249.8230000000003</v>
      </c>
      <c r="H5" s="201">
        <v>1000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100440.34</v>
      </c>
      <c r="P5" s="193">
        <v>68294.66</v>
      </c>
      <c r="Q5" s="193">
        <v>95000</v>
      </c>
      <c r="R5" s="193">
        <v>0</v>
      </c>
      <c r="S5" s="193">
        <v>0</v>
      </c>
      <c r="T5" s="193">
        <v>263735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6250.1769999999997</v>
      </c>
      <c r="G6" s="201">
        <v>4249.8230000000003</v>
      </c>
      <c r="H6" s="201">
        <v>1000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100440.34</v>
      </c>
      <c r="P6" s="193">
        <v>68294.66</v>
      </c>
      <c r="Q6" s="193">
        <v>95000</v>
      </c>
      <c r="R6" s="193">
        <v>0</v>
      </c>
      <c r="S6" s="193">
        <v>0</v>
      </c>
      <c r="T6" s="193">
        <v>263735</v>
      </c>
    </row>
    <row r="7" spans="1:20">
      <c r="A7" s="13">
        <v>3</v>
      </c>
      <c r="B7" s="216" t="s">
        <v>201</v>
      </c>
      <c r="C7" s="217"/>
      <c r="D7" s="200">
        <v>22.5</v>
      </c>
      <c r="E7" s="200">
        <v>22</v>
      </c>
      <c r="F7" s="200">
        <v>6250.6769999999997</v>
      </c>
      <c r="G7" s="201">
        <v>4249.3230000000003</v>
      </c>
      <c r="H7" s="201">
        <v>955.5</v>
      </c>
      <c r="I7" s="10">
        <v>0</v>
      </c>
      <c r="J7" s="11">
        <v>0</v>
      </c>
      <c r="K7" s="11">
        <v>0</v>
      </c>
      <c r="L7" s="193">
        <v>0</v>
      </c>
      <c r="M7" s="193">
        <v>2137.5</v>
      </c>
      <c r="N7" s="193">
        <v>2090</v>
      </c>
      <c r="O7" s="193">
        <v>100448.38</v>
      </c>
      <c r="P7" s="193">
        <v>68286.62</v>
      </c>
      <c r="Q7" s="193">
        <v>90772.5</v>
      </c>
      <c r="R7" s="193">
        <v>0</v>
      </c>
      <c r="S7" s="193">
        <v>0</v>
      </c>
      <c r="T7" s="193">
        <v>263735</v>
      </c>
    </row>
    <row r="8" spans="1:20">
      <c r="A8" s="13">
        <v>4</v>
      </c>
      <c r="B8" s="216" t="s">
        <v>202</v>
      </c>
      <c r="C8" s="217"/>
      <c r="D8" s="200">
        <v>221.49700000000001</v>
      </c>
      <c r="E8" s="200">
        <v>0</v>
      </c>
      <c r="F8" s="200">
        <v>6472.174</v>
      </c>
      <c r="G8" s="201">
        <v>4027.826</v>
      </c>
      <c r="H8" s="201">
        <v>778.50299999999993</v>
      </c>
      <c r="I8" s="10">
        <v>1.4750000000000001</v>
      </c>
      <c r="J8" s="11">
        <v>1.4750000000000001</v>
      </c>
      <c r="K8" s="11">
        <v>2.5000000000000001E-2</v>
      </c>
      <c r="L8" s="193">
        <v>3.75</v>
      </c>
      <c r="M8" s="193">
        <v>21042.22</v>
      </c>
      <c r="N8" s="193">
        <v>0</v>
      </c>
      <c r="O8" s="193">
        <v>104007.84</v>
      </c>
      <c r="P8" s="193">
        <v>64727.16</v>
      </c>
      <c r="Q8" s="193">
        <v>73957.789999999994</v>
      </c>
      <c r="R8" s="193">
        <v>1475</v>
      </c>
      <c r="S8" s="193">
        <v>295</v>
      </c>
      <c r="T8" s="193">
        <v>265508.75</v>
      </c>
    </row>
    <row r="9" spans="1:20">
      <c r="A9" s="13">
        <v>5</v>
      </c>
      <c r="B9" s="216" t="s">
        <v>203</v>
      </c>
      <c r="C9" s="217"/>
      <c r="D9" s="200">
        <v>224.5</v>
      </c>
      <c r="E9" s="200">
        <v>0</v>
      </c>
      <c r="F9" s="200">
        <v>6696.674</v>
      </c>
      <c r="G9" s="201">
        <v>3803.326</v>
      </c>
      <c r="H9" s="201">
        <v>775.5</v>
      </c>
      <c r="I9" s="10">
        <v>1.4750000000000001</v>
      </c>
      <c r="J9" s="11">
        <v>1.4750000000000001</v>
      </c>
      <c r="K9" s="11">
        <v>0</v>
      </c>
      <c r="L9" s="193">
        <v>0</v>
      </c>
      <c r="M9" s="193">
        <v>21327.5</v>
      </c>
      <c r="N9" s="193">
        <v>0</v>
      </c>
      <c r="O9" s="193">
        <v>107615.55</v>
      </c>
      <c r="P9" s="193">
        <v>61119.45</v>
      </c>
      <c r="Q9" s="193">
        <v>73672.5</v>
      </c>
      <c r="R9" s="193">
        <v>1475</v>
      </c>
      <c r="S9" s="193">
        <v>295</v>
      </c>
      <c r="T9" s="193">
        <v>265505</v>
      </c>
    </row>
    <row r="10" spans="1:20">
      <c r="A10" s="13">
        <v>6</v>
      </c>
      <c r="B10" s="216" t="s">
        <v>204</v>
      </c>
      <c r="C10" s="217"/>
      <c r="D10" s="200">
        <v>562.5</v>
      </c>
      <c r="E10" s="200">
        <v>22.5</v>
      </c>
      <c r="F10" s="200">
        <v>7236.674</v>
      </c>
      <c r="G10" s="201">
        <v>3263.326</v>
      </c>
      <c r="H10" s="201">
        <v>415</v>
      </c>
      <c r="I10" s="10">
        <v>4.5</v>
      </c>
      <c r="J10" s="11">
        <v>4.5</v>
      </c>
      <c r="K10" s="11">
        <v>0</v>
      </c>
      <c r="L10" s="193">
        <v>0</v>
      </c>
      <c r="M10" s="193">
        <v>53437.5</v>
      </c>
      <c r="N10" s="193">
        <v>2137.5</v>
      </c>
      <c r="O10" s="193">
        <v>116293.35</v>
      </c>
      <c r="P10" s="193">
        <v>52441.65</v>
      </c>
      <c r="Q10" s="193">
        <v>39425</v>
      </c>
      <c r="R10" s="193">
        <v>4500</v>
      </c>
      <c r="S10" s="193">
        <v>900</v>
      </c>
      <c r="T10" s="193">
        <v>269135</v>
      </c>
    </row>
    <row r="11" spans="1:20">
      <c r="A11" s="13">
        <v>7</v>
      </c>
      <c r="B11" s="216" t="s">
        <v>205</v>
      </c>
      <c r="C11" s="217"/>
      <c r="D11" s="200">
        <v>719.99699999999996</v>
      </c>
      <c r="E11" s="200">
        <v>45</v>
      </c>
      <c r="F11" s="200">
        <v>7911.6710000000003</v>
      </c>
      <c r="G11" s="201">
        <v>2588.3289999999997</v>
      </c>
      <c r="H11" s="201">
        <v>235.00300000000004</v>
      </c>
      <c r="I11" s="10">
        <v>1.4750000000000001</v>
      </c>
      <c r="J11" s="11">
        <v>1.5</v>
      </c>
      <c r="K11" s="11">
        <v>2.1999999999999999E-2</v>
      </c>
      <c r="L11" s="193">
        <v>3.3</v>
      </c>
      <c r="M11" s="193">
        <v>68399.72</v>
      </c>
      <c r="N11" s="193">
        <v>4275</v>
      </c>
      <c r="O11" s="193">
        <v>127140.55</v>
      </c>
      <c r="P11" s="193">
        <v>41594.449999999997</v>
      </c>
      <c r="Q11" s="193">
        <v>22325.29</v>
      </c>
      <c r="R11" s="193">
        <v>1475</v>
      </c>
      <c r="S11" s="193">
        <v>300</v>
      </c>
      <c r="T11" s="193">
        <v>265513.3</v>
      </c>
    </row>
    <row r="12" spans="1:20">
      <c r="A12" s="13">
        <v>8</v>
      </c>
      <c r="B12" s="216" t="s">
        <v>206</v>
      </c>
      <c r="C12" s="217"/>
      <c r="D12" s="200">
        <v>717.11900000000003</v>
      </c>
      <c r="E12" s="200">
        <v>22.5</v>
      </c>
      <c r="F12" s="200">
        <v>8606.2900000000009</v>
      </c>
      <c r="G12" s="201">
        <v>1893.7099999999991</v>
      </c>
      <c r="H12" s="201">
        <v>260.38099999999997</v>
      </c>
      <c r="I12" s="10">
        <v>2.7750000000000004</v>
      </c>
      <c r="J12" s="11">
        <v>2.7750000000000004</v>
      </c>
      <c r="K12" s="11">
        <v>9.4E-2</v>
      </c>
      <c r="L12" s="193">
        <v>14.1</v>
      </c>
      <c r="M12" s="193">
        <v>68126.31</v>
      </c>
      <c r="N12" s="193">
        <v>2137.5</v>
      </c>
      <c r="O12" s="193">
        <v>138303.07999999999</v>
      </c>
      <c r="P12" s="193">
        <v>30431.919999999998</v>
      </c>
      <c r="Q12" s="193">
        <v>24736.2</v>
      </c>
      <c r="R12" s="193">
        <v>2775</v>
      </c>
      <c r="S12" s="193">
        <v>555</v>
      </c>
      <c r="T12" s="193">
        <v>267079.09999999998</v>
      </c>
    </row>
    <row r="13" spans="1:20">
      <c r="A13" s="13">
        <v>9</v>
      </c>
      <c r="B13" s="216" t="s">
        <v>207</v>
      </c>
      <c r="C13" s="217"/>
      <c r="D13" s="200">
        <v>696</v>
      </c>
      <c r="E13" s="200">
        <v>22.5</v>
      </c>
      <c r="F13" s="200">
        <v>9279.7900000000009</v>
      </c>
      <c r="G13" s="201">
        <v>1220.2099999999991</v>
      </c>
      <c r="H13" s="201">
        <v>281.5</v>
      </c>
      <c r="I13" s="10">
        <v>0</v>
      </c>
      <c r="J13" s="11">
        <v>0</v>
      </c>
      <c r="K13" s="11">
        <v>0</v>
      </c>
      <c r="L13" s="193">
        <v>0</v>
      </c>
      <c r="M13" s="193">
        <v>66120</v>
      </c>
      <c r="N13" s="193">
        <v>2137.5</v>
      </c>
      <c r="O13" s="193">
        <v>149126.23000000001</v>
      </c>
      <c r="P13" s="193">
        <v>19608.77</v>
      </c>
      <c r="Q13" s="193">
        <v>26742.5</v>
      </c>
      <c r="R13" s="193">
        <v>0</v>
      </c>
      <c r="S13" s="193">
        <v>0</v>
      </c>
      <c r="T13" s="193">
        <v>263735</v>
      </c>
    </row>
    <row r="14" spans="1:20">
      <c r="A14" s="13">
        <v>10</v>
      </c>
      <c r="B14" s="216" t="s">
        <v>208</v>
      </c>
      <c r="C14" s="217"/>
      <c r="D14" s="200">
        <v>830</v>
      </c>
      <c r="E14" s="200">
        <v>21</v>
      </c>
      <c r="F14" s="200">
        <v>10088.790000000001</v>
      </c>
      <c r="G14" s="201">
        <v>411.20999999999913</v>
      </c>
      <c r="H14" s="201">
        <v>149</v>
      </c>
      <c r="I14" s="10">
        <v>0</v>
      </c>
      <c r="J14" s="11">
        <v>0</v>
      </c>
      <c r="K14" s="11">
        <v>0</v>
      </c>
      <c r="L14" s="193">
        <v>0</v>
      </c>
      <c r="M14" s="193">
        <v>78850</v>
      </c>
      <c r="N14" s="193">
        <v>1995</v>
      </c>
      <c r="O14" s="193">
        <v>162126.85999999999</v>
      </c>
      <c r="P14" s="193">
        <v>6608.14</v>
      </c>
      <c r="Q14" s="193">
        <v>14155</v>
      </c>
      <c r="R14" s="193">
        <v>0</v>
      </c>
      <c r="S14" s="193">
        <v>0</v>
      </c>
      <c r="T14" s="193">
        <v>263735</v>
      </c>
    </row>
    <row r="15" spans="1:20">
      <c r="A15" s="13">
        <v>11</v>
      </c>
      <c r="B15" s="216" t="s">
        <v>209</v>
      </c>
      <c r="C15" s="217"/>
      <c r="D15" s="200">
        <v>585</v>
      </c>
      <c r="E15" s="200">
        <v>45</v>
      </c>
      <c r="F15" s="200">
        <v>10628.79</v>
      </c>
      <c r="G15" s="201">
        <v>0</v>
      </c>
      <c r="H15" s="201">
        <v>370</v>
      </c>
      <c r="I15" s="10">
        <v>0</v>
      </c>
      <c r="J15" s="11">
        <v>0</v>
      </c>
      <c r="K15" s="11">
        <v>0</v>
      </c>
      <c r="L15" s="193">
        <v>0</v>
      </c>
      <c r="M15" s="193">
        <v>55575</v>
      </c>
      <c r="N15" s="193">
        <v>4275</v>
      </c>
      <c r="O15" s="193">
        <v>170804.66</v>
      </c>
      <c r="P15" s="193">
        <v>0</v>
      </c>
      <c r="Q15" s="193">
        <v>35150</v>
      </c>
      <c r="R15" s="193">
        <v>0</v>
      </c>
      <c r="S15" s="193">
        <v>0</v>
      </c>
      <c r="T15" s="193">
        <v>265804.65999999997</v>
      </c>
    </row>
    <row r="16" spans="1:20">
      <c r="A16" s="13">
        <v>12</v>
      </c>
      <c r="B16" s="216" t="s">
        <v>210</v>
      </c>
      <c r="C16" s="217"/>
      <c r="D16" s="200">
        <v>1123.5</v>
      </c>
      <c r="E16" s="200">
        <v>67.5</v>
      </c>
      <c r="F16" s="200">
        <v>11684.79</v>
      </c>
      <c r="G16" s="201">
        <v>0</v>
      </c>
      <c r="H16" s="201">
        <v>0</v>
      </c>
      <c r="I16" s="10">
        <v>0</v>
      </c>
      <c r="J16" s="11">
        <v>0</v>
      </c>
      <c r="K16" s="11">
        <v>0</v>
      </c>
      <c r="L16" s="193">
        <v>0</v>
      </c>
      <c r="M16" s="193">
        <v>106732.5</v>
      </c>
      <c r="N16" s="193">
        <v>6412.5</v>
      </c>
      <c r="O16" s="193">
        <v>187774.58</v>
      </c>
      <c r="P16" s="193">
        <v>0</v>
      </c>
      <c r="Q16" s="193">
        <v>0</v>
      </c>
      <c r="R16" s="193">
        <v>0</v>
      </c>
      <c r="S16" s="193">
        <v>0</v>
      </c>
      <c r="T16" s="193">
        <v>300919.58</v>
      </c>
    </row>
    <row r="17" spans="1:20">
      <c r="A17" s="13">
        <v>13</v>
      </c>
      <c r="B17" s="216" t="s">
        <v>211</v>
      </c>
      <c r="C17" s="217"/>
      <c r="D17" s="200">
        <v>854</v>
      </c>
      <c r="E17" s="200">
        <v>84.55</v>
      </c>
      <c r="F17" s="200">
        <v>12454.24</v>
      </c>
      <c r="G17" s="201">
        <v>0</v>
      </c>
      <c r="H17" s="201">
        <v>61.450000000000045</v>
      </c>
      <c r="I17" s="10">
        <v>0</v>
      </c>
      <c r="J17" s="11">
        <v>0</v>
      </c>
      <c r="K17" s="11">
        <v>0</v>
      </c>
      <c r="L17" s="193">
        <v>0</v>
      </c>
      <c r="M17" s="193">
        <v>81130</v>
      </c>
      <c r="N17" s="193">
        <v>8032.25</v>
      </c>
      <c r="O17" s="193">
        <v>200139.64</v>
      </c>
      <c r="P17" s="193">
        <v>0</v>
      </c>
      <c r="Q17" s="193">
        <v>5837.75</v>
      </c>
      <c r="R17" s="193">
        <v>0</v>
      </c>
      <c r="S17" s="193">
        <v>0</v>
      </c>
      <c r="T17" s="193">
        <v>295139.64</v>
      </c>
    </row>
    <row r="18" spans="1:20">
      <c r="A18" s="13">
        <v>14</v>
      </c>
      <c r="B18" s="216" t="s">
        <v>212</v>
      </c>
      <c r="C18" s="217"/>
      <c r="D18" s="200">
        <v>919.99800000000005</v>
      </c>
      <c r="E18" s="200">
        <v>49.5</v>
      </c>
      <c r="F18" s="200">
        <v>13324.737999999999</v>
      </c>
      <c r="G18" s="201">
        <v>0</v>
      </c>
      <c r="H18" s="201">
        <v>30.501999999999953</v>
      </c>
      <c r="I18" s="10">
        <v>1.4750000000000001</v>
      </c>
      <c r="J18" s="11">
        <v>1.4750000000000001</v>
      </c>
      <c r="K18" s="11">
        <v>0</v>
      </c>
      <c r="L18" s="193">
        <v>0</v>
      </c>
      <c r="M18" s="193">
        <v>87399.81</v>
      </c>
      <c r="N18" s="193">
        <v>4702.5</v>
      </c>
      <c r="O18" s="193">
        <v>214128.54</v>
      </c>
      <c r="P18" s="193">
        <v>0</v>
      </c>
      <c r="Q18" s="193">
        <v>2897.69</v>
      </c>
      <c r="R18" s="193">
        <v>1475</v>
      </c>
      <c r="S18" s="193">
        <v>295</v>
      </c>
      <c r="T18" s="193">
        <v>310898.53999999998</v>
      </c>
    </row>
    <row r="19" spans="1:20">
      <c r="A19" s="13">
        <v>15</v>
      </c>
      <c r="B19" s="216" t="s">
        <v>213</v>
      </c>
      <c r="C19" s="217"/>
      <c r="D19" s="200">
        <v>985.49800000000005</v>
      </c>
      <c r="E19" s="200">
        <v>13.25</v>
      </c>
      <c r="F19" s="200">
        <v>14296.986000000001</v>
      </c>
      <c r="G19" s="201">
        <v>0</v>
      </c>
      <c r="H19" s="201">
        <v>1.2519999999999527</v>
      </c>
      <c r="I19" s="10">
        <v>1.45</v>
      </c>
      <c r="J19" s="11">
        <v>1.45</v>
      </c>
      <c r="K19" s="11">
        <v>4.8000000000000001E-2</v>
      </c>
      <c r="L19" s="193">
        <v>7.2</v>
      </c>
      <c r="M19" s="193">
        <v>93622.31</v>
      </c>
      <c r="N19" s="193">
        <v>1258.75</v>
      </c>
      <c r="O19" s="193">
        <v>229752.57</v>
      </c>
      <c r="P19" s="193">
        <v>0</v>
      </c>
      <c r="Q19" s="193">
        <v>118.94</v>
      </c>
      <c r="R19" s="193">
        <v>1450</v>
      </c>
      <c r="S19" s="193">
        <v>290</v>
      </c>
      <c r="T19" s="193">
        <v>326499.77</v>
      </c>
    </row>
    <row r="20" spans="1:20">
      <c r="A20" s="13">
        <v>16</v>
      </c>
      <c r="B20" s="216" t="s">
        <v>214</v>
      </c>
      <c r="C20" s="217"/>
      <c r="D20" s="200">
        <v>447</v>
      </c>
      <c r="E20" s="200">
        <v>211.5</v>
      </c>
      <c r="F20" s="200">
        <v>14532.486000000001</v>
      </c>
      <c r="G20" s="201">
        <v>0</v>
      </c>
      <c r="H20" s="201">
        <v>341.5</v>
      </c>
      <c r="I20" s="10">
        <v>0</v>
      </c>
      <c r="J20" s="11">
        <v>0</v>
      </c>
      <c r="K20" s="11">
        <v>0</v>
      </c>
      <c r="L20" s="193">
        <v>0</v>
      </c>
      <c r="M20" s="193">
        <v>42465</v>
      </c>
      <c r="N20" s="193">
        <v>20092.5</v>
      </c>
      <c r="O20" s="193">
        <v>233537.05</v>
      </c>
      <c r="P20" s="193">
        <v>0</v>
      </c>
      <c r="Q20" s="193">
        <v>32442.5</v>
      </c>
      <c r="R20" s="193">
        <v>0</v>
      </c>
      <c r="S20" s="193">
        <v>0</v>
      </c>
      <c r="T20" s="193">
        <v>328537.05</v>
      </c>
    </row>
    <row r="21" spans="1:20">
      <c r="A21" s="13">
        <v>17</v>
      </c>
      <c r="B21" s="216" t="s">
        <v>215</v>
      </c>
      <c r="C21" s="217"/>
      <c r="D21" s="200">
        <v>135</v>
      </c>
      <c r="E21" s="200">
        <v>225</v>
      </c>
      <c r="F21" s="200">
        <v>14442.486000000001</v>
      </c>
      <c r="G21" s="201">
        <v>0</v>
      </c>
      <c r="H21" s="201">
        <v>640</v>
      </c>
      <c r="I21" s="10">
        <v>0</v>
      </c>
      <c r="J21" s="11">
        <v>0</v>
      </c>
      <c r="K21" s="11">
        <v>0</v>
      </c>
      <c r="L21" s="193">
        <v>0</v>
      </c>
      <c r="M21" s="193">
        <v>12825</v>
      </c>
      <c r="N21" s="193">
        <v>21375</v>
      </c>
      <c r="O21" s="193">
        <v>232090.75</v>
      </c>
      <c r="P21" s="193">
        <v>0</v>
      </c>
      <c r="Q21" s="193">
        <v>60800</v>
      </c>
      <c r="R21" s="193">
        <v>0</v>
      </c>
      <c r="S21" s="193">
        <v>0</v>
      </c>
      <c r="T21" s="193">
        <v>327090.75</v>
      </c>
    </row>
    <row r="22" spans="1:20">
      <c r="A22" s="13">
        <v>18</v>
      </c>
      <c r="B22" s="216" t="s">
        <v>216</v>
      </c>
      <c r="C22" s="217"/>
      <c r="D22" s="200">
        <v>22.5</v>
      </c>
      <c r="E22" s="200">
        <v>236</v>
      </c>
      <c r="F22" s="200">
        <v>14228.986000000001</v>
      </c>
      <c r="G22" s="201">
        <v>0</v>
      </c>
      <c r="H22" s="201">
        <v>741.5</v>
      </c>
      <c r="I22" s="10">
        <v>0</v>
      </c>
      <c r="J22" s="11">
        <v>0</v>
      </c>
      <c r="K22" s="11">
        <v>0</v>
      </c>
      <c r="L22" s="193">
        <v>0</v>
      </c>
      <c r="M22" s="193">
        <v>2137.5</v>
      </c>
      <c r="N22" s="193">
        <v>22420</v>
      </c>
      <c r="O22" s="193">
        <v>228659.81</v>
      </c>
      <c r="P22" s="193">
        <v>0</v>
      </c>
      <c r="Q22" s="193">
        <v>70442.5</v>
      </c>
      <c r="R22" s="193">
        <v>0</v>
      </c>
      <c r="S22" s="193">
        <v>0</v>
      </c>
      <c r="T22" s="193">
        <v>323659.81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228.25</v>
      </c>
      <c r="F23" s="200">
        <v>14000.736000000001</v>
      </c>
      <c r="G23" s="201">
        <v>0</v>
      </c>
      <c r="H23" s="201">
        <v>771.75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21683.75</v>
      </c>
      <c r="O23" s="193">
        <v>224991.83</v>
      </c>
      <c r="P23" s="193">
        <v>0</v>
      </c>
      <c r="Q23" s="193">
        <v>73316.25</v>
      </c>
      <c r="R23" s="193">
        <v>0</v>
      </c>
      <c r="S23" s="193">
        <v>0</v>
      </c>
      <c r="T23" s="193">
        <v>319991.83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225.5</v>
      </c>
      <c r="F24" s="200">
        <v>13775.236000000001</v>
      </c>
      <c r="G24" s="201">
        <v>0</v>
      </c>
      <c r="H24" s="201">
        <v>774.5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21422.5</v>
      </c>
      <c r="O24" s="193">
        <v>221368.04</v>
      </c>
      <c r="P24" s="193">
        <v>0</v>
      </c>
      <c r="Q24" s="193">
        <v>73577.5</v>
      </c>
      <c r="R24" s="193">
        <v>0</v>
      </c>
      <c r="S24" s="193">
        <v>0</v>
      </c>
      <c r="T24" s="193">
        <v>316368.03999999998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517.375</v>
      </c>
      <c r="F25" s="200">
        <v>13257.861000000001</v>
      </c>
      <c r="G25" s="201">
        <v>0</v>
      </c>
      <c r="H25" s="201">
        <v>482.625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49150.63</v>
      </c>
      <c r="O25" s="193">
        <v>213053.83</v>
      </c>
      <c r="P25" s="193">
        <v>0</v>
      </c>
      <c r="Q25" s="193">
        <v>45849.38</v>
      </c>
      <c r="R25" s="193">
        <v>0</v>
      </c>
      <c r="S25" s="193">
        <v>0</v>
      </c>
      <c r="T25" s="193">
        <v>308053.83</v>
      </c>
    </row>
    <row r="26" spans="1:20">
      <c r="A26" s="13">
        <v>22</v>
      </c>
      <c r="B26" s="216" t="s">
        <v>220</v>
      </c>
      <c r="C26" s="217"/>
      <c r="D26" s="200">
        <v>252.75</v>
      </c>
      <c r="E26" s="200">
        <v>564</v>
      </c>
      <c r="F26" s="200">
        <v>12946.611000000001</v>
      </c>
      <c r="G26" s="201">
        <v>0</v>
      </c>
      <c r="H26" s="201">
        <v>183.25</v>
      </c>
      <c r="I26" s="10">
        <v>1.35</v>
      </c>
      <c r="J26" s="11">
        <v>1.35</v>
      </c>
      <c r="K26" s="11">
        <v>0</v>
      </c>
      <c r="L26" s="193">
        <v>0</v>
      </c>
      <c r="M26" s="193">
        <v>24011.25</v>
      </c>
      <c r="N26" s="193">
        <v>53580</v>
      </c>
      <c r="O26" s="193">
        <v>208052.04</v>
      </c>
      <c r="P26" s="193">
        <v>0</v>
      </c>
      <c r="Q26" s="193">
        <v>17408.75</v>
      </c>
      <c r="R26" s="193">
        <v>1350</v>
      </c>
      <c r="S26" s="193">
        <v>270</v>
      </c>
      <c r="T26" s="193">
        <v>304672.03999999998</v>
      </c>
    </row>
    <row r="27" spans="1:20">
      <c r="A27" s="13">
        <v>23</v>
      </c>
      <c r="B27" s="216" t="s">
        <v>221</v>
      </c>
      <c r="C27" s="217"/>
      <c r="D27" s="200">
        <v>126.75</v>
      </c>
      <c r="E27" s="200">
        <v>583</v>
      </c>
      <c r="F27" s="200">
        <v>12490.361000000001</v>
      </c>
      <c r="G27" s="201">
        <v>0</v>
      </c>
      <c r="H27" s="201">
        <v>290.25</v>
      </c>
      <c r="I27" s="10">
        <v>0</v>
      </c>
      <c r="J27" s="11">
        <v>0</v>
      </c>
      <c r="K27" s="11">
        <v>0</v>
      </c>
      <c r="L27" s="193">
        <v>0</v>
      </c>
      <c r="M27" s="193">
        <v>12041.25</v>
      </c>
      <c r="N27" s="193">
        <v>55385</v>
      </c>
      <c r="O27" s="193">
        <v>200720.1</v>
      </c>
      <c r="P27" s="193">
        <v>0</v>
      </c>
      <c r="Q27" s="193">
        <v>27573.75</v>
      </c>
      <c r="R27" s="193">
        <v>0</v>
      </c>
      <c r="S27" s="193">
        <v>0</v>
      </c>
      <c r="T27" s="193">
        <v>295720.09999999998</v>
      </c>
    </row>
    <row r="28" spans="1:20">
      <c r="A28" s="13">
        <v>24</v>
      </c>
      <c r="B28" s="216" t="s">
        <v>222</v>
      </c>
      <c r="C28" s="217"/>
      <c r="D28" s="200">
        <v>255</v>
      </c>
      <c r="E28" s="200">
        <v>495.07499999999999</v>
      </c>
      <c r="F28" s="200">
        <v>12250.286</v>
      </c>
      <c r="G28" s="201">
        <v>0</v>
      </c>
      <c r="H28" s="201">
        <v>249.92500000000001</v>
      </c>
      <c r="I28" s="10">
        <v>0</v>
      </c>
      <c r="J28" s="11">
        <v>0</v>
      </c>
      <c r="K28" s="11">
        <v>0</v>
      </c>
      <c r="L28" s="193">
        <v>0</v>
      </c>
      <c r="M28" s="193">
        <v>24225</v>
      </c>
      <c r="N28" s="193">
        <v>47032.13</v>
      </c>
      <c r="O28" s="193">
        <v>196862.1</v>
      </c>
      <c r="P28" s="193">
        <v>0</v>
      </c>
      <c r="Q28" s="193">
        <v>23742.880000000001</v>
      </c>
      <c r="R28" s="193">
        <v>0</v>
      </c>
      <c r="S28" s="193">
        <v>0</v>
      </c>
      <c r="T28" s="193">
        <v>291862.09999999998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335.5</v>
      </c>
      <c r="F29" s="200">
        <v>11914.786</v>
      </c>
      <c r="G29" s="201">
        <v>0</v>
      </c>
      <c r="H29" s="201">
        <v>664.5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31872.5</v>
      </c>
      <c r="O29" s="193">
        <v>191470.61</v>
      </c>
      <c r="P29" s="193">
        <v>0</v>
      </c>
      <c r="Q29" s="193">
        <v>63127.5</v>
      </c>
      <c r="R29" s="193">
        <v>0</v>
      </c>
      <c r="S29" s="193">
        <v>0</v>
      </c>
      <c r="T29" s="193">
        <v>286470.61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629.375</v>
      </c>
      <c r="F30" s="200">
        <v>11285.411</v>
      </c>
      <c r="G30" s="201">
        <v>0</v>
      </c>
      <c r="H30" s="201">
        <v>370.625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59790.63</v>
      </c>
      <c r="O30" s="193">
        <v>181356.55</v>
      </c>
      <c r="P30" s="193">
        <v>0</v>
      </c>
      <c r="Q30" s="193">
        <v>35209.379999999997</v>
      </c>
      <c r="R30" s="193">
        <v>0</v>
      </c>
      <c r="S30" s="193">
        <v>0</v>
      </c>
      <c r="T30" s="193">
        <v>276356.55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439</v>
      </c>
      <c r="F31" s="200">
        <v>10846.411</v>
      </c>
      <c r="G31" s="201">
        <v>0</v>
      </c>
      <c r="H31" s="201">
        <v>561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41705</v>
      </c>
      <c r="O31" s="193">
        <v>174301.82</v>
      </c>
      <c r="P31" s="193">
        <v>0</v>
      </c>
      <c r="Q31" s="193">
        <v>53295</v>
      </c>
      <c r="R31" s="193">
        <v>0</v>
      </c>
      <c r="S31" s="193">
        <v>0</v>
      </c>
      <c r="T31" s="193">
        <v>269301.82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601.625</v>
      </c>
      <c r="F32" s="200">
        <v>10244.786</v>
      </c>
      <c r="G32" s="201">
        <v>255.21399999999994</v>
      </c>
      <c r="H32" s="201">
        <v>398.375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57154.38</v>
      </c>
      <c r="O32" s="193">
        <v>164633.71</v>
      </c>
      <c r="P32" s="193">
        <v>4101.29</v>
      </c>
      <c r="Q32" s="193">
        <v>37845.629999999997</v>
      </c>
      <c r="R32" s="193">
        <v>0</v>
      </c>
      <c r="S32" s="193">
        <v>0</v>
      </c>
      <c r="T32" s="193">
        <v>263735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605.125</v>
      </c>
      <c r="F33" s="200">
        <v>9639.6610000000001</v>
      </c>
      <c r="G33" s="201">
        <v>860.33899999999994</v>
      </c>
      <c r="H33" s="201">
        <v>394.875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57486.879999999997</v>
      </c>
      <c r="O33" s="193">
        <v>154909.35</v>
      </c>
      <c r="P33" s="193">
        <v>13825.65</v>
      </c>
      <c r="Q33" s="193">
        <v>37513.129999999997</v>
      </c>
      <c r="R33" s="193">
        <v>0</v>
      </c>
      <c r="S33" s="193">
        <v>0</v>
      </c>
      <c r="T33" s="193">
        <v>263735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666</v>
      </c>
      <c r="F34" s="200">
        <v>8973.6610000000001</v>
      </c>
      <c r="G34" s="201">
        <v>1526.3389999999999</v>
      </c>
      <c r="H34" s="201">
        <v>334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63270</v>
      </c>
      <c r="O34" s="193">
        <v>144206.73000000001</v>
      </c>
      <c r="P34" s="193">
        <v>24528.27</v>
      </c>
      <c r="Q34" s="193">
        <v>31730</v>
      </c>
      <c r="R34" s="193">
        <v>0</v>
      </c>
      <c r="S34" s="193">
        <v>0</v>
      </c>
      <c r="T34" s="193">
        <v>263735</v>
      </c>
    </row>
    <row r="35" spans="1:20">
      <c r="A35" s="13">
        <v>31</v>
      </c>
      <c r="B35" s="216" t="s">
        <v>229</v>
      </c>
      <c r="C35" s="217"/>
      <c r="D35" s="200">
        <v>67.5</v>
      </c>
      <c r="E35" s="200">
        <v>651.5</v>
      </c>
      <c r="F35" s="200">
        <v>8389.6610000000001</v>
      </c>
      <c r="G35" s="201">
        <v>2110.3389999999999</v>
      </c>
      <c r="H35" s="201">
        <v>281</v>
      </c>
      <c r="I35" s="10">
        <v>0</v>
      </c>
      <c r="J35" s="11">
        <v>0</v>
      </c>
      <c r="K35" s="11">
        <v>0</v>
      </c>
      <c r="L35" s="193">
        <v>0</v>
      </c>
      <c r="M35" s="193">
        <v>6412.5</v>
      </c>
      <c r="N35" s="193">
        <v>61892.5</v>
      </c>
      <c r="O35" s="193">
        <v>134821.85</v>
      </c>
      <c r="P35" s="193">
        <v>33913.15</v>
      </c>
      <c r="Q35" s="193">
        <v>26695</v>
      </c>
      <c r="R35" s="193">
        <v>0</v>
      </c>
      <c r="S35" s="193">
        <v>0</v>
      </c>
      <c r="T35" s="193">
        <v>263735</v>
      </c>
    </row>
    <row r="36" spans="1:20">
      <c r="D36" s="18">
        <v>9768.6090000000004</v>
      </c>
      <c r="E36" s="18">
        <v>7629.125</v>
      </c>
      <c r="F36" s="18">
        <v>330652.06400000019</v>
      </c>
      <c r="G36" s="18">
        <v>34709.137000000002</v>
      </c>
      <c r="H36" s="18">
        <v>13793.266</v>
      </c>
      <c r="I36" s="18">
        <v>15.975</v>
      </c>
      <c r="J36" s="18">
        <v>15.999999999999998</v>
      </c>
      <c r="K36" s="18">
        <v>0.189</v>
      </c>
      <c r="L36" s="194">
        <v>28.35</v>
      </c>
      <c r="M36" s="194">
        <v>928017.86</v>
      </c>
      <c r="N36" s="194">
        <v>724766.88</v>
      </c>
      <c r="O36" s="194">
        <v>5313578.67</v>
      </c>
      <c r="P36" s="194">
        <v>557775.82999999996</v>
      </c>
      <c r="Q36" s="194">
        <v>1310360.27</v>
      </c>
      <c r="R36" s="194">
        <v>15975</v>
      </c>
      <c r="S36" s="194">
        <v>3200</v>
      </c>
      <c r="T36" s="194">
        <v>8853702.8499999996</v>
      </c>
    </row>
    <row r="37" spans="1:20">
      <c r="R37" s="21"/>
      <c r="S37" s="21"/>
      <c r="T37" s="195">
        <v>10801517.48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D36E-9735-4A9A-A04D-CD0ED9C43C58}">
  <sheetPr codeName="Лист31">
    <pageSetUpPr fitToPage="1"/>
  </sheetPr>
  <dimension ref="A1:T37"/>
  <sheetViews>
    <sheetView topLeftCell="A19" workbookViewId="0">
      <selection activeCell="M23" sqref="M23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273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269</v>
      </c>
      <c r="H3" s="209" t="s">
        <v>270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256.7</v>
      </c>
      <c r="G5" s="201">
        <v>0</v>
      </c>
      <c r="H5" s="201">
        <v>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4125.17</v>
      </c>
      <c r="P5" s="193">
        <v>0</v>
      </c>
      <c r="Q5" s="193">
        <v>0</v>
      </c>
      <c r="R5" s="193">
        <v>0</v>
      </c>
      <c r="S5" s="193">
        <v>0</v>
      </c>
      <c r="T5" s="193">
        <v>4125.17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256.7</v>
      </c>
      <c r="G6" s="201">
        <v>0</v>
      </c>
      <c r="H6" s="201">
        <v>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4125.17</v>
      </c>
      <c r="P6" s="193">
        <v>0</v>
      </c>
      <c r="Q6" s="193">
        <v>0</v>
      </c>
      <c r="R6" s="193">
        <v>0</v>
      </c>
      <c r="S6" s="193">
        <v>0</v>
      </c>
      <c r="T6" s="193">
        <v>4125.17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256.7</v>
      </c>
      <c r="G7" s="201">
        <v>0</v>
      </c>
      <c r="H7" s="201">
        <v>0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4125.17</v>
      </c>
      <c r="P7" s="193">
        <v>0</v>
      </c>
      <c r="Q7" s="193">
        <v>0</v>
      </c>
      <c r="R7" s="193">
        <v>0</v>
      </c>
      <c r="S7" s="193">
        <v>0</v>
      </c>
      <c r="T7" s="193">
        <v>4125.17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256.7</v>
      </c>
      <c r="G8" s="201">
        <v>0</v>
      </c>
      <c r="H8" s="201">
        <v>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4125.17</v>
      </c>
      <c r="P8" s="193">
        <v>0</v>
      </c>
      <c r="Q8" s="193">
        <v>0</v>
      </c>
      <c r="R8" s="193">
        <v>0</v>
      </c>
      <c r="S8" s="193">
        <v>0</v>
      </c>
      <c r="T8" s="193">
        <v>4125.17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256.7</v>
      </c>
      <c r="G9" s="201">
        <v>0</v>
      </c>
      <c r="H9" s="201">
        <v>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4125.17</v>
      </c>
      <c r="P9" s="193">
        <v>0</v>
      </c>
      <c r="Q9" s="193">
        <v>0</v>
      </c>
      <c r="R9" s="193">
        <v>0</v>
      </c>
      <c r="S9" s="193">
        <v>0</v>
      </c>
      <c r="T9" s="193">
        <v>4125.17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256.7</v>
      </c>
      <c r="G10" s="201">
        <v>0</v>
      </c>
      <c r="H10" s="201">
        <v>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4125.17</v>
      </c>
      <c r="P10" s="193">
        <v>0</v>
      </c>
      <c r="Q10" s="193">
        <v>0</v>
      </c>
      <c r="R10" s="193">
        <v>0</v>
      </c>
      <c r="S10" s="193">
        <v>0</v>
      </c>
      <c r="T10" s="193">
        <v>4125.17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256.7</v>
      </c>
      <c r="G11" s="201">
        <v>0</v>
      </c>
      <c r="H11" s="201">
        <v>0</v>
      </c>
      <c r="I11" s="10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4125.17</v>
      </c>
      <c r="P11" s="193">
        <v>0</v>
      </c>
      <c r="Q11" s="193">
        <v>0</v>
      </c>
      <c r="R11" s="193">
        <v>0</v>
      </c>
      <c r="S11" s="193">
        <v>0</v>
      </c>
      <c r="T11" s="193">
        <v>4125.17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256.7</v>
      </c>
      <c r="G12" s="201">
        <v>0</v>
      </c>
      <c r="H12" s="201">
        <v>0</v>
      </c>
      <c r="I12" s="10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4125.17</v>
      </c>
      <c r="P12" s="193">
        <v>0</v>
      </c>
      <c r="Q12" s="193">
        <v>0</v>
      </c>
      <c r="R12" s="193">
        <v>0</v>
      </c>
      <c r="S12" s="193">
        <v>0</v>
      </c>
      <c r="T12" s="193">
        <v>4125.17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66</v>
      </c>
      <c r="F13" s="200">
        <v>190.7</v>
      </c>
      <c r="G13" s="201">
        <v>0</v>
      </c>
      <c r="H13" s="201">
        <v>0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6270</v>
      </c>
      <c r="O13" s="193">
        <v>3064.55</v>
      </c>
      <c r="P13" s="193">
        <v>0</v>
      </c>
      <c r="Q13" s="193">
        <v>0</v>
      </c>
      <c r="R13" s="193">
        <v>0</v>
      </c>
      <c r="S13" s="193">
        <v>0</v>
      </c>
      <c r="T13" s="193">
        <v>9334.5499999999993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190.7</v>
      </c>
      <c r="G14" s="201">
        <v>0</v>
      </c>
      <c r="H14" s="201">
        <v>0</v>
      </c>
      <c r="I14" s="10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3064.55</v>
      </c>
      <c r="P14" s="193">
        <v>0</v>
      </c>
      <c r="Q14" s="193">
        <v>0</v>
      </c>
      <c r="R14" s="193">
        <v>0</v>
      </c>
      <c r="S14" s="193">
        <v>0</v>
      </c>
      <c r="T14" s="193">
        <v>3064.55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190.7</v>
      </c>
      <c r="G15" s="201">
        <v>0</v>
      </c>
      <c r="H15" s="201">
        <v>0</v>
      </c>
      <c r="I15" s="10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3064.55</v>
      </c>
      <c r="P15" s="193">
        <v>0</v>
      </c>
      <c r="Q15" s="193">
        <v>0</v>
      </c>
      <c r="R15" s="193">
        <v>0</v>
      </c>
      <c r="S15" s="193">
        <v>0</v>
      </c>
      <c r="T15" s="193">
        <v>3064.55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22</v>
      </c>
      <c r="F16" s="200">
        <v>168.7</v>
      </c>
      <c r="G16" s="201">
        <v>0</v>
      </c>
      <c r="H16" s="201">
        <v>0</v>
      </c>
      <c r="I16" s="10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2090</v>
      </c>
      <c r="O16" s="193">
        <v>2711.01</v>
      </c>
      <c r="P16" s="193">
        <v>0</v>
      </c>
      <c r="Q16" s="193">
        <v>0</v>
      </c>
      <c r="R16" s="193">
        <v>0</v>
      </c>
      <c r="S16" s="193">
        <v>0</v>
      </c>
      <c r="T16" s="193">
        <v>4801.01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168.7</v>
      </c>
      <c r="G17" s="201">
        <v>0</v>
      </c>
      <c r="H17" s="201">
        <v>0</v>
      </c>
      <c r="I17" s="10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2711.01</v>
      </c>
      <c r="P17" s="193">
        <v>0</v>
      </c>
      <c r="Q17" s="193">
        <v>0</v>
      </c>
      <c r="R17" s="193">
        <v>0</v>
      </c>
      <c r="S17" s="193">
        <v>0</v>
      </c>
      <c r="T17" s="193">
        <v>2711.01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168.7</v>
      </c>
      <c r="G18" s="201">
        <v>0</v>
      </c>
      <c r="H18" s="201">
        <v>0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2711.01</v>
      </c>
      <c r="P18" s="193">
        <v>0</v>
      </c>
      <c r="Q18" s="193">
        <v>0</v>
      </c>
      <c r="R18" s="193">
        <v>0</v>
      </c>
      <c r="S18" s="193">
        <v>0</v>
      </c>
      <c r="T18" s="193">
        <v>2711.01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168.7</v>
      </c>
      <c r="G19" s="201">
        <v>0</v>
      </c>
      <c r="H19" s="201">
        <v>0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2711.01</v>
      </c>
      <c r="P19" s="193">
        <v>0</v>
      </c>
      <c r="Q19" s="193">
        <v>0</v>
      </c>
      <c r="R19" s="193">
        <v>0</v>
      </c>
      <c r="S19" s="193">
        <v>0</v>
      </c>
      <c r="T19" s="193">
        <v>2711.01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168.7</v>
      </c>
      <c r="G20" s="201">
        <v>0</v>
      </c>
      <c r="H20" s="201">
        <v>0</v>
      </c>
      <c r="I20" s="10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2711.01</v>
      </c>
      <c r="P20" s="193">
        <v>0</v>
      </c>
      <c r="Q20" s="193">
        <v>0</v>
      </c>
      <c r="R20" s="193">
        <v>0</v>
      </c>
      <c r="S20" s="193">
        <v>0</v>
      </c>
      <c r="T20" s="193">
        <v>2711.01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168.7</v>
      </c>
      <c r="G21" s="201">
        <v>0</v>
      </c>
      <c r="H21" s="201">
        <v>0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2711.01</v>
      </c>
      <c r="P21" s="193">
        <v>0</v>
      </c>
      <c r="Q21" s="193">
        <v>0</v>
      </c>
      <c r="R21" s="193">
        <v>0</v>
      </c>
      <c r="S21" s="193">
        <v>0</v>
      </c>
      <c r="T21" s="193">
        <v>2711.01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168.7</v>
      </c>
      <c r="G22" s="201">
        <v>0</v>
      </c>
      <c r="H22" s="201">
        <v>0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2711.01</v>
      </c>
      <c r="P22" s="193">
        <v>0</v>
      </c>
      <c r="Q22" s="193">
        <v>0</v>
      </c>
      <c r="R22" s="193">
        <v>0</v>
      </c>
      <c r="S22" s="193">
        <v>0</v>
      </c>
      <c r="T22" s="193">
        <v>2711.01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22</v>
      </c>
      <c r="F23" s="200">
        <v>146.69999999999999</v>
      </c>
      <c r="G23" s="201">
        <v>0</v>
      </c>
      <c r="H23" s="201">
        <v>0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2090</v>
      </c>
      <c r="O23" s="193">
        <v>2357.4699999999998</v>
      </c>
      <c r="P23" s="193">
        <v>0</v>
      </c>
      <c r="Q23" s="193">
        <v>0</v>
      </c>
      <c r="R23" s="193">
        <v>0</v>
      </c>
      <c r="S23" s="193">
        <v>0</v>
      </c>
      <c r="T23" s="193">
        <v>4447.47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22</v>
      </c>
      <c r="F24" s="200">
        <v>124.7</v>
      </c>
      <c r="G24" s="201">
        <v>0</v>
      </c>
      <c r="H24" s="201">
        <v>0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2090</v>
      </c>
      <c r="O24" s="193">
        <v>2003.93</v>
      </c>
      <c r="P24" s="193">
        <v>0</v>
      </c>
      <c r="Q24" s="193">
        <v>0</v>
      </c>
      <c r="R24" s="193">
        <v>0</v>
      </c>
      <c r="S24" s="193">
        <v>0</v>
      </c>
      <c r="T24" s="193">
        <v>4093.93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22</v>
      </c>
      <c r="F25" s="200">
        <v>102.7</v>
      </c>
      <c r="G25" s="201">
        <v>0</v>
      </c>
      <c r="H25" s="201">
        <v>0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2090</v>
      </c>
      <c r="O25" s="193">
        <v>1650.39</v>
      </c>
      <c r="P25" s="193">
        <v>0</v>
      </c>
      <c r="Q25" s="193">
        <v>0</v>
      </c>
      <c r="R25" s="193">
        <v>0</v>
      </c>
      <c r="S25" s="193">
        <v>0</v>
      </c>
      <c r="T25" s="193">
        <v>3740.39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2.75</v>
      </c>
      <c r="F26" s="200">
        <v>99.95</v>
      </c>
      <c r="G26" s="201">
        <v>0</v>
      </c>
      <c r="H26" s="201">
        <v>0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261.25</v>
      </c>
      <c r="O26" s="193">
        <v>1606.2</v>
      </c>
      <c r="P26" s="193">
        <v>0</v>
      </c>
      <c r="Q26" s="193">
        <v>0</v>
      </c>
      <c r="R26" s="193">
        <v>0</v>
      </c>
      <c r="S26" s="193">
        <v>0</v>
      </c>
      <c r="T26" s="193">
        <v>1867.45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22</v>
      </c>
      <c r="F27" s="200">
        <v>77.95</v>
      </c>
      <c r="G27" s="201">
        <v>0</v>
      </c>
      <c r="H27" s="201">
        <v>0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2090</v>
      </c>
      <c r="O27" s="193">
        <v>1252.6600000000001</v>
      </c>
      <c r="P27" s="193">
        <v>0</v>
      </c>
      <c r="Q27" s="193">
        <v>0</v>
      </c>
      <c r="R27" s="193">
        <v>0</v>
      </c>
      <c r="S27" s="193">
        <v>0</v>
      </c>
      <c r="T27" s="193">
        <v>3342.66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22</v>
      </c>
      <c r="F28" s="200">
        <v>55.95</v>
      </c>
      <c r="G28" s="201">
        <v>0</v>
      </c>
      <c r="H28" s="201">
        <v>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2090</v>
      </c>
      <c r="O28" s="193">
        <v>899.12</v>
      </c>
      <c r="P28" s="193">
        <v>0</v>
      </c>
      <c r="Q28" s="193">
        <v>0</v>
      </c>
      <c r="R28" s="193">
        <v>0</v>
      </c>
      <c r="S28" s="193">
        <v>0</v>
      </c>
      <c r="T28" s="193">
        <v>2989.12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55.95</v>
      </c>
      <c r="G29" s="201">
        <v>0</v>
      </c>
      <c r="H29" s="201">
        <v>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899.12</v>
      </c>
      <c r="P29" s="193">
        <v>0</v>
      </c>
      <c r="Q29" s="193">
        <v>0</v>
      </c>
      <c r="R29" s="193">
        <v>0</v>
      </c>
      <c r="S29" s="193">
        <v>0</v>
      </c>
      <c r="T29" s="193">
        <v>899.12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55.95</v>
      </c>
      <c r="G30" s="201">
        <v>0</v>
      </c>
      <c r="H30" s="201">
        <v>0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899.12</v>
      </c>
      <c r="P30" s="193">
        <v>0</v>
      </c>
      <c r="Q30" s="193">
        <v>0</v>
      </c>
      <c r="R30" s="193">
        <v>0</v>
      </c>
      <c r="S30" s="193">
        <v>0</v>
      </c>
      <c r="T30" s="193">
        <v>899.12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55.95</v>
      </c>
      <c r="G31" s="201">
        <v>0</v>
      </c>
      <c r="H31" s="201">
        <v>0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899.12</v>
      </c>
      <c r="P31" s="193">
        <v>0</v>
      </c>
      <c r="Q31" s="193">
        <v>0</v>
      </c>
      <c r="R31" s="193">
        <v>0</v>
      </c>
      <c r="S31" s="193">
        <v>0</v>
      </c>
      <c r="T31" s="193">
        <v>899.12</v>
      </c>
    </row>
    <row r="32" spans="1:20">
      <c r="A32" s="13">
        <v>28</v>
      </c>
      <c r="B32" s="216" t="s">
        <v>226</v>
      </c>
      <c r="C32" s="217"/>
      <c r="D32" s="200">
        <v>22</v>
      </c>
      <c r="E32" s="200">
        <v>0</v>
      </c>
      <c r="F32" s="200">
        <v>77.95</v>
      </c>
      <c r="G32" s="201">
        <v>0</v>
      </c>
      <c r="H32" s="201">
        <v>0</v>
      </c>
      <c r="I32" s="10">
        <v>0</v>
      </c>
      <c r="J32" s="11">
        <v>0</v>
      </c>
      <c r="K32" s="11">
        <v>0</v>
      </c>
      <c r="L32" s="193">
        <v>0</v>
      </c>
      <c r="M32" s="193">
        <v>2090</v>
      </c>
      <c r="N32" s="193">
        <v>0</v>
      </c>
      <c r="O32" s="193">
        <v>1252.6600000000001</v>
      </c>
      <c r="P32" s="193">
        <v>0</v>
      </c>
      <c r="Q32" s="193">
        <v>0</v>
      </c>
      <c r="R32" s="193">
        <v>0</v>
      </c>
      <c r="S32" s="193">
        <v>0</v>
      </c>
      <c r="T32" s="193">
        <v>3342.66</v>
      </c>
    </row>
    <row r="33" spans="1:20">
      <c r="A33" s="13">
        <v>29</v>
      </c>
      <c r="B33" s="216" t="s">
        <v>227</v>
      </c>
      <c r="C33" s="217"/>
      <c r="D33" s="200">
        <v>66</v>
      </c>
      <c r="E33" s="200">
        <v>0</v>
      </c>
      <c r="F33" s="200">
        <v>143.94999999999999</v>
      </c>
      <c r="G33" s="201">
        <v>0</v>
      </c>
      <c r="H33" s="201">
        <v>0</v>
      </c>
      <c r="I33" s="10">
        <v>0</v>
      </c>
      <c r="J33" s="11">
        <v>0</v>
      </c>
      <c r="K33" s="11">
        <v>0</v>
      </c>
      <c r="L33" s="193">
        <v>0</v>
      </c>
      <c r="M33" s="193">
        <v>6270</v>
      </c>
      <c r="N33" s="193">
        <v>0</v>
      </c>
      <c r="O33" s="193">
        <v>2313.2800000000002</v>
      </c>
      <c r="P33" s="193">
        <v>0</v>
      </c>
      <c r="Q33" s="193">
        <v>0</v>
      </c>
      <c r="R33" s="193">
        <v>0</v>
      </c>
      <c r="S33" s="193">
        <v>0</v>
      </c>
      <c r="T33" s="193">
        <v>8583.2800000000007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143.94999999999999</v>
      </c>
      <c r="G34" s="201">
        <v>0</v>
      </c>
      <c r="H34" s="201">
        <v>0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2313.2800000000002</v>
      </c>
      <c r="P34" s="193">
        <v>0</v>
      </c>
      <c r="Q34" s="193">
        <v>0</v>
      </c>
      <c r="R34" s="193">
        <v>0</v>
      </c>
      <c r="S34" s="193">
        <v>0</v>
      </c>
      <c r="T34" s="193">
        <v>2313.2800000000002</v>
      </c>
    </row>
    <row r="35" spans="1:20">
      <c r="A35" s="13">
        <v>31</v>
      </c>
      <c r="B35" s="216" t="s">
        <v>229</v>
      </c>
      <c r="C35" s="217"/>
      <c r="D35" s="200">
        <v>44</v>
      </c>
      <c r="E35" s="200">
        <v>20.625</v>
      </c>
      <c r="F35" s="200">
        <v>167.32499999999999</v>
      </c>
      <c r="G35" s="201">
        <v>0</v>
      </c>
      <c r="H35" s="201">
        <v>0</v>
      </c>
      <c r="I35" s="10">
        <v>0</v>
      </c>
      <c r="J35" s="11">
        <v>0</v>
      </c>
      <c r="K35" s="11">
        <v>0</v>
      </c>
      <c r="L35" s="193">
        <v>0</v>
      </c>
      <c r="M35" s="193">
        <v>4180</v>
      </c>
      <c r="N35" s="193">
        <v>1959.38</v>
      </c>
      <c r="O35" s="193">
        <v>2688.91</v>
      </c>
      <c r="P35" s="193">
        <v>0</v>
      </c>
      <c r="Q35" s="193">
        <v>0</v>
      </c>
      <c r="R35" s="193">
        <v>0</v>
      </c>
      <c r="S35" s="193">
        <v>0</v>
      </c>
      <c r="T35" s="193">
        <v>8828.2900000000009</v>
      </c>
    </row>
    <row r="36" spans="1:20">
      <c r="D36" s="18">
        <v>132</v>
      </c>
      <c r="E36" s="18">
        <v>221.375</v>
      </c>
      <c r="F36" s="18">
        <v>5115.5749999999962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4">
        <v>0</v>
      </c>
      <c r="M36" s="194">
        <v>12540</v>
      </c>
      <c r="N36" s="194">
        <v>21030.63</v>
      </c>
      <c r="O36" s="194">
        <v>82207.289999999994</v>
      </c>
      <c r="P36" s="194">
        <v>0</v>
      </c>
      <c r="Q36" s="194">
        <v>0</v>
      </c>
      <c r="R36" s="194">
        <v>0</v>
      </c>
      <c r="S36" s="194">
        <v>0</v>
      </c>
      <c r="T36" s="194">
        <v>115777.92</v>
      </c>
    </row>
    <row r="37" spans="1:20">
      <c r="R37" s="21"/>
      <c r="S37" s="21"/>
      <c r="T37" s="195">
        <v>141249.06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5ECD-3664-469D-BE16-1AAEFAC44295}">
  <sheetPr codeName="Лист32">
    <pageSetUpPr fitToPage="1"/>
  </sheetPr>
  <dimension ref="A1:T37"/>
  <sheetViews>
    <sheetView topLeftCell="A10" workbookViewId="0">
      <selection activeCell="T38" sqref="T38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10.79687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274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269</v>
      </c>
      <c r="H3" s="209" t="s">
        <v>270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177.39400000000001</v>
      </c>
      <c r="G5" s="201"/>
      <c r="H5" s="201"/>
      <c r="I5" s="10"/>
      <c r="J5" s="11"/>
      <c r="K5" s="11"/>
      <c r="L5" s="193">
        <v>0</v>
      </c>
      <c r="M5" s="193">
        <v>0</v>
      </c>
      <c r="N5" s="193">
        <v>0</v>
      </c>
      <c r="O5" s="193">
        <v>2850.72</v>
      </c>
      <c r="P5" s="193">
        <v>0</v>
      </c>
      <c r="Q5" s="193">
        <v>0</v>
      </c>
      <c r="R5" s="193">
        <v>0</v>
      </c>
      <c r="S5" s="193">
        <v>0</v>
      </c>
      <c r="T5" s="193">
        <v>2850.72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177.39400000000001</v>
      </c>
      <c r="G6" s="201"/>
      <c r="H6" s="201"/>
      <c r="I6" s="10"/>
      <c r="J6" s="11"/>
      <c r="K6" s="11"/>
      <c r="L6" s="193">
        <v>0</v>
      </c>
      <c r="M6" s="193">
        <v>0</v>
      </c>
      <c r="N6" s="193">
        <v>0</v>
      </c>
      <c r="O6" s="193">
        <v>2850.72</v>
      </c>
      <c r="P6" s="193">
        <v>0</v>
      </c>
      <c r="Q6" s="193">
        <v>0</v>
      </c>
      <c r="R6" s="193">
        <v>0</v>
      </c>
      <c r="S6" s="193">
        <v>0</v>
      </c>
      <c r="T6" s="193">
        <v>2850.72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177.39400000000001</v>
      </c>
      <c r="G7" s="201"/>
      <c r="H7" s="201"/>
      <c r="I7" s="10"/>
      <c r="J7" s="11"/>
      <c r="K7" s="11"/>
      <c r="L7" s="193">
        <v>0</v>
      </c>
      <c r="M7" s="193">
        <v>0</v>
      </c>
      <c r="N7" s="193">
        <v>0</v>
      </c>
      <c r="O7" s="193">
        <v>2850.72</v>
      </c>
      <c r="P7" s="193">
        <v>0</v>
      </c>
      <c r="Q7" s="193">
        <v>0</v>
      </c>
      <c r="R7" s="193">
        <v>0</v>
      </c>
      <c r="S7" s="193">
        <v>0</v>
      </c>
      <c r="T7" s="193">
        <v>2850.72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177.39400000000001</v>
      </c>
      <c r="G8" s="201"/>
      <c r="H8" s="201"/>
      <c r="I8" s="10"/>
      <c r="J8" s="11"/>
      <c r="K8" s="11"/>
      <c r="L8" s="193">
        <v>0</v>
      </c>
      <c r="M8" s="193">
        <v>0</v>
      </c>
      <c r="N8" s="193">
        <v>0</v>
      </c>
      <c r="O8" s="193">
        <v>2850.72</v>
      </c>
      <c r="P8" s="193">
        <v>0</v>
      </c>
      <c r="Q8" s="193">
        <v>0</v>
      </c>
      <c r="R8" s="193">
        <v>0</v>
      </c>
      <c r="S8" s="193">
        <v>0</v>
      </c>
      <c r="T8" s="193">
        <v>2850.72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177.39400000000001</v>
      </c>
      <c r="G9" s="201"/>
      <c r="H9" s="201"/>
      <c r="I9" s="10"/>
      <c r="J9" s="11"/>
      <c r="K9" s="11"/>
      <c r="L9" s="193">
        <v>0</v>
      </c>
      <c r="M9" s="193">
        <v>0</v>
      </c>
      <c r="N9" s="193">
        <v>0</v>
      </c>
      <c r="O9" s="193">
        <v>2850.72</v>
      </c>
      <c r="P9" s="193">
        <v>0</v>
      </c>
      <c r="Q9" s="193">
        <v>0</v>
      </c>
      <c r="R9" s="193">
        <v>0</v>
      </c>
      <c r="S9" s="193">
        <v>0</v>
      </c>
      <c r="T9" s="193">
        <v>2850.72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177.39400000000001</v>
      </c>
      <c r="G10" s="201"/>
      <c r="H10" s="201"/>
      <c r="I10" s="10"/>
      <c r="J10" s="11"/>
      <c r="K10" s="11"/>
      <c r="L10" s="193">
        <v>0</v>
      </c>
      <c r="M10" s="193">
        <v>0</v>
      </c>
      <c r="N10" s="193">
        <v>0</v>
      </c>
      <c r="O10" s="193">
        <v>2850.72</v>
      </c>
      <c r="P10" s="193">
        <v>0</v>
      </c>
      <c r="Q10" s="193">
        <v>0</v>
      </c>
      <c r="R10" s="193">
        <v>0</v>
      </c>
      <c r="S10" s="193">
        <v>0</v>
      </c>
      <c r="T10" s="193">
        <v>2850.72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177.39400000000001</v>
      </c>
      <c r="G11" s="201"/>
      <c r="H11" s="201"/>
      <c r="I11" s="10"/>
      <c r="J11" s="11"/>
      <c r="K11" s="11"/>
      <c r="L11" s="193">
        <v>0</v>
      </c>
      <c r="M11" s="193">
        <v>0</v>
      </c>
      <c r="N11" s="193">
        <v>0</v>
      </c>
      <c r="O11" s="193">
        <v>2850.72</v>
      </c>
      <c r="P11" s="193">
        <v>0</v>
      </c>
      <c r="Q11" s="193">
        <v>0</v>
      </c>
      <c r="R11" s="193">
        <v>0</v>
      </c>
      <c r="S11" s="193">
        <v>0</v>
      </c>
      <c r="T11" s="193">
        <v>2850.72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177.39400000000001</v>
      </c>
      <c r="G12" s="201"/>
      <c r="H12" s="201"/>
      <c r="I12" s="10"/>
      <c r="J12" s="11"/>
      <c r="K12" s="11"/>
      <c r="L12" s="193">
        <v>0</v>
      </c>
      <c r="M12" s="193">
        <v>0</v>
      </c>
      <c r="N12" s="193">
        <v>0</v>
      </c>
      <c r="O12" s="193">
        <v>2850.72</v>
      </c>
      <c r="P12" s="193">
        <v>0</v>
      </c>
      <c r="Q12" s="193">
        <v>0</v>
      </c>
      <c r="R12" s="193">
        <v>0</v>
      </c>
      <c r="S12" s="193">
        <v>0</v>
      </c>
      <c r="T12" s="193">
        <v>2850.72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177.39400000000001</v>
      </c>
      <c r="G13" s="201"/>
      <c r="H13" s="201"/>
      <c r="I13" s="10"/>
      <c r="J13" s="11"/>
      <c r="K13" s="11"/>
      <c r="L13" s="193">
        <v>0</v>
      </c>
      <c r="M13" s="193">
        <v>0</v>
      </c>
      <c r="N13" s="193">
        <v>0</v>
      </c>
      <c r="O13" s="193">
        <v>2850.72</v>
      </c>
      <c r="P13" s="193">
        <v>0</v>
      </c>
      <c r="Q13" s="193">
        <v>0</v>
      </c>
      <c r="R13" s="193">
        <v>0</v>
      </c>
      <c r="S13" s="193">
        <v>0</v>
      </c>
      <c r="T13" s="193">
        <v>2850.72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177.39400000000001</v>
      </c>
      <c r="G14" s="201"/>
      <c r="H14" s="201"/>
      <c r="I14" s="10"/>
      <c r="J14" s="11"/>
      <c r="K14" s="11"/>
      <c r="L14" s="193">
        <v>0</v>
      </c>
      <c r="M14" s="193">
        <v>0</v>
      </c>
      <c r="N14" s="193">
        <v>0</v>
      </c>
      <c r="O14" s="193">
        <v>2850.72</v>
      </c>
      <c r="P14" s="193">
        <v>0</v>
      </c>
      <c r="Q14" s="193">
        <v>0</v>
      </c>
      <c r="R14" s="193">
        <v>0</v>
      </c>
      <c r="S14" s="193">
        <v>0</v>
      </c>
      <c r="T14" s="193">
        <v>2850.72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177.39400000000001</v>
      </c>
      <c r="G15" s="201"/>
      <c r="H15" s="201"/>
      <c r="I15" s="10"/>
      <c r="J15" s="11"/>
      <c r="K15" s="11"/>
      <c r="L15" s="193">
        <v>0</v>
      </c>
      <c r="M15" s="193">
        <v>0</v>
      </c>
      <c r="N15" s="193">
        <v>0</v>
      </c>
      <c r="O15" s="193">
        <v>2850.72</v>
      </c>
      <c r="P15" s="193">
        <v>0</v>
      </c>
      <c r="Q15" s="193">
        <v>0</v>
      </c>
      <c r="R15" s="193">
        <v>0</v>
      </c>
      <c r="S15" s="193">
        <v>0</v>
      </c>
      <c r="T15" s="193">
        <v>2850.72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177.39400000000001</v>
      </c>
      <c r="G16" s="201"/>
      <c r="H16" s="201"/>
      <c r="I16" s="10"/>
      <c r="J16" s="11"/>
      <c r="K16" s="11"/>
      <c r="L16" s="193">
        <v>0</v>
      </c>
      <c r="M16" s="193">
        <v>0</v>
      </c>
      <c r="N16" s="193">
        <v>0</v>
      </c>
      <c r="O16" s="193">
        <v>2850.72</v>
      </c>
      <c r="P16" s="193">
        <v>0</v>
      </c>
      <c r="Q16" s="193">
        <v>0</v>
      </c>
      <c r="R16" s="193">
        <v>0</v>
      </c>
      <c r="S16" s="193">
        <v>0</v>
      </c>
      <c r="T16" s="193">
        <v>2850.72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177.39400000000001</v>
      </c>
      <c r="G17" s="201"/>
      <c r="H17" s="201"/>
      <c r="I17" s="10"/>
      <c r="J17" s="11"/>
      <c r="K17" s="11"/>
      <c r="L17" s="193">
        <v>0</v>
      </c>
      <c r="M17" s="193">
        <v>0</v>
      </c>
      <c r="N17" s="193">
        <v>0</v>
      </c>
      <c r="O17" s="193">
        <v>2850.72</v>
      </c>
      <c r="P17" s="193">
        <v>0</v>
      </c>
      <c r="Q17" s="193">
        <v>0</v>
      </c>
      <c r="R17" s="193">
        <v>0</v>
      </c>
      <c r="S17" s="193">
        <v>0</v>
      </c>
      <c r="T17" s="193">
        <v>2850.72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177.39400000000001</v>
      </c>
      <c r="G18" s="201"/>
      <c r="H18" s="201"/>
      <c r="I18" s="10"/>
      <c r="J18" s="11"/>
      <c r="K18" s="11"/>
      <c r="L18" s="193">
        <v>0</v>
      </c>
      <c r="M18" s="193">
        <v>0</v>
      </c>
      <c r="N18" s="193">
        <v>0</v>
      </c>
      <c r="O18" s="193">
        <v>2850.72</v>
      </c>
      <c r="P18" s="193">
        <v>0</v>
      </c>
      <c r="Q18" s="193">
        <v>0</v>
      </c>
      <c r="R18" s="193">
        <v>0</v>
      </c>
      <c r="S18" s="193">
        <v>0</v>
      </c>
      <c r="T18" s="193">
        <v>2850.72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177.39400000000001</v>
      </c>
      <c r="G19" s="201"/>
      <c r="H19" s="201"/>
      <c r="I19" s="10"/>
      <c r="J19" s="11"/>
      <c r="K19" s="11"/>
      <c r="L19" s="193">
        <v>0</v>
      </c>
      <c r="M19" s="193">
        <v>0</v>
      </c>
      <c r="N19" s="193">
        <v>0</v>
      </c>
      <c r="O19" s="193">
        <v>2850.72</v>
      </c>
      <c r="P19" s="193">
        <v>0</v>
      </c>
      <c r="Q19" s="193">
        <v>0</v>
      </c>
      <c r="R19" s="193">
        <v>0</v>
      </c>
      <c r="S19" s="193">
        <v>0</v>
      </c>
      <c r="T19" s="193">
        <v>2850.72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177.39400000000001</v>
      </c>
      <c r="G20" s="201"/>
      <c r="H20" s="201"/>
      <c r="I20" s="10"/>
      <c r="J20" s="11"/>
      <c r="K20" s="11"/>
      <c r="L20" s="193">
        <v>0</v>
      </c>
      <c r="M20" s="193">
        <v>0</v>
      </c>
      <c r="N20" s="193">
        <v>0</v>
      </c>
      <c r="O20" s="193">
        <v>2850.72</v>
      </c>
      <c r="P20" s="193">
        <v>0</v>
      </c>
      <c r="Q20" s="193">
        <v>0</v>
      </c>
      <c r="R20" s="193">
        <v>0</v>
      </c>
      <c r="S20" s="193">
        <v>0</v>
      </c>
      <c r="T20" s="193">
        <v>2850.72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177.39400000000001</v>
      </c>
      <c r="G21" s="201"/>
      <c r="H21" s="201"/>
      <c r="I21" s="10"/>
      <c r="J21" s="11"/>
      <c r="K21" s="11"/>
      <c r="L21" s="193">
        <v>0</v>
      </c>
      <c r="M21" s="193">
        <v>0</v>
      </c>
      <c r="N21" s="193">
        <v>0</v>
      </c>
      <c r="O21" s="193">
        <v>2850.72</v>
      </c>
      <c r="P21" s="193">
        <v>0</v>
      </c>
      <c r="Q21" s="193">
        <v>0</v>
      </c>
      <c r="R21" s="193">
        <v>0</v>
      </c>
      <c r="S21" s="193">
        <v>0</v>
      </c>
      <c r="T21" s="193">
        <v>2850.72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177.39400000000001</v>
      </c>
      <c r="G22" s="201"/>
      <c r="H22" s="201"/>
      <c r="I22" s="10"/>
      <c r="J22" s="11"/>
      <c r="K22" s="11"/>
      <c r="L22" s="193">
        <v>0</v>
      </c>
      <c r="M22" s="193">
        <v>0</v>
      </c>
      <c r="N22" s="193">
        <v>0</v>
      </c>
      <c r="O22" s="193">
        <v>2850.72</v>
      </c>
      <c r="P22" s="193">
        <v>0</v>
      </c>
      <c r="Q22" s="193">
        <v>0</v>
      </c>
      <c r="R22" s="193">
        <v>0</v>
      </c>
      <c r="S22" s="193">
        <v>0</v>
      </c>
      <c r="T22" s="193">
        <v>2850.72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177.39400000000001</v>
      </c>
      <c r="G23" s="201"/>
      <c r="H23" s="201"/>
      <c r="I23" s="10"/>
      <c r="J23" s="11"/>
      <c r="K23" s="11"/>
      <c r="L23" s="193">
        <v>0</v>
      </c>
      <c r="M23" s="193">
        <v>0</v>
      </c>
      <c r="N23" s="193">
        <v>0</v>
      </c>
      <c r="O23" s="193">
        <v>2850.72</v>
      </c>
      <c r="P23" s="193">
        <v>0</v>
      </c>
      <c r="Q23" s="193">
        <v>0</v>
      </c>
      <c r="R23" s="193">
        <v>0</v>
      </c>
      <c r="S23" s="193">
        <v>0</v>
      </c>
      <c r="T23" s="193">
        <v>2850.72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</v>
      </c>
      <c r="F24" s="200">
        <v>177.39400000000001</v>
      </c>
      <c r="G24" s="201"/>
      <c r="H24" s="201"/>
      <c r="I24" s="10"/>
      <c r="J24" s="11"/>
      <c r="K24" s="11"/>
      <c r="L24" s="193">
        <v>0</v>
      </c>
      <c r="M24" s="193">
        <v>0</v>
      </c>
      <c r="N24" s="193">
        <v>0</v>
      </c>
      <c r="O24" s="193">
        <v>2850.72</v>
      </c>
      <c r="P24" s="193">
        <v>0</v>
      </c>
      <c r="Q24" s="193">
        <v>0</v>
      </c>
      <c r="R24" s="193">
        <v>0</v>
      </c>
      <c r="S24" s="193">
        <v>0</v>
      </c>
      <c r="T24" s="193">
        <v>2850.72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177.39400000000001</v>
      </c>
      <c r="G25" s="201"/>
      <c r="H25" s="201"/>
      <c r="I25" s="10"/>
      <c r="J25" s="11"/>
      <c r="K25" s="11"/>
      <c r="L25" s="193">
        <v>0</v>
      </c>
      <c r="M25" s="193">
        <v>0</v>
      </c>
      <c r="N25" s="193">
        <v>0</v>
      </c>
      <c r="O25" s="193">
        <v>2850.72</v>
      </c>
      <c r="P25" s="193">
        <v>0</v>
      </c>
      <c r="Q25" s="193">
        <v>0</v>
      </c>
      <c r="R25" s="193">
        <v>0</v>
      </c>
      <c r="S25" s="193">
        <v>0</v>
      </c>
      <c r="T25" s="193">
        <v>2850.72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0</v>
      </c>
      <c r="F26" s="200">
        <v>177.39400000000001</v>
      </c>
      <c r="G26" s="201"/>
      <c r="H26" s="201"/>
      <c r="I26" s="10"/>
      <c r="J26" s="11"/>
      <c r="K26" s="11"/>
      <c r="L26" s="193">
        <v>0</v>
      </c>
      <c r="M26" s="193">
        <v>0</v>
      </c>
      <c r="N26" s="193">
        <v>0</v>
      </c>
      <c r="O26" s="193">
        <v>2850.72</v>
      </c>
      <c r="P26" s="193">
        <v>0</v>
      </c>
      <c r="Q26" s="193">
        <v>0</v>
      </c>
      <c r="R26" s="193">
        <v>0</v>
      </c>
      <c r="S26" s="193">
        <v>0</v>
      </c>
      <c r="T26" s="193">
        <v>2850.72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177.39400000000001</v>
      </c>
      <c r="G27" s="201"/>
      <c r="H27" s="201"/>
      <c r="I27" s="10"/>
      <c r="J27" s="11"/>
      <c r="K27" s="11"/>
      <c r="L27" s="193">
        <v>0</v>
      </c>
      <c r="M27" s="193">
        <v>0</v>
      </c>
      <c r="N27" s="193">
        <v>0</v>
      </c>
      <c r="O27" s="193">
        <v>2850.72</v>
      </c>
      <c r="P27" s="193">
        <v>0</v>
      </c>
      <c r="Q27" s="193">
        <v>0</v>
      </c>
      <c r="R27" s="193">
        <v>0</v>
      </c>
      <c r="S27" s="193">
        <v>0</v>
      </c>
      <c r="T27" s="193">
        <v>2850.72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177.39400000000001</v>
      </c>
      <c r="G28" s="201"/>
      <c r="H28" s="201"/>
      <c r="I28" s="10"/>
      <c r="J28" s="11"/>
      <c r="K28" s="11"/>
      <c r="L28" s="193">
        <v>0</v>
      </c>
      <c r="M28" s="193">
        <v>0</v>
      </c>
      <c r="N28" s="193">
        <v>0</v>
      </c>
      <c r="O28" s="193">
        <v>2850.72</v>
      </c>
      <c r="P28" s="193">
        <v>0</v>
      </c>
      <c r="Q28" s="193">
        <v>0</v>
      </c>
      <c r="R28" s="193">
        <v>0</v>
      </c>
      <c r="S28" s="193">
        <v>0</v>
      </c>
      <c r="T28" s="193">
        <v>2850.72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177.39400000000001</v>
      </c>
      <c r="G29" s="201"/>
      <c r="H29" s="201"/>
      <c r="I29" s="10"/>
      <c r="J29" s="11"/>
      <c r="K29" s="11"/>
      <c r="L29" s="193">
        <v>0</v>
      </c>
      <c r="M29" s="193">
        <v>0</v>
      </c>
      <c r="N29" s="193">
        <v>0</v>
      </c>
      <c r="O29" s="193">
        <v>2850.72</v>
      </c>
      <c r="P29" s="193">
        <v>0</v>
      </c>
      <c r="Q29" s="193">
        <v>0</v>
      </c>
      <c r="R29" s="193">
        <v>0</v>
      </c>
      <c r="S29" s="193">
        <v>0</v>
      </c>
      <c r="T29" s="193">
        <v>2850.72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177.39400000000001</v>
      </c>
      <c r="G30" s="201"/>
      <c r="H30" s="201"/>
      <c r="I30" s="10"/>
      <c r="J30" s="11"/>
      <c r="K30" s="11"/>
      <c r="L30" s="193">
        <v>0</v>
      </c>
      <c r="M30" s="193">
        <v>0</v>
      </c>
      <c r="N30" s="193">
        <v>0</v>
      </c>
      <c r="O30" s="193">
        <v>2850.72</v>
      </c>
      <c r="P30" s="193">
        <v>0</v>
      </c>
      <c r="Q30" s="193">
        <v>0</v>
      </c>
      <c r="R30" s="193">
        <v>0</v>
      </c>
      <c r="S30" s="193">
        <v>0</v>
      </c>
      <c r="T30" s="193">
        <v>2850.72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177.39400000000001</v>
      </c>
      <c r="G31" s="201"/>
      <c r="H31" s="201"/>
      <c r="I31" s="10"/>
      <c r="J31" s="11"/>
      <c r="K31" s="11"/>
      <c r="L31" s="193">
        <v>0</v>
      </c>
      <c r="M31" s="193">
        <v>0</v>
      </c>
      <c r="N31" s="193">
        <v>0</v>
      </c>
      <c r="O31" s="193">
        <v>2850.72</v>
      </c>
      <c r="P31" s="193">
        <v>0</v>
      </c>
      <c r="Q31" s="193">
        <v>0</v>
      </c>
      <c r="R31" s="193">
        <v>0</v>
      </c>
      <c r="S31" s="193">
        <v>0</v>
      </c>
      <c r="T31" s="193">
        <v>2850.72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177.39400000000001</v>
      </c>
      <c r="G32" s="201"/>
      <c r="H32" s="201"/>
      <c r="I32" s="10"/>
      <c r="J32" s="11"/>
      <c r="K32" s="11"/>
      <c r="L32" s="193">
        <v>0</v>
      </c>
      <c r="M32" s="193">
        <v>0</v>
      </c>
      <c r="N32" s="193">
        <v>0</v>
      </c>
      <c r="O32" s="193">
        <v>2850.72</v>
      </c>
      <c r="P32" s="193">
        <v>0</v>
      </c>
      <c r="Q32" s="193">
        <v>0</v>
      </c>
      <c r="R32" s="193">
        <v>0</v>
      </c>
      <c r="S32" s="193">
        <v>0</v>
      </c>
      <c r="T32" s="193">
        <v>2850.72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177.39400000000001</v>
      </c>
      <c r="G33" s="201"/>
      <c r="H33" s="201"/>
      <c r="I33" s="10"/>
      <c r="J33" s="11"/>
      <c r="K33" s="11"/>
      <c r="L33" s="193">
        <v>0</v>
      </c>
      <c r="M33" s="193">
        <v>0</v>
      </c>
      <c r="N33" s="193">
        <v>0</v>
      </c>
      <c r="O33" s="193">
        <v>2850.72</v>
      </c>
      <c r="P33" s="193">
        <v>0</v>
      </c>
      <c r="Q33" s="193">
        <v>0</v>
      </c>
      <c r="R33" s="193">
        <v>0</v>
      </c>
      <c r="S33" s="193">
        <v>0</v>
      </c>
      <c r="T33" s="193">
        <v>2850.72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177.39400000000001</v>
      </c>
      <c r="G34" s="201"/>
      <c r="H34" s="201"/>
      <c r="I34" s="10"/>
      <c r="J34" s="11"/>
      <c r="K34" s="11"/>
      <c r="L34" s="193">
        <v>0</v>
      </c>
      <c r="M34" s="193">
        <v>0</v>
      </c>
      <c r="N34" s="193">
        <v>0</v>
      </c>
      <c r="O34" s="193">
        <v>2850.72</v>
      </c>
      <c r="P34" s="193">
        <v>0</v>
      </c>
      <c r="Q34" s="193">
        <v>0</v>
      </c>
      <c r="R34" s="193">
        <v>0</v>
      </c>
      <c r="S34" s="193">
        <v>0</v>
      </c>
      <c r="T34" s="193">
        <v>2850.72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177.39400000000001</v>
      </c>
      <c r="G35" s="201"/>
      <c r="H35" s="201"/>
      <c r="I35" s="10"/>
      <c r="J35" s="11"/>
      <c r="K35" s="11"/>
      <c r="L35" s="193">
        <v>0</v>
      </c>
      <c r="M35" s="193">
        <v>0</v>
      </c>
      <c r="N35" s="193">
        <v>0</v>
      </c>
      <c r="O35" s="193">
        <v>2850.72</v>
      </c>
      <c r="P35" s="193">
        <v>0</v>
      </c>
      <c r="Q35" s="193">
        <v>0</v>
      </c>
      <c r="R35" s="193">
        <v>0</v>
      </c>
      <c r="S35" s="193">
        <v>0</v>
      </c>
      <c r="T35" s="193">
        <v>2850.72</v>
      </c>
    </row>
    <row r="36" spans="1:20">
      <c r="D36" s="18">
        <v>0</v>
      </c>
      <c r="E36" s="18">
        <v>0</v>
      </c>
      <c r="F36" s="18">
        <v>5499.2140000000045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4">
        <v>0</v>
      </c>
      <c r="M36" s="194">
        <v>0</v>
      </c>
      <c r="N36" s="194">
        <v>0</v>
      </c>
      <c r="O36" s="194">
        <v>88372.37</v>
      </c>
      <c r="P36" s="194">
        <v>0</v>
      </c>
      <c r="Q36" s="194">
        <v>0</v>
      </c>
      <c r="R36" s="194">
        <v>0</v>
      </c>
      <c r="S36" s="194">
        <v>0</v>
      </c>
      <c r="T36" s="194">
        <v>88372.37</v>
      </c>
    </row>
    <row r="37" spans="1:20">
      <c r="R37" s="21"/>
      <c r="S37" s="21"/>
      <c r="T37" s="195">
        <v>107814.29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F30F-34E2-4CDB-96F0-00C762193147}">
  <sheetPr codeName="Лист33">
    <pageSetUpPr fitToPage="1"/>
  </sheetPr>
  <dimension ref="A1:T37"/>
  <sheetViews>
    <sheetView topLeftCell="B6" workbookViewId="0">
      <selection activeCell="I5" sqref="I5:J35"/>
    </sheetView>
  </sheetViews>
  <sheetFormatPr defaultRowHeight="15"/>
  <cols>
    <col min="1" max="3" width="8.796875" style="2"/>
    <col min="4" max="5" width="8.09765625" style="2" customWidth="1"/>
    <col min="6" max="6" width="8.796875" style="2" customWidth="1"/>
    <col min="7" max="7" width="7.8984375" style="2" customWidth="1"/>
    <col min="8" max="8" width="7.5976562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275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276</v>
      </c>
      <c r="H3" s="209" t="s">
        <v>277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11502.608</v>
      </c>
      <c r="G5" s="201">
        <v>0</v>
      </c>
      <c r="H5" s="201">
        <v>700</v>
      </c>
      <c r="I5" s="10">
        <v>0</v>
      </c>
      <c r="J5" s="10">
        <v>0</v>
      </c>
      <c r="K5" s="11"/>
      <c r="L5" s="193">
        <v>0</v>
      </c>
      <c r="M5" s="193">
        <v>0</v>
      </c>
      <c r="N5" s="193">
        <v>0</v>
      </c>
      <c r="O5" s="193">
        <v>131359.78</v>
      </c>
      <c r="P5" s="193">
        <v>0</v>
      </c>
      <c r="Q5" s="193">
        <v>76006</v>
      </c>
      <c r="R5" s="193">
        <v>0</v>
      </c>
      <c r="S5" s="193">
        <v>0</v>
      </c>
      <c r="T5" s="193">
        <v>207365.78</v>
      </c>
    </row>
    <row r="6" spans="1:20">
      <c r="A6" s="13">
        <v>2</v>
      </c>
      <c r="B6" s="216" t="s">
        <v>200</v>
      </c>
      <c r="C6" s="217"/>
      <c r="D6" s="200">
        <v>352.875</v>
      </c>
      <c r="E6" s="200">
        <v>0</v>
      </c>
      <c r="F6" s="200">
        <v>11855.483</v>
      </c>
      <c r="G6" s="201">
        <v>0</v>
      </c>
      <c r="H6" s="201">
        <v>347.125</v>
      </c>
      <c r="I6" s="10">
        <v>0</v>
      </c>
      <c r="J6" s="10">
        <v>0</v>
      </c>
      <c r="K6" s="11"/>
      <c r="L6" s="193">
        <v>0</v>
      </c>
      <c r="M6" s="193">
        <v>38315.17</v>
      </c>
      <c r="N6" s="193">
        <v>0</v>
      </c>
      <c r="O6" s="193">
        <v>135389.62</v>
      </c>
      <c r="P6" s="193">
        <v>0</v>
      </c>
      <c r="Q6" s="193">
        <v>37690.83</v>
      </c>
      <c r="R6" s="193">
        <v>0</v>
      </c>
      <c r="S6" s="193">
        <v>0</v>
      </c>
      <c r="T6" s="193">
        <v>211395.62</v>
      </c>
    </row>
    <row r="7" spans="1:20">
      <c r="A7" s="13">
        <v>3</v>
      </c>
      <c r="B7" s="216" t="s">
        <v>201</v>
      </c>
      <c r="C7" s="217"/>
      <c r="D7" s="200">
        <v>593.625</v>
      </c>
      <c r="E7" s="200">
        <v>0</v>
      </c>
      <c r="F7" s="200">
        <v>12449.108</v>
      </c>
      <c r="G7" s="201">
        <v>0</v>
      </c>
      <c r="H7" s="201">
        <v>106.375</v>
      </c>
      <c r="I7" s="10">
        <v>0</v>
      </c>
      <c r="J7" s="10">
        <v>0</v>
      </c>
      <c r="K7" s="11"/>
      <c r="L7" s="193">
        <v>0</v>
      </c>
      <c r="M7" s="193">
        <v>64455.8</v>
      </c>
      <c r="N7" s="193">
        <v>0</v>
      </c>
      <c r="O7" s="193">
        <v>142168.81</v>
      </c>
      <c r="P7" s="193">
        <v>0</v>
      </c>
      <c r="Q7" s="193">
        <v>11550.2</v>
      </c>
      <c r="R7" s="193">
        <v>0</v>
      </c>
      <c r="S7" s="193">
        <v>0</v>
      </c>
      <c r="T7" s="193">
        <v>218174.81</v>
      </c>
    </row>
    <row r="8" spans="1:20">
      <c r="A8" s="13">
        <v>4</v>
      </c>
      <c r="B8" s="216" t="s">
        <v>202</v>
      </c>
      <c r="C8" s="217"/>
      <c r="D8" s="200">
        <v>418.25</v>
      </c>
      <c r="E8" s="200">
        <v>0</v>
      </c>
      <c r="F8" s="200">
        <v>12867.358</v>
      </c>
      <c r="G8" s="201">
        <v>0</v>
      </c>
      <c r="H8" s="201">
        <v>281.75</v>
      </c>
      <c r="I8" s="10">
        <v>0</v>
      </c>
      <c r="J8" s="10">
        <v>0</v>
      </c>
      <c r="K8" s="11"/>
      <c r="L8" s="193">
        <v>0</v>
      </c>
      <c r="M8" s="193">
        <v>45413.59</v>
      </c>
      <c r="N8" s="193">
        <v>0</v>
      </c>
      <c r="O8" s="193">
        <v>146945.23000000001</v>
      </c>
      <c r="P8" s="193">
        <v>0</v>
      </c>
      <c r="Q8" s="193">
        <v>30592.42</v>
      </c>
      <c r="R8" s="193">
        <v>0</v>
      </c>
      <c r="S8" s="193">
        <v>0</v>
      </c>
      <c r="T8" s="193">
        <v>222951.23</v>
      </c>
    </row>
    <row r="9" spans="1:20">
      <c r="A9" s="13">
        <v>5</v>
      </c>
      <c r="B9" s="216" t="s">
        <v>203</v>
      </c>
      <c r="C9" s="217"/>
      <c r="D9" s="200">
        <v>394.125</v>
      </c>
      <c r="E9" s="200">
        <v>22</v>
      </c>
      <c r="F9" s="200">
        <v>13239.483</v>
      </c>
      <c r="G9" s="201">
        <v>0</v>
      </c>
      <c r="H9" s="201">
        <v>283.875</v>
      </c>
      <c r="I9" s="10">
        <v>0</v>
      </c>
      <c r="J9" s="10">
        <v>0</v>
      </c>
      <c r="K9" s="11"/>
      <c r="L9" s="193">
        <v>0</v>
      </c>
      <c r="M9" s="193">
        <v>42794.09</v>
      </c>
      <c r="N9" s="193">
        <v>2388.7600000000002</v>
      </c>
      <c r="O9" s="193">
        <v>151194.9</v>
      </c>
      <c r="P9" s="193">
        <v>0</v>
      </c>
      <c r="Q9" s="193">
        <v>30823.15</v>
      </c>
      <c r="R9" s="193">
        <v>0</v>
      </c>
      <c r="S9" s="193">
        <v>0</v>
      </c>
      <c r="T9" s="193">
        <v>227200.9</v>
      </c>
    </row>
    <row r="10" spans="1:20">
      <c r="A10" s="13">
        <v>6</v>
      </c>
      <c r="B10" s="216" t="s">
        <v>204</v>
      </c>
      <c r="C10" s="217"/>
      <c r="D10" s="200">
        <v>263.25</v>
      </c>
      <c r="E10" s="200">
        <v>64.75</v>
      </c>
      <c r="F10" s="200">
        <v>13437.983</v>
      </c>
      <c r="G10" s="201">
        <v>0</v>
      </c>
      <c r="H10" s="201">
        <v>372</v>
      </c>
      <c r="I10" s="10">
        <v>0</v>
      </c>
      <c r="J10" s="10">
        <v>0</v>
      </c>
      <c r="K10" s="11"/>
      <c r="L10" s="193">
        <v>0</v>
      </c>
      <c r="M10" s="193">
        <v>28583.69</v>
      </c>
      <c r="N10" s="193">
        <v>7030.56</v>
      </c>
      <c r="O10" s="193">
        <v>153461.76999999999</v>
      </c>
      <c r="P10" s="193">
        <v>0</v>
      </c>
      <c r="Q10" s="193">
        <v>40391.760000000002</v>
      </c>
      <c r="R10" s="193">
        <v>0</v>
      </c>
      <c r="S10" s="193">
        <v>0</v>
      </c>
      <c r="T10" s="193">
        <v>229467.77</v>
      </c>
    </row>
    <row r="11" spans="1:20">
      <c r="A11" s="13">
        <v>7</v>
      </c>
      <c r="B11" s="216" t="s">
        <v>205</v>
      </c>
      <c r="C11" s="217"/>
      <c r="D11" s="200">
        <v>21.375</v>
      </c>
      <c r="E11" s="200">
        <v>21.375</v>
      </c>
      <c r="F11" s="200">
        <v>13437.983</v>
      </c>
      <c r="G11" s="201">
        <v>0</v>
      </c>
      <c r="H11" s="201">
        <v>657.25</v>
      </c>
      <c r="I11" s="10">
        <v>0</v>
      </c>
      <c r="J11" s="10">
        <v>0</v>
      </c>
      <c r="K11" s="11"/>
      <c r="L11" s="193">
        <v>0</v>
      </c>
      <c r="M11" s="193">
        <v>2320.9</v>
      </c>
      <c r="N11" s="193">
        <v>2320.9</v>
      </c>
      <c r="O11" s="193">
        <v>153461.76999999999</v>
      </c>
      <c r="P11" s="193">
        <v>0</v>
      </c>
      <c r="Q11" s="193">
        <v>71364.210000000006</v>
      </c>
      <c r="R11" s="193">
        <v>0</v>
      </c>
      <c r="S11" s="193">
        <v>0</v>
      </c>
      <c r="T11" s="193">
        <v>229467.77</v>
      </c>
    </row>
    <row r="12" spans="1:20">
      <c r="A12" s="13">
        <v>8</v>
      </c>
      <c r="B12" s="216" t="s">
        <v>206</v>
      </c>
      <c r="C12" s="217"/>
      <c r="D12" s="200">
        <v>110</v>
      </c>
      <c r="E12" s="200">
        <v>21.375</v>
      </c>
      <c r="F12" s="200">
        <v>13526.608</v>
      </c>
      <c r="G12" s="201">
        <v>0</v>
      </c>
      <c r="H12" s="201">
        <v>568.625</v>
      </c>
      <c r="I12" s="10">
        <v>0</v>
      </c>
      <c r="J12" s="10">
        <v>0</v>
      </c>
      <c r="K12" s="11"/>
      <c r="L12" s="193">
        <v>0</v>
      </c>
      <c r="M12" s="193">
        <v>11943.8</v>
      </c>
      <c r="N12" s="193">
        <v>2320.9</v>
      </c>
      <c r="O12" s="193">
        <v>154473.85999999999</v>
      </c>
      <c r="P12" s="193">
        <v>0</v>
      </c>
      <c r="Q12" s="193">
        <v>61741.3</v>
      </c>
      <c r="R12" s="193">
        <v>0</v>
      </c>
      <c r="S12" s="193">
        <v>0</v>
      </c>
      <c r="T12" s="193">
        <v>230479.86</v>
      </c>
    </row>
    <row r="13" spans="1:20">
      <c r="A13" s="13">
        <v>9</v>
      </c>
      <c r="B13" s="216" t="s">
        <v>207</v>
      </c>
      <c r="C13" s="217"/>
      <c r="D13" s="200">
        <v>44</v>
      </c>
      <c r="E13" s="200">
        <v>44</v>
      </c>
      <c r="F13" s="200">
        <v>13526.608</v>
      </c>
      <c r="G13" s="201">
        <v>0</v>
      </c>
      <c r="H13" s="201">
        <v>612</v>
      </c>
      <c r="I13" s="10">
        <v>0</v>
      </c>
      <c r="J13" s="10">
        <v>0</v>
      </c>
      <c r="K13" s="11"/>
      <c r="L13" s="193">
        <v>0</v>
      </c>
      <c r="M13" s="193">
        <v>4777.5200000000004</v>
      </c>
      <c r="N13" s="193">
        <v>4777.5200000000004</v>
      </c>
      <c r="O13" s="193">
        <v>154473.85999999999</v>
      </c>
      <c r="P13" s="193">
        <v>0</v>
      </c>
      <c r="Q13" s="193">
        <v>66450.960000000006</v>
      </c>
      <c r="R13" s="193">
        <v>0</v>
      </c>
      <c r="S13" s="193">
        <v>0</v>
      </c>
      <c r="T13" s="193">
        <v>230479.86</v>
      </c>
    </row>
    <row r="14" spans="1:20">
      <c r="A14" s="13">
        <v>10</v>
      </c>
      <c r="B14" s="216" t="s">
        <v>208</v>
      </c>
      <c r="C14" s="217"/>
      <c r="D14" s="200">
        <v>44</v>
      </c>
      <c r="E14" s="200">
        <v>65.375</v>
      </c>
      <c r="F14" s="200">
        <v>13505.233</v>
      </c>
      <c r="G14" s="201">
        <v>0</v>
      </c>
      <c r="H14" s="201">
        <v>590.625</v>
      </c>
      <c r="I14" s="10">
        <v>0</v>
      </c>
      <c r="J14" s="10">
        <v>0</v>
      </c>
      <c r="K14" s="11"/>
      <c r="L14" s="193">
        <v>0</v>
      </c>
      <c r="M14" s="193">
        <v>4777.5200000000004</v>
      </c>
      <c r="N14" s="193">
        <v>7098.42</v>
      </c>
      <c r="O14" s="193">
        <v>154229.76000000001</v>
      </c>
      <c r="P14" s="193">
        <v>0</v>
      </c>
      <c r="Q14" s="193">
        <v>64130.06</v>
      </c>
      <c r="R14" s="193">
        <v>0</v>
      </c>
      <c r="S14" s="193">
        <v>0</v>
      </c>
      <c r="T14" s="193">
        <v>230235.76</v>
      </c>
    </row>
    <row r="15" spans="1:20">
      <c r="A15" s="13">
        <v>11</v>
      </c>
      <c r="B15" s="216" t="s">
        <v>209</v>
      </c>
      <c r="C15" s="217"/>
      <c r="D15" s="200">
        <v>112.5</v>
      </c>
      <c r="E15" s="200">
        <v>39.875</v>
      </c>
      <c r="F15" s="200">
        <v>13577.858</v>
      </c>
      <c r="G15" s="201">
        <v>0</v>
      </c>
      <c r="H15" s="201">
        <v>547.625</v>
      </c>
      <c r="I15" s="10">
        <v>0</v>
      </c>
      <c r="J15" s="10">
        <v>0</v>
      </c>
      <c r="K15" s="11"/>
      <c r="L15" s="193">
        <v>0</v>
      </c>
      <c r="M15" s="193">
        <v>12215.25</v>
      </c>
      <c r="N15" s="193">
        <v>4329.63</v>
      </c>
      <c r="O15" s="193">
        <v>155059.14000000001</v>
      </c>
      <c r="P15" s="193">
        <v>0</v>
      </c>
      <c r="Q15" s="193">
        <v>59461.120000000003</v>
      </c>
      <c r="R15" s="193">
        <v>0</v>
      </c>
      <c r="S15" s="193">
        <v>0</v>
      </c>
      <c r="T15" s="193">
        <v>231065.14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13577.858</v>
      </c>
      <c r="G16" s="201">
        <v>0</v>
      </c>
      <c r="H16" s="201">
        <v>700</v>
      </c>
      <c r="I16" s="10">
        <v>0</v>
      </c>
      <c r="J16" s="10">
        <v>0</v>
      </c>
      <c r="K16" s="16"/>
      <c r="L16" s="193">
        <v>0</v>
      </c>
      <c r="M16" s="193">
        <v>0</v>
      </c>
      <c r="N16" s="193">
        <v>0</v>
      </c>
      <c r="O16" s="193">
        <v>155059.14000000001</v>
      </c>
      <c r="P16" s="193">
        <v>0</v>
      </c>
      <c r="Q16" s="193">
        <v>76006</v>
      </c>
      <c r="R16" s="193">
        <v>0</v>
      </c>
      <c r="S16" s="193">
        <v>0</v>
      </c>
      <c r="T16" s="193">
        <v>231065.14</v>
      </c>
    </row>
    <row r="17" spans="1:20">
      <c r="A17" s="13">
        <v>13</v>
      </c>
      <c r="B17" s="216" t="s">
        <v>211</v>
      </c>
      <c r="C17" s="217"/>
      <c r="D17" s="200">
        <v>21.925000000000001</v>
      </c>
      <c r="E17" s="200">
        <v>87.875</v>
      </c>
      <c r="F17" s="200">
        <v>13511.907999999999</v>
      </c>
      <c r="G17" s="201">
        <v>0</v>
      </c>
      <c r="H17" s="201">
        <v>590.20000000000005</v>
      </c>
      <c r="I17" s="10">
        <v>21.925000000000001</v>
      </c>
      <c r="J17" s="10">
        <v>21.925000000000001</v>
      </c>
      <c r="K17" s="11"/>
      <c r="L17" s="193">
        <v>0</v>
      </c>
      <c r="M17" s="193">
        <v>2380.62</v>
      </c>
      <c r="N17" s="193">
        <v>9541.4699999999993</v>
      </c>
      <c r="O17" s="193">
        <v>154305.99</v>
      </c>
      <c r="P17" s="193">
        <v>0</v>
      </c>
      <c r="Q17" s="193">
        <v>64083.92</v>
      </c>
      <c r="R17" s="193">
        <v>20828.75</v>
      </c>
      <c r="S17" s="193">
        <v>2631</v>
      </c>
      <c r="T17" s="193">
        <v>253771.74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232.625</v>
      </c>
      <c r="F18" s="200">
        <v>13279.282999999999</v>
      </c>
      <c r="G18" s="201">
        <v>0</v>
      </c>
      <c r="H18" s="201">
        <v>467.375</v>
      </c>
      <c r="I18" s="10">
        <v>0</v>
      </c>
      <c r="J18" s="10">
        <v>0</v>
      </c>
      <c r="K18" s="11"/>
      <c r="L18" s="193">
        <v>0</v>
      </c>
      <c r="M18" s="193">
        <v>0</v>
      </c>
      <c r="N18" s="193">
        <v>25258.42</v>
      </c>
      <c r="O18" s="193">
        <v>151649.41</v>
      </c>
      <c r="P18" s="193">
        <v>0</v>
      </c>
      <c r="Q18" s="193">
        <v>50747.58</v>
      </c>
      <c r="R18" s="193">
        <v>0</v>
      </c>
      <c r="S18" s="193">
        <v>0</v>
      </c>
      <c r="T18" s="193">
        <v>227655.41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322.25</v>
      </c>
      <c r="F19" s="200">
        <v>12957.032999999999</v>
      </c>
      <c r="G19" s="201">
        <v>0</v>
      </c>
      <c r="H19" s="201">
        <v>377.75</v>
      </c>
      <c r="I19" s="10">
        <v>0</v>
      </c>
      <c r="J19" s="10">
        <v>0</v>
      </c>
      <c r="K19" s="11"/>
      <c r="L19" s="193">
        <v>0</v>
      </c>
      <c r="M19" s="193">
        <v>0</v>
      </c>
      <c r="N19" s="193">
        <v>34989.910000000003</v>
      </c>
      <c r="O19" s="193">
        <v>147969.32</v>
      </c>
      <c r="P19" s="193">
        <v>0</v>
      </c>
      <c r="Q19" s="193">
        <v>41016.1</v>
      </c>
      <c r="R19" s="193">
        <v>0</v>
      </c>
      <c r="S19" s="193">
        <v>0</v>
      </c>
      <c r="T19" s="193">
        <v>223975.32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262.75</v>
      </c>
      <c r="F20" s="200">
        <v>12694.282999999999</v>
      </c>
      <c r="G20" s="201">
        <v>0</v>
      </c>
      <c r="H20" s="201">
        <v>437.25</v>
      </c>
      <c r="I20" s="10">
        <v>0</v>
      </c>
      <c r="J20" s="10">
        <v>0</v>
      </c>
      <c r="K20" s="11"/>
      <c r="L20" s="193">
        <v>0</v>
      </c>
      <c r="M20" s="193">
        <v>0</v>
      </c>
      <c r="N20" s="193">
        <v>28529.4</v>
      </c>
      <c r="O20" s="193">
        <v>144968.71</v>
      </c>
      <c r="P20" s="193">
        <v>0</v>
      </c>
      <c r="Q20" s="193">
        <v>47476.61</v>
      </c>
      <c r="R20" s="193">
        <v>0</v>
      </c>
      <c r="S20" s="193">
        <v>0</v>
      </c>
      <c r="T20" s="193">
        <v>220974.71</v>
      </c>
    </row>
    <row r="21" spans="1:20">
      <c r="A21" s="13">
        <v>17</v>
      </c>
      <c r="B21" s="216" t="s">
        <v>215</v>
      </c>
      <c r="C21" s="217"/>
      <c r="D21" s="200">
        <v>85.5</v>
      </c>
      <c r="E21" s="200">
        <v>298.875</v>
      </c>
      <c r="F21" s="200">
        <v>12480.907999999999</v>
      </c>
      <c r="G21" s="201">
        <v>0</v>
      </c>
      <c r="H21" s="201">
        <v>315.625</v>
      </c>
      <c r="I21" s="10">
        <v>0</v>
      </c>
      <c r="J21" s="10">
        <v>0</v>
      </c>
      <c r="K21" s="11"/>
      <c r="L21" s="193">
        <v>0</v>
      </c>
      <c r="M21" s="193">
        <v>9283.59</v>
      </c>
      <c r="N21" s="193">
        <v>32451.85</v>
      </c>
      <c r="O21" s="193">
        <v>142531.97</v>
      </c>
      <c r="P21" s="193">
        <v>0</v>
      </c>
      <c r="Q21" s="193">
        <v>34270.559999999998</v>
      </c>
      <c r="R21" s="193">
        <v>0</v>
      </c>
      <c r="S21" s="193">
        <v>0</v>
      </c>
      <c r="T21" s="193">
        <v>218537.97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237.75</v>
      </c>
      <c r="F22" s="200">
        <v>12243.157999999999</v>
      </c>
      <c r="G22" s="201">
        <v>0</v>
      </c>
      <c r="H22" s="201">
        <v>462.25</v>
      </c>
      <c r="I22" s="10">
        <v>0</v>
      </c>
      <c r="J22" s="10">
        <v>0</v>
      </c>
      <c r="K22" s="11"/>
      <c r="L22" s="193">
        <v>0</v>
      </c>
      <c r="M22" s="193">
        <v>0</v>
      </c>
      <c r="N22" s="193">
        <v>25814.9</v>
      </c>
      <c r="O22" s="193">
        <v>139816.85999999999</v>
      </c>
      <c r="P22" s="193">
        <v>0</v>
      </c>
      <c r="Q22" s="193">
        <v>50191.11</v>
      </c>
      <c r="R22" s="193">
        <v>0</v>
      </c>
      <c r="S22" s="193">
        <v>0</v>
      </c>
      <c r="T22" s="193">
        <v>215822.86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131.875</v>
      </c>
      <c r="F23" s="200">
        <v>12111.282999999999</v>
      </c>
      <c r="G23" s="201">
        <v>0</v>
      </c>
      <c r="H23" s="201">
        <v>568.125</v>
      </c>
      <c r="I23" s="10">
        <v>0</v>
      </c>
      <c r="J23" s="10">
        <v>0</v>
      </c>
      <c r="K23" s="11"/>
      <c r="L23" s="193">
        <v>0</v>
      </c>
      <c r="M23" s="193">
        <v>0</v>
      </c>
      <c r="N23" s="193">
        <v>14318.99</v>
      </c>
      <c r="O23" s="193">
        <v>138310.85</v>
      </c>
      <c r="P23" s="193">
        <v>0</v>
      </c>
      <c r="Q23" s="193">
        <v>61687.01</v>
      </c>
      <c r="R23" s="193">
        <v>0</v>
      </c>
      <c r="S23" s="193">
        <v>0</v>
      </c>
      <c r="T23" s="193">
        <v>214316.85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235.125</v>
      </c>
      <c r="F24" s="200">
        <v>11876.157999999999</v>
      </c>
      <c r="G24" s="201">
        <v>0</v>
      </c>
      <c r="H24" s="201">
        <v>464.875</v>
      </c>
      <c r="I24" s="10">
        <v>0</v>
      </c>
      <c r="J24" s="10">
        <v>0</v>
      </c>
      <c r="K24" s="11"/>
      <c r="L24" s="193">
        <v>0</v>
      </c>
      <c r="M24" s="193">
        <v>0</v>
      </c>
      <c r="N24" s="193">
        <v>25529.87</v>
      </c>
      <c r="O24" s="193">
        <v>135625.72</v>
      </c>
      <c r="P24" s="193">
        <v>0</v>
      </c>
      <c r="Q24" s="193">
        <v>50476.13</v>
      </c>
      <c r="R24" s="193">
        <v>0</v>
      </c>
      <c r="S24" s="193">
        <v>0</v>
      </c>
      <c r="T24" s="193">
        <v>211631.72</v>
      </c>
    </row>
    <row r="25" spans="1:20">
      <c r="A25" s="13">
        <v>21</v>
      </c>
      <c r="B25" s="216" t="s">
        <v>219</v>
      </c>
      <c r="C25" s="217"/>
      <c r="D25" s="200">
        <v>154</v>
      </c>
      <c r="E25" s="200">
        <v>251.25</v>
      </c>
      <c r="F25" s="200">
        <v>11778.907999999999</v>
      </c>
      <c r="G25" s="201">
        <v>0</v>
      </c>
      <c r="H25" s="201">
        <v>294.75</v>
      </c>
      <c r="I25" s="10">
        <v>0</v>
      </c>
      <c r="J25" s="10">
        <v>0</v>
      </c>
      <c r="K25" s="11"/>
      <c r="L25" s="193">
        <v>0</v>
      </c>
      <c r="M25" s="193">
        <v>16721.32</v>
      </c>
      <c r="N25" s="193">
        <v>27280.73</v>
      </c>
      <c r="O25" s="193">
        <v>134515.13</v>
      </c>
      <c r="P25" s="193">
        <v>0</v>
      </c>
      <c r="Q25" s="193">
        <v>32003.96</v>
      </c>
      <c r="R25" s="193">
        <v>0</v>
      </c>
      <c r="S25" s="193">
        <v>0</v>
      </c>
      <c r="T25" s="193">
        <v>210521.13</v>
      </c>
    </row>
    <row r="26" spans="1:20">
      <c r="A26" s="13">
        <v>22</v>
      </c>
      <c r="B26" s="216" t="s">
        <v>220</v>
      </c>
      <c r="C26" s="217"/>
      <c r="D26" s="200">
        <v>220</v>
      </c>
      <c r="E26" s="200">
        <v>188.125</v>
      </c>
      <c r="F26" s="200">
        <v>11810.782999999999</v>
      </c>
      <c r="G26" s="201">
        <v>0</v>
      </c>
      <c r="H26" s="201">
        <v>291.875</v>
      </c>
      <c r="I26" s="10">
        <v>0</v>
      </c>
      <c r="J26" s="10">
        <v>0</v>
      </c>
      <c r="K26" s="11"/>
      <c r="L26" s="193">
        <v>0</v>
      </c>
      <c r="M26" s="193">
        <v>23887.599999999999</v>
      </c>
      <c r="N26" s="193">
        <v>20426.61</v>
      </c>
      <c r="O26" s="193">
        <v>134879.14000000001</v>
      </c>
      <c r="P26" s="193">
        <v>0</v>
      </c>
      <c r="Q26" s="193">
        <v>31691.79</v>
      </c>
      <c r="R26" s="193">
        <v>0</v>
      </c>
      <c r="S26" s="193">
        <v>0</v>
      </c>
      <c r="T26" s="193">
        <v>210885.14</v>
      </c>
    </row>
    <row r="27" spans="1:20">
      <c r="A27" s="13">
        <v>23</v>
      </c>
      <c r="B27" s="216" t="s">
        <v>221</v>
      </c>
      <c r="C27" s="217"/>
      <c r="D27" s="200">
        <v>176</v>
      </c>
      <c r="E27" s="200">
        <v>120.27500000000001</v>
      </c>
      <c r="F27" s="200">
        <v>11866.508</v>
      </c>
      <c r="G27" s="201">
        <v>0</v>
      </c>
      <c r="H27" s="201">
        <v>403.72500000000002</v>
      </c>
      <c r="I27" s="10">
        <v>0</v>
      </c>
      <c r="J27" s="10">
        <v>0</v>
      </c>
      <c r="K27" s="11"/>
      <c r="L27" s="193">
        <v>0</v>
      </c>
      <c r="M27" s="193">
        <v>19110.080000000002</v>
      </c>
      <c r="N27" s="193">
        <v>13059.46</v>
      </c>
      <c r="O27" s="193">
        <v>135515.51999999999</v>
      </c>
      <c r="P27" s="193">
        <v>0</v>
      </c>
      <c r="Q27" s="193">
        <v>43836.46</v>
      </c>
      <c r="R27" s="193">
        <v>0</v>
      </c>
      <c r="S27" s="193">
        <v>0</v>
      </c>
      <c r="T27" s="193">
        <v>211521.52</v>
      </c>
    </row>
    <row r="28" spans="1:20">
      <c r="A28" s="13">
        <v>24</v>
      </c>
      <c r="B28" s="216" t="s">
        <v>222</v>
      </c>
      <c r="C28" s="217"/>
      <c r="D28" s="200">
        <v>66</v>
      </c>
      <c r="E28" s="200">
        <v>130.375</v>
      </c>
      <c r="F28" s="200">
        <v>11802.133</v>
      </c>
      <c r="G28" s="201">
        <v>0</v>
      </c>
      <c r="H28" s="201">
        <v>503.625</v>
      </c>
      <c r="I28" s="10">
        <v>0</v>
      </c>
      <c r="J28" s="10">
        <v>0</v>
      </c>
      <c r="K28" s="11"/>
      <c r="L28" s="193">
        <v>0</v>
      </c>
      <c r="M28" s="193">
        <v>7166.28</v>
      </c>
      <c r="N28" s="193">
        <v>14156.12</v>
      </c>
      <c r="O28" s="193">
        <v>134780.35999999999</v>
      </c>
      <c r="P28" s="193">
        <v>0</v>
      </c>
      <c r="Q28" s="193">
        <v>54683.6</v>
      </c>
      <c r="R28" s="193">
        <v>0</v>
      </c>
      <c r="S28" s="193">
        <v>0</v>
      </c>
      <c r="T28" s="193">
        <v>210786.36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67.625</v>
      </c>
      <c r="F29" s="200">
        <v>11734.508</v>
      </c>
      <c r="G29" s="201">
        <v>0</v>
      </c>
      <c r="H29" s="201">
        <v>632.375</v>
      </c>
      <c r="I29" s="10">
        <v>0</v>
      </c>
      <c r="J29" s="10">
        <v>0</v>
      </c>
      <c r="K29" s="11"/>
      <c r="L29" s="193">
        <v>0</v>
      </c>
      <c r="M29" s="193">
        <v>0</v>
      </c>
      <c r="N29" s="193">
        <v>7342.72</v>
      </c>
      <c r="O29" s="193">
        <v>134008.07999999999</v>
      </c>
      <c r="P29" s="193">
        <v>0</v>
      </c>
      <c r="Q29" s="193">
        <v>68663.28</v>
      </c>
      <c r="R29" s="193">
        <v>0</v>
      </c>
      <c r="S29" s="193">
        <v>0</v>
      </c>
      <c r="T29" s="193">
        <v>210014.07999999999</v>
      </c>
    </row>
    <row r="30" spans="1:20">
      <c r="A30" s="13">
        <v>26</v>
      </c>
      <c r="B30" s="216" t="s">
        <v>224</v>
      </c>
      <c r="C30" s="217"/>
      <c r="D30" s="200">
        <v>66</v>
      </c>
      <c r="E30" s="200">
        <v>173.45</v>
      </c>
      <c r="F30" s="200">
        <v>11627.058000000001</v>
      </c>
      <c r="G30" s="201">
        <v>0</v>
      </c>
      <c r="H30" s="201">
        <v>460.54999999999995</v>
      </c>
      <c r="I30" s="10">
        <v>0</v>
      </c>
      <c r="J30" s="10">
        <v>0</v>
      </c>
      <c r="K30" s="11"/>
      <c r="L30" s="193">
        <v>0</v>
      </c>
      <c r="M30" s="193">
        <v>7166.28</v>
      </c>
      <c r="N30" s="193">
        <v>18833.2</v>
      </c>
      <c r="O30" s="193">
        <v>132781</v>
      </c>
      <c r="P30" s="193">
        <v>0</v>
      </c>
      <c r="Q30" s="193">
        <v>50006.52</v>
      </c>
      <c r="R30" s="193">
        <v>0</v>
      </c>
      <c r="S30" s="193">
        <v>0</v>
      </c>
      <c r="T30" s="193">
        <v>208787</v>
      </c>
    </row>
    <row r="31" spans="1:20">
      <c r="A31" s="13">
        <v>27</v>
      </c>
      <c r="B31" s="216" t="s">
        <v>225</v>
      </c>
      <c r="C31" s="217"/>
      <c r="D31" s="200">
        <v>198</v>
      </c>
      <c r="E31" s="200">
        <v>282.125</v>
      </c>
      <c r="F31" s="200">
        <v>11542.933000000001</v>
      </c>
      <c r="G31" s="201">
        <v>0</v>
      </c>
      <c r="H31" s="201">
        <v>219.875</v>
      </c>
      <c r="I31" s="10">
        <v>0</v>
      </c>
      <c r="J31" s="10">
        <v>0</v>
      </c>
      <c r="K31" s="11"/>
      <c r="L31" s="193">
        <v>0</v>
      </c>
      <c r="M31" s="193">
        <v>21498.84</v>
      </c>
      <c r="N31" s="193">
        <v>30633.13</v>
      </c>
      <c r="O31" s="193">
        <v>131820.29</v>
      </c>
      <c r="P31" s="193">
        <v>0</v>
      </c>
      <c r="Q31" s="193">
        <v>23874.03</v>
      </c>
      <c r="R31" s="193">
        <v>0</v>
      </c>
      <c r="S31" s="193">
        <v>0</v>
      </c>
      <c r="T31" s="193">
        <v>207826.29</v>
      </c>
    </row>
    <row r="32" spans="1:20">
      <c r="A32" s="13">
        <v>28</v>
      </c>
      <c r="B32" s="216" t="s">
        <v>226</v>
      </c>
      <c r="C32" s="217"/>
      <c r="D32" s="200">
        <v>154</v>
      </c>
      <c r="E32" s="200">
        <v>274.25</v>
      </c>
      <c r="F32" s="200">
        <v>11422.683000000001</v>
      </c>
      <c r="G32" s="201">
        <v>0</v>
      </c>
      <c r="H32" s="201">
        <v>271.75</v>
      </c>
      <c r="I32" s="10">
        <v>0</v>
      </c>
      <c r="J32" s="10">
        <v>0</v>
      </c>
      <c r="K32" s="11"/>
      <c r="L32" s="193">
        <v>0</v>
      </c>
      <c r="M32" s="193">
        <v>16721.32</v>
      </c>
      <c r="N32" s="193">
        <v>29778.07</v>
      </c>
      <c r="O32" s="193">
        <v>130447.03999999999</v>
      </c>
      <c r="P32" s="193">
        <v>0</v>
      </c>
      <c r="Q32" s="193">
        <v>29506.62</v>
      </c>
      <c r="R32" s="193">
        <v>0</v>
      </c>
      <c r="S32" s="193">
        <v>0</v>
      </c>
      <c r="T32" s="193">
        <v>206453.04</v>
      </c>
    </row>
    <row r="33" spans="1:20">
      <c r="A33" s="13">
        <v>29</v>
      </c>
      <c r="B33" s="216" t="s">
        <v>227</v>
      </c>
      <c r="C33" s="217"/>
      <c r="D33" s="200">
        <v>176</v>
      </c>
      <c r="E33" s="200">
        <v>175.5</v>
      </c>
      <c r="F33" s="200">
        <v>11423.183000000001</v>
      </c>
      <c r="G33" s="201">
        <v>0</v>
      </c>
      <c r="H33" s="201">
        <v>348.5</v>
      </c>
      <c r="I33" s="10">
        <v>0</v>
      </c>
      <c r="J33" s="10">
        <v>0</v>
      </c>
      <c r="K33" s="11"/>
      <c r="L33" s="193">
        <v>0</v>
      </c>
      <c r="M33" s="193">
        <v>19110.080000000002</v>
      </c>
      <c r="N33" s="193">
        <v>19055.79</v>
      </c>
      <c r="O33" s="193">
        <v>130452.75</v>
      </c>
      <c r="P33" s="193">
        <v>0</v>
      </c>
      <c r="Q33" s="193">
        <v>37840.129999999997</v>
      </c>
      <c r="R33" s="193">
        <v>0</v>
      </c>
      <c r="S33" s="193">
        <v>0</v>
      </c>
      <c r="T33" s="193">
        <v>206458.75</v>
      </c>
    </row>
    <row r="34" spans="1:20">
      <c r="A34" s="13">
        <v>30</v>
      </c>
      <c r="B34" s="216" t="s">
        <v>228</v>
      </c>
      <c r="C34" s="217"/>
      <c r="D34" s="200">
        <v>132</v>
      </c>
      <c r="E34" s="200">
        <v>51.625</v>
      </c>
      <c r="F34" s="200">
        <v>11503.558000000001</v>
      </c>
      <c r="G34" s="201">
        <v>0</v>
      </c>
      <c r="H34" s="201">
        <v>516.375</v>
      </c>
      <c r="I34" s="10">
        <v>0</v>
      </c>
      <c r="J34" s="10">
        <v>0</v>
      </c>
      <c r="K34" s="11"/>
      <c r="L34" s="193">
        <v>0</v>
      </c>
      <c r="M34" s="193">
        <v>14332.56</v>
      </c>
      <c r="N34" s="193">
        <v>5605.44</v>
      </c>
      <c r="O34" s="193">
        <v>131370.63</v>
      </c>
      <c r="P34" s="193">
        <v>0</v>
      </c>
      <c r="Q34" s="193">
        <v>56068</v>
      </c>
      <c r="R34" s="193">
        <v>0</v>
      </c>
      <c r="S34" s="193">
        <v>0</v>
      </c>
      <c r="T34" s="193">
        <v>207376.63</v>
      </c>
    </row>
    <row r="35" spans="1:20">
      <c r="A35" s="13">
        <v>31</v>
      </c>
      <c r="B35" s="216" t="s">
        <v>229</v>
      </c>
      <c r="C35" s="217"/>
      <c r="D35" s="200">
        <v>330</v>
      </c>
      <c r="E35" s="200">
        <v>175.375</v>
      </c>
      <c r="F35" s="200">
        <v>11658.183000000001</v>
      </c>
      <c r="G35" s="201">
        <v>0</v>
      </c>
      <c r="H35" s="201">
        <v>194.625</v>
      </c>
      <c r="I35" s="10">
        <v>0</v>
      </c>
      <c r="J35" s="10">
        <v>0</v>
      </c>
      <c r="K35" s="11"/>
      <c r="L35" s="193">
        <v>0</v>
      </c>
      <c r="M35" s="193">
        <v>35831.4</v>
      </c>
      <c r="N35" s="193">
        <v>19042.22</v>
      </c>
      <c r="O35" s="193">
        <v>133136.45000000001</v>
      </c>
      <c r="P35" s="193">
        <v>0</v>
      </c>
      <c r="Q35" s="193">
        <v>21132.38</v>
      </c>
      <c r="R35" s="193">
        <v>0</v>
      </c>
      <c r="S35" s="193">
        <v>0</v>
      </c>
      <c r="T35" s="193">
        <v>209142.45</v>
      </c>
    </row>
    <row r="36" spans="1:20">
      <c r="D36" s="18">
        <v>4133.4250000000002</v>
      </c>
      <c r="E36" s="18">
        <v>3977.85</v>
      </c>
      <c r="F36" s="18">
        <v>385828.62300000002</v>
      </c>
      <c r="G36" s="18">
        <v>0</v>
      </c>
      <c r="H36" s="18">
        <v>13588.725</v>
      </c>
      <c r="I36" s="18">
        <v>21.925000000000001</v>
      </c>
      <c r="J36" s="18">
        <v>21.925000000000001</v>
      </c>
      <c r="K36" s="19">
        <v>0</v>
      </c>
      <c r="L36" s="194">
        <v>0</v>
      </c>
      <c r="M36" s="194">
        <v>448807.29</v>
      </c>
      <c r="N36" s="194">
        <v>431914.95</v>
      </c>
      <c r="O36" s="194">
        <v>4406162.87</v>
      </c>
      <c r="P36" s="194">
        <v>0</v>
      </c>
      <c r="Q36" s="194">
        <v>1475463.76</v>
      </c>
      <c r="R36" s="194">
        <v>20828.75</v>
      </c>
      <c r="S36" s="194">
        <v>2631</v>
      </c>
      <c r="T36" s="194">
        <v>6785808.6200000001</v>
      </c>
    </row>
    <row r="37" spans="1:20">
      <c r="R37" s="21"/>
      <c r="S37" s="21"/>
      <c r="T37" s="195">
        <v>8278686.5199999996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E046-D9E6-433D-B0BD-A2FD7CA72F58}">
  <sheetPr codeName="Лист34">
    <pageSetUpPr fitToPage="1"/>
  </sheetPr>
  <dimension ref="A1:T37"/>
  <sheetViews>
    <sheetView topLeftCell="A13" workbookViewId="0">
      <selection activeCell="T37" sqref="T37"/>
    </sheetView>
  </sheetViews>
  <sheetFormatPr defaultRowHeight="15"/>
  <cols>
    <col min="1" max="3" width="8.796875" style="2"/>
    <col min="4" max="5" width="8.09765625" style="2" customWidth="1"/>
    <col min="6" max="6" width="8.796875" style="2" customWidth="1"/>
    <col min="7" max="7" width="7.8984375" style="2" customWidth="1"/>
    <col min="8" max="8" width="7.5976562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278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276</v>
      </c>
      <c r="H3" s="209" t="s">
        <v>279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1023.375</v>
      </c>
      <c r="G5" s="201">
        <v>0</v>
      </c>
      <c r="H5" s="201">
        <v>0</v>
      </c>
      <c r="I5" s="10">
        <v>0</v>
      </c>
      <c r="J5" s="10">
        <v>0</v>
      </c>
      <c r="K5" s="11"/>
      <c r="L5" s="193">
        <v>0</v>
      </c>
      <c r="M5" s="193">
        <v>0</v>
      </c>
      <c r="N5" s="193">
        <v>0</v>
      </c>
      <c r="O5" s="193">
        <v>11686.94</v>
      </c>
      <c r="P5" s="193">
        <v>0</v>
      </c>
      <c r="Q5" s="193">
        <v>0</v>
      </c>
      <c r="R5" s="193">
        <v>0</v>
      </c>
      <c r="S5" s="193">
        <v>0</v>
      </c>
      <c r="T5" s="193">
        <v>11686.94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1023.375</v>
      </c>
      <c r="G6" s="201">
        <v>0</v>
      </c>
      <c r="H6" s="201">
        <v>0</v>
      </c>
      <c r="I6" s="10">
        <v>0</v>
      </c>
      <c r="J6" s="10">
        <v>0</v>
      </c>
      <c r="K6" s="11"/>
      <c r="L6" s="193">
        <v>0</v>
      </c>
      <c r="M6" s="193">
        <v>0</v>
      </c>
      <c r="N6" s="193">
        <v>0</v>
      </c>
      <c r="O6" s="193">
        <v>11686.94</v>
      </c>
      <c r="P6" s="193">
        <v>0</v>
      </c>
      <c r="Q6" s="193">
        <v>0</v>
      </c>
      <c r="R6" s="193">
        <v>0</v>
      </c>
      <c r="S6" s="193">
        <v>0</v>
      </c>
      <c r="T6" s="193">
        <v>11686.94</v>
      </c>
    </row>
    <row r="7" spans="1:20">
      <c r="A7" s="13">
        <v>3</v>
      </c>
      <c r="B7" s="216" t="s">
        <v>201</v>
      </c>
      <c r="C7" s="217"/>
      <c r="D7" s="200">
        <v>44</v>
      </c>
      <c r="E7" s="200">
        <v>0</v>
      </c>
      <c r="F7" s="200">
        <v>1067.375</v>
      </c>
      <c r="G7" s="201">
        <v>0</v>
      </c>
      <c r="H7" s="201">
        <v>0</v>
      </c>
      <c r="I7" s="10">
        <v>0</v>
      </c>
      <c r="J7" s="10">
        <v>0</v>
      </c>
      <c r="K7" s="11"/>
      <c r="L7" s="193">
        <v>0</v>
      </c>
      <c r="M7" s="193">
        <v>4777.5200000000004</v>
      </c>
      <c r="N7" s="193">
        <v>0</v>
      </c>
      <c r="O7" s="193">
        <v>12189.42</v>
      </c>
      <c r="P7" s="193">
        <v>0</v>
      </c>
      <c r="Q7" s="193">
        <v>0</v>
      </c>
      <c r="R7" s="193">
        <v>0</v>
      </c>
      <c r="S7" s="193">
        <v>0</v>
      </c>
      <c r="T7" s="193">
        <v>16966.939999999999</v>
      </c>
    </row>
    <row r="8" spans="1:20">
      <c r="A8" s="13">
        <v>4</v>
      </c>
      <c r="B8" s="216" t="s">
        <v>202</v>
      </c>
      <c r="C8" s="217"/>
      <c r="D8" s="200">
        <v>44</v>
      </c>
      <c r="E8" s="200">
        <v>0</v>
      </c>
      <c r="F8" s="200">
        <v>1111.375</v>
      </c>
      <c r="G8" s="201">
        <v>0</v>
      </c>
      <c r="H8" s="201">
        <v>0</v>
      </c>
      <c r="I8" s="10">
        <v>0</v>
      </c>
      <c r="J8" s="10">
        <v>0</v>
      </c>
      <c r="K8" s="11"/>
      <c r="L8" s="193">
        <v>0</v>
      </c>
      <c r="M8" s="193">
        <v>4777.5200000000004</v>
      </c>
      <c r="N8" s="193">
        <v>0</v>
      </c>
      <c r="O8" s="193">
        <v>12691.9</v>
      </c>
      <c r="P8" s="193">
        <v>0</v>
      </c>
      <c r="Q8" s="193">
        <v>0</v>
      </c>
      <c r="R8" s="193">
        <v>0</v>
      </c>
      <c r="S8" s="193">
        <v>0</v>
      </c>
      <c r="T8" s="193">
        <v>17469.419999999998</v>
      </c>
    </row>
    <row r="9" spans="1:20">
      <c r="A9" s="13">
        <v>5</v>
      </c>
      <c r="B9" s="216" t="s">
        <v>203</v>
      </c>
      <c r="C9" s="217"/>
      <c r="D9" s="200">
        <v>88</v>
      </c>
      <c r="E9" s="200">
        <v>22</v>
      </c>
      <c r="F9" s="200">
        <v>1177.375</v>
      </c>
      <c r="G9" s="201">
        <v>0</v>
      </c>
      <c r="H9" s="201">
        <v>0</v>
      </c>
      <c r="I9" s="10">
        <v>0</v>
      </c>
      <c r="J9" s="10">
        <v>0</v>
      </c>
      <c r="K9" s="11"/>
      <c r="L9" s="193">
        <v>0</v>
      </c>
      <c r="M9" s="193">
        <v>9555.0400000000009</v>
      </c>
      <c r="N9" s="193">
        <v>2388.7600000000002</v>
      </c>
      <c r="O9" s="193">
        <v>13445.62</v>
      </c>
      <c r="P9" s="193">
        <v>0</v>
      </c>
      <c r="Q9" s="193">
        <v>0</v>
      </c>
      <c r="R9" s="193">
        <v>0</v>
      </c>
      <c r="S9" s="193">
        <v>0</v>
      </c>
      <c r="T9" s="193">
        <v>25389.42</v>
      </c>
    </row>
    <row r="10" spans="1:20">
      <c r="A10" s="13">
        <v>6</v>
      </c>
      <c r="B10" s="216" t="s">
        <v>204</v>
      </c>
      <c r="C10" s="217"/>
      <c r="D10" s="200">
        <v>110</v>
      </c>
      <c r="E10" s="200">
        <v>22</v>
      </c>
      <c r="F10" s="200">
        <v>1265.375</v>
      </c>
      <c r="G10" s="201">
        <v>0</v>
      </c>
      <c r="H10" s="201">
        <v>0</v>
      </c>
      <c r="I10" s="10">
        <v>0</v>
      </c>
      <c r="J10" s="10">
        <v>0</v>
      </c>
      <c r="K10" s="11"/>
      <c r="L10" s="193">
        <v>0</v>
      </c>
      <c r="M10" s="193">
        <v>11943.8</v>
      </c>
      <c r="N10" s="193">
        <v>2388.7600000000002</v>
      </c>
      <c r="O10" s="193">
        <v>14450.58</v>
      </c>
      <c r="P10" s="193">
        <v>0</v>
      </c>
      <c r="Q10" s="193">
        <v>0</v>
      </c>
      <c r="R10" s="193">
        <v>0</v>
      </c>
      <c r="S10" s="193">
        <v>0</v>
      </c>
      <c r="T10" s="193">
        <v>28783.14</v>
      </c>
    </row>
    <row r="11" spans="1:20">
      <c r="A11" s="13">
        <v>7</v>
      </c>
      <c r="B11" s="216" t="s">
        <v>205</v>
      </c>
      <c r="C11" s="217"/>
      <c r="D11" s="200">
        <v>66</v>
      </c>
      <c r="E11" s="200">
        <v>44</v>
      </c>
      <c r="F11" s="200">
        <v>1287.375</v>
      </c>
      <c r="G11" s="201">
        <v>0</v>
      </c>
      <c r="H11" s="201">
        <v>0</v>
      </c>
      <c r="I11" s="10">
        <v>0</v>
      </c>
      <c r="J11" s="10">
        <v>0</v>
      </c>
      <c r="K11" s="11"/>
      <c r="L11" s="193">
        <v>0</v>
      </c>
      <c r="M11" s="193">
        <v>7166.28</v>
      </c>
      <c r="N11" s="193">
        <v>4777.5200000000004</v>
      </c>
      <c r="O11" s="193">
        <v>14701.82</v>
      </c>
      <c r="P11" s="193">
        <v>0</v>
      </c>
      <c r="Q11" s="193">
        <v>0</v>
      </c>
      <c r="R11" s="193">
        <v>0</v>
      </c>
      <c r="S11" s="193">
        <v>0</v>
      </c>
      <c r="T11" s="193">
        <v>26645.62</v>
      </c>
    </row>
    <row r="12" spans="1:20">
      <c r="A12" s="13">
        <v>8</v>
      </c>
      <c r="B12" s="216" t="s">
        <v>206</v>
      </c>
      <c r="C12" s="217"/>
      <c r="D12" s="200">
        <v>22</v>
      </c>
      <c r="E12" s="200">
        <v>22</v>
      </c>
      <c r="F12" s="200">
        <v>1287.375</v>
      </c>
      <c r="G12" s="201">
        <v>0</v>
      </c>
      <c r="H12" s="201">
        <v>0</v>
      </c>
      <c r="I12" s="10">
        <v>0</v>
      </c>
      <c r="J12" s="10">
        <v>0</v>
      </c>
      <c r="K12" s="11"/>
      <c r="L12" s="193">
        <v>0</v>
      </c>
      <c r="M12" s="193">
        <v>2388.7600000000002</v>
      </c>
      <c r="N12" s="193">
        <v>2388.7600000000002</v>
      </c>
      <c r="O12" s="193">
        <v>14701.82</v>
      </c>
      <c r="P12" s="193">
        <v>0</v>
      </c>
      <c r="Q12" s="193">
        <v>0</v>
      </c>
      <c r="R12" s="193">
        <v>0</v>
      </c>
      <c r="S12" s="193">
        <v>0</v>
      </c>
      <c r="T12" s="193">
        <v>19479.34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22</v>
      </c>
      <c r="F13" s="200">
        <v>1265.375</v>
      </c>
      <c r="G13" s="201">
        <v>0</v>
      </c>
      <c r="H13" s="201">
        <v>0</v>
      </c>
      <c r="I13" s="10">
        <v>0</v>
      </c>
      <c r="J13" s="10">
        <v>0</v>
      </c>
      <c r="K13" s="11"/>
      <c r="L13" s="193">
        <v>0</v>
      </c>
      <c r="M13" s="193">
        <v>0</v>
      </c>
      <c r="N13" s="193">
        <v>2388.7600000000002</v>
      </c>
      <c r="O13" s="193">
        <v>14450.58</v>
      </c>
      <c r="P13" s="193">
        <v>0</v>
      </c>
      <c r="Q13" s="193">
        <v>0</v>
      </c>
      <c r="R13" s="193">
        <v>0</v>
      </c>
      <c r="S13" s="193">
        <v>0</v>
      </c>
      <c r="T13" s="193">
        <v>16839.34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44</v>
      </c>
      <c r="F14" s="200">
        <v>1221.375</v>
      </c>
      <c r="G14" s="201">
        <v>0</v>
      </c>
      <c r="H14" s="201">
        <v>0</v>
      </c>
      <c r="I14" s="10">
        <v>0</v>
      </c>
      <c r="J14" s="10">
        <v>0</v>
      </c>
      <c r="K14" s="11"/>
      <c r="L14" s="193">
        <v>0</v>
      </c>
      <c r="M14" s="193">
        <v>0</v>
      </c>
      <c r="N14" s="193">
        <v>4777.5200000000004</v>
      </c>
      <c r="O14" s="193">
        <v>13948.1</v>
      </c>
      <c r="P14" s="193">
        <v>0</v>
      </c>
      <c r="Q14" s="193">
        <v>0</v>
      </c>
      <c r="R14" s="193">
        <v>0</v>
      </c>
      <c r="S14" s="193">
        <v>0</v>
      </c>
      <c r="T14" s="193">
        <v>18725.62</v>
      </c>
    </row>
    <row r="15" spans="1:20">
      <c r="A15" s="13">
        <v>11</v>
      </c>
      <c r="B15" s="216" t="s">
        <v>209</v>
      </c>
      <c r="C15" s="217"/>
      <c r="D15" s="200">
        <v>22</v>
      </c>
      <c r="E15" s="200">
        <v>44</v>
      </c>
      <c r="F15" s="200">
        <v>1199.375</v>
      </c>
      <c r="G15" s="201">
        <v>0</v>
      </c>
      <c r="H15" s="201">
        <v>0</v>
      </c>
      <c r="I15" s="10">
        <v>0</v>
      </c>
      <c r="J15" s="10">
        <v>0</v>
      </c>
      <c r="K15" s="11"/>
      <c r="L15" s="193">
        <v>0</v>
      </c>
      <c r="M15" s="193">
        <v>2388.7600000000002</v>
      </c>
      <c r="N15" s="193">
        <v>4777.5200000000004</v>
      </c>
      <c r="O15" s="193">
        <v>13696.86</v>
      </c>
      <c r="P15" s="193">
        <v>0</v>
      </c>
      <c r="Q15" s="193">
        <v>0</v>
      </c>
      <c r="R15" s="193">
        <v>0</v>
      </c>
      <c r="S15" s="193">
        <v>0</v>
      </c>
      <c r="T15" s="193">
        <v>20863.14</v>
      </c>
    </row>
    <row r="16" spans="1:20">
      <c r="A16" s="13">
        <v>12</v>
      </c>
      <c r="B16" s="216" t="s">
        <v>210</v>
      </c>
      <c r="C16" s="217"/>
      <c r="D16" s="200">
        <v>22</v>
      </c>
      <c r="E16" s="200">
        <v>44</v>
      </c>
      <c r="F16" s="200">
        <v>1177.375</v>
      </c>
      <c r="G16" s="201">
        <v>0</v>
      </c>
      <c r="H16" s="201">
        <v>0</v>
      </c>
      <c r="I16" s="10">
        <v>0</v>
      </c>
      <c r="J16" s="10">
        <v>0</v>
      </c>
      <c r="K16" s="16"/>
      <c r="L16" s="193">
        <v>0</v>
      </c>
      <c r="M16" s="193">
        <v>2388.7600000000002</v>
      </c>
      <c r="N16" s="193">
        <v>4777.5200000000004</v>
      </c>
      <c r="O16" s="193">
        <v>13445.62</v>
      </c>
      <c r="P16" s="193">
        <v>0</v>
      </c>
      <c r="Q16" s="193">
        <v>0</v>
      </c>
      <c r="R16" s="193">
        <v>0</v>
      </c>
      <c r="S16" s="193">
        <v>0</v>
      </c>
      <c r="T16" s="193">
        <v>20611.900000000001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44</v>
      </c>
      <c r="F17" s="200">
        <v>1133.375</v>
      </c>
      <c r="G17" s="201">
        <v>0</v>
      </c>
      <c r="H17" s="201">
        <v>0</v>
      </c>
      <c r="I17" s="10">
        <v>0</v>
      </c>
      <c r="J17" s="10">
        <v>0</v>
      </c>
      <c r="K17" s="11"/>
      <c r="L17" s="193">
        <v>0</v>
      </c>
      <c r="M17" s="193">
        <v>0</v>
      </c>
      <c r="N17" s="193">
        <v>4777.5200000000004</v>
      </c>
      <c r="O17" s="193">
        <v>12943.14</v>
      </c>
      <c r="P17" s="193">
        <v>0</v>
      </c>
      <c r="Q17" s="193">
        <v>0</v>
      </c>
      <c r="R17" s="193">
        <v>0</v>
      </c>
      <c r="S17" s="193">
        <v>0</v>
      </c>
      <c r="T17" s="193">
        <v>17720.66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44</v>
      </c>
      <c r="F18" s="200">
        <v>1089.375</v>
      </c>
      <c r="G18" s="201">
        <v>0</v>
      </c>
      <c r="H18" s="201">
        <v>0</v>
      </c>
      <c r="I18" s="10">
        <v>0</v>
      </c>
      <c r="J18" s="10">
        <v>0</v>
      </c>
      <c r="K18" s="11"/>
      <c r="L18" s="193">
        <v>0</v>
      </c>
      <c r="M18" s="193">
        <v>0</v>
      </c>
      <c r="N18" s="193">
        <v>4777.5200000000004</v>
      </c>
      <c r="O18" s="193">
        <v>12440.66</v>
      </c>
      <c r="P18" s="193">
        <v>0</v>
      </c>
      <c r="Q18" s="193">
        <v>0</v>
      </c>
      <c r="R18" s="193">
        <v>0</v>
      </c>
      <c r="S18" s="193">
        <v>0</v>
      </c>
      <c r="T18" s="193">
        <v>17218.18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66</v>
      </c>
      <c r="F19" s="200">
        <v>1023.375</v>
      </c>
      <c r="G19" s="201">
        <v>0</v>
      </c>
      <c r="H19" s="201">
        <v>0</v>
      </c>
      <c r="I19" s="10">
        <v>0</v>
      </c>
      <c r="J19" s="10">
        <v>0</v>
      </c>
      <c r="K19" s="11"/>
      <c r="L19" s="193">
        <v>0</v>
      </c>
      <c r="M19" s="193">
        <v>0</v>
      </c>
      <c r="N19" s="193">
        <v>7166.28</v>
      </c>
      <c r="O19" s="193">
        <v>11686.94</v>
      </c>
      <c r="P19" s="193">
        <v>0</v>
      </c>
      <c r="Q19" s="193">
        <v>0</v>
      </c>
      <c r="R19" s="193">
        <v>0</v>
      </c>
      <c r="S19" s="193">
        <v>0</v>
      </c>
      <c r="T19" s="193">
        <v>18853.22</v>
      </c>
    </row>
    <row r="20" spans="1:20">
      <c r="A20" s="13">
        <v>16</v>
      </c>
      <c r="B20" s="216" t="s">
        <v>214</v>
      </c>
      <c r="C20" s="217"/>
      <c r="D20" s="200">
        <v>42.5</v>
      </c>
      <c r="E20" s="200">
        <v>44</v>
      </c>
      <c r="F20" s="200">
        <v>1021.875</v>
      </c>
      <c r="G20" s="201">
        <v>0</v>
      </c>
      <c r="H20" s="201">
        <v>0</v>
      </c>
      <c r="I20" s="10">
        <v>0</v>
      </c>
      <c r="J20" s="10">
        <v>0</v>
      </c>
      <c r="K20" s="11"/>
      <c r="L20" s="193">
        <v>0</v>
      </c>
      <c r="M20" s="193">
        <v>4614.6499999999996</v>
      </c>
      <c r="N20" s="193">
        <v>4777.5200000000004</v>
      </c>
      <c r="O20" s="193">
        <v>11669.81</v>
      </c>
      <c r="P20" s="193">
        <v>0</v>
      </c>
      <c r="Q20" s="193">
        <v>0</v>
      </c>
      <c r="R20" s="193">
        <v>0</v>
      </c>
      <c r="S20" s="193">
        <v>0</v>
      </c>
      <c r="T20" s="193">
        <v>21061.98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66</v>
      </c>
      <c r="F21" s="200">
        <v>955.875</v>
      </c>
      <c r="G21" s="201">
        <v>0</v>
      </c>
      <c r="H21" s="201">
        <v>0</v>
      </c>
      <c r="I21" s="10">
        <v>0</v>
      </c>
      <c r="J21" s="10">
        <v>0</v>
      </c>
      <c r="K21" s="11"/>
      <c r="L21" s="193">
        <v>0</v>
      </c>
      <c r="M21" s="193">
        <v>0</v>
      </c>
      <c r="N21" s="193">
        <v>7166.28</v>
      </c>
      <c r="O21" s="193">
        <v>10916.09</v>
      </c>
      <c r="P21" s="193">
        <v>0</v>
      </c>
      <c r="Q21" s="193">
        <v>0</v>
      </c>
      <c r="R21" s="193">
        <v>0</v>
      </c>
      <c r="S21" s="193">
        <v>0</v>
      </c>
      <c r="T21" s="193">
        <v>18082.37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22</v>
      </c>
      <c r="F22" s="200">
        <v>933.875</v>
      </c>
      <c r="G22" s="201">
        <v>0</v>
      </c>
      <c r="H22" s="201">
        <v>0</v>
      </c>
      <c r="I22" s="10">
        <v>0</v>
      </c>
      <c r="J22" s="10">
        <v>0</v>
      </c>
      <c r="K22" s="11"/>
      <c r="L22" s="193">
        <v>0</v>
      </c>
      <c r="M22" s="193">
        <v>0</v>
      </c>
      <c r="N22" s="193">
        <v>2388.7600000000002</v>
      </c>
      <c r="O22" s="193">
        <v>10664.85</v>
      </c>
      <c r="P22" s="193">
        <v>0</v>
      </c>
      <c r="Q22" s="193">
        <v>0</v>
      </c>
      <c r="R22" s="193">
        <v>0</v>
      </c>
      <c r="S22" s="193">
        <v>0</v>
      </c>
      <c r="T22" s="193">
        <v>13053.61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65.375</v>
      </c>
      <c r="F23" s="200">
        <v>868.5</v>
      </c>
      <c r="G23" s="201">
        <v>0</v>
      </c>
      <c r="H23" s="201">
        <v>0</v>
      </c>
      <c r="I23" s="10">
        <v>0</v>
      </c>
      <c r="J23" s="10">
        <v>0</v>
      </c>
      <c r="K23" s="11"/>
      <c r="L23" s="193">
        <v>0</v>
      </c>
      <c r="M23" s="193">
        <v>0</v>
      </c>
      <c r="N23" s="193">
        <v>7098.42</v>
      </c>
      <c r="O23" s="193">
        <v>9918.27</v>
      </c>
      <c r="P23" s="193">
        <v>0</v>
      </c>
      <c r="Q23" s="193">
        <v>0</v>
      </c>
      <c r="R23" s="193">
        <v>0</v>
      </c>
      <c r="S23" s="193">
        <v>0</v>
      </c>
      <c r="T23" s="193">
        <v>17016.689999999999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22</v>
      </c>
      <c r="F24" s="200">
        <v>846.5</v>
      </c>
      <c r="G24" s="201">
        <v>0</v>
      </c>
      <c r="H24" s="201">
        <v>0</v>
      </c>
      <c r="I24" s="10">
        <v>0</v>
      </c>
      <c r="J24" s="10">
        <v>0</v>
      </c>
      <c r="K24" s="11"/>
      <c r="L24" s="193">
        <v>0</v>
      </c>
      <c r="M24" s="193">
        <v>0</v>
      </c>
      <c r="N24" s="193">
        <v>2388.7600000000002</v>
      </c>
      <c r="O24" s="193">
        <v>9667.0300000000007</v>
      </c>
      <c r="P24" s="193">
        <v>0</v>
      </c>
      <c r="Q24" s="193">
        <v>0</v>
      </c>
      <c r="R24" s="193">
        <v>0</v>
      </c>
      <c r="S24" s="193">
        <v>0</v>
      </c>
      <c r="T24" s="193">
        <v>12055.79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66</v>
      </c>
      <c r="F25" s="200">
        <v>780.5</v>
      </c>
      <c r="G25" s="201">
        <v>0</v>
      </c>
      <c r="H25" s="201">
        <v>0</v>
      </c>
      <c r="I25" s="10">
        <v>0</v>
      </c>
      <c r="J25" s="10">
        <v>0</v>
      </c>
      <c r="K25" s="11"/>
      <c r="L25" s="193">
        <v>0</v>
      </c>
      <c r="M25" s="193">
        <v>0</v>
      </c>
      <c r="N25" s="193">
        <v>7166.28</v>
      </c>
      <c r="O25" s="193">
        <v>8913.31</v>
      </c>
      <c r="P25" s="193">
        <v>0</v>
      </c>
      <c r="Q25" s="193">
        <v>0</v>
      </c>
      <c r="R25" s="193">
        <v>0</v>
      </c>
      <c r="S25" s="193">
        <v>0</v>
      </c>
      <c r="T25" s="193">
        <v>16079.59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43.25</v>
      </c>
      <c r="F26" s="200">
        <v>737.25</v>
      </c>
      <c r="G26" s="201">
        <v>0</v>
      </c>
      <c r="H26" s="201">
        <v>0</v>
      </c>
      <c r="I26" s="10">
        <v>0</v>
      </c>
      <c r="J26" s="10">
        <v>0</v>
      </c>
      <c r="K26" s="11"/>
      <c r="L26" s="193">
        <v>0</v>
      </c>
      <c r="M26" s="193">
        <v>0</v>
      </c>
      <c r="N26" s="193">
        <v>4696.09</v>
      </c>
      <c r="O26" s="193">
        <v>8419.4</v>
      </c>
      <c r="P26" s="193">
        <v>0</v>
      </c>
      <c r="Q26" s="193">
        <v>0</v>
      </c>
      <c r="R26" s="193">
        <v>0</v>
      </c>
      <c r="S26" s="193">
        <v>0</v>
      </c>
      <c r="T26" s="193">
        <v>13115.48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44</v>
      </c>
      <c r="F27" s="200">
        <v>693.25</v>
      </c>
      <c r="G27" s="201">
        <v>0</v>
      </c>
      <c r="H27" s="201">
        <v>0</v>
      </c>
      <c r="I27" s="10">
        <v>0</v>
      </c>
      <c r="J27" s="10">
        <v>0</v>
      </c>
      <c r="K27" s="11"/>
      <c r="L27" s="193">
        <v>0</v>
      </c>
      <c r="M27" s="193">
        <v>0</v>
      </c>
      <c r="N27" s="193">
        <v>4777.5200000000004</v>
      </c>
      <c r="O27" s="193">
        <v>7916.92</v>
      </c>
      <c r="P27" s="193">
        <v>0</v>
      </c>
      <c r="Q27" s="193">
        <v>0</v>
      </c>
      <c r="R27" s="193">
        <v>0</v>
      </c>
      <c r="S27" s="193">
        <v>0</v>
      </c>
      <c r="T27" s="193">
        <v>12694.44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22</v>
      </c>
      <c r="F28" s="200">
        <v>671.25</v>
      </c>
      <c r="G28" s="201">
        <v>0</v>
      </c>
      <c r="H28" s="201">
        <v>0</v>
      </c>
      <c r="I28" s="10">
        <v>0</v>
      </c>
      <c r="J28" s="10">
        <v>0</v>
      </c>
      <c r="K28" s="11"/>
      <c r="L28" s="193">
        <v>0</v>
      </c>
      <c r="M28" s="193">
        <v>0</v>
      </c>
      <c r="N28" s="193">
        <v>2388.7600000000002</v>
      </c>
      <c r="O28" s="193">
        <v>7665.68</v>
      </c>
      <c r="P28" s="193">
        <v>0</v>
      </c>
      <c r="Q28" s="193">
        <v>0</v>
      </c>
      <c r="R28" s="193">
        <v>0</v>
      </c>
      <c r="S28" s="193">
        <v>0</v>
      </c>
      <c r="T28" s="193">
        <v>10054.44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21.25</v>
      </c>
      <c r="F29" s="200">
        <v>650</v>
      </c>
      <c r="G29" s="201">
        <v>0</v>
      </c>
      <c r="H29" s="201">
        <v>0</v>
      </c>
      <c r="I29" s="10">
        <v>0</v>
      </c>
      <c r="J29" s="10">
        <v>0</v>
      </c>
      <c r="K29" s="11"/>
      <c r="L29" s="193">
        <v>0</v>
      </c>
      <c r="M29" s="193">
        <v>0</v>
      </c>
      <c r="N29" s="193">
        <v>2307.33</v>
      </c>
      <c r="O29" s="193">
        <v>7423</v>
      </c>
      <c r="P29" s="193">
        <v>0</v>
      </c>
      <c r="Q29" s="193">
        <v>0</v>
      </c>
      <c r="R29" s="193">
        <v>0</v>
      </c>
      <c r="S29" s="193">
        <v>0</v>
      </c>
      <c r="T29" s="193">
        <v>9730.33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43.25</v>
      </c>
      <c r="F30" s="200">
        <v>606.75</v>
      </c>
      <c r="G30" s="201">
        <v>0</v>
      </c>
      <c r="H30" s="201">
        <v>0</v>
      </c>
      <c r="I30" s="10">
        <v>0</v>
      </c>
      <c r="J30" s="10">
        <v>0</v>
      </c>
      <c r="K30" s="11"/>
      <c r="L30" s="193">
        <v>0</v>
      </c>
      <c r="M30" s="193">
        <v>0</v>
      </c>
      <c r="N30" s="193">
        <v>4696.09</v>
      </c>
      <c r="O30" s="193">
        <v>6929.09</v>
      </c>
      <c r="P30" s="193">
        <v>0</v>
      </c>
      <c r="Q30" s="193">
        <v>0</v>
      </c>
      <c r="R30" s="193">
        <v>0</v>
      </c>
      <c r="S30" s="193">
        <v>0</v>
      </c>
      <c r="T30" s="193">
        <v>11625.17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43.375</v>
      </c>
      <c r="F31" s="200">
        <v>563.375</v>
      </c>
      <c r="G31" s="201">
        <v>0</v>
      </c>
      <c r="H31" s="201">
        <v>0</v>
      </c>
      <c r="I31" s="10">
        <v>0</v>
      </c>
      <c r="J31" s="10">
        <v>0</v>
      </c>
      <c r="K31" s="11"/>
      <c r="L31" s="193">
        <v>0</v>
      </c>
      <c r="M31" s="193">
        <v>0</v>
      </c>
      <c r="N31" s="193">
        <v>4709.66</v>
      </c>
      <c r="O31" s="193">
        <v>6433.74</v>
      </c>
      <c r="P31" s="193">
        <v>0</v>
      </c>
      <c r="Q31" s="193">
        <v>0</v>
      </c>
      <c r="R31" s="193">
        <v>0</v>
      </c>
      <c r="S31" s="193">
        <v>0</v>
      </c>
      <c r="T31" s="193">
        <v>11143.4</v>
      </c>
    </row>
    <row r="32" spans="1:20">
      <c r="A32" s="13">
        <v>28</v>
      </c>
      <c r="B32" s="216" t="s">
        <v>226</v>
      </c>
      <c r="C32" s="217"/>
      <c r="D32" s="200">
        <v>22</v>
      </c>
      <c r="E32" s="200">
        <v>0</v>
      </c>
      <c r="F32" s="200">
        <v>585.375</v>
      </c>
      <c r="G32" s="201">
        <v>0</v>
      </c>
      <c r="H32" s="201">
        <v>0</v>
      </c>
      <c r="I32" s="10">
        <v>0</v>
      </c>
      <c r="J32" s="10">
        <v>0</v>
      </c>
      <c r="K32" s="11"/>
      <c r="L32" s="193">
        <v>0</v>
      </c>
      <c r="M32" s="193">
        <v>2388.7600000000002</v>
      </c>
      <c r="N32" s="193">
        <v>0</v>
      </c>
      <c r="O32" s="193">
        <v>6684.98</v>
      </c>
      <c r="P32" s="193">
        <v>0</v>
      </c>
      <c r="Q32" s="193">
        <v>0</v>
      </c>
      <c r="R32" s="193">
        <v>0</v>
      </c>
      <c r="S32" s="193">
        <v>0</v>
      </c>
      <c r="T32" s="193">
        <v>9073.74</v>
      </c>
    </row>
    <row r="33" spans="1:20">
      <c r="A33" s="13">
        <v>29</v>
      </c>
      <c r="B33" s="216" t="s">
        <v>227</v>
      </c>
      <c r="C33" s="217"/>
      <c r="D33" s="200">
        <v>44</v>
      </c>
      <c r="E33" s="200">
        <v>0</v>
      </c>
      <c r="F33" s="200">
        <v>629.375</v>
      </c>
      <c r="G33" s="201">
        <v>0</v>
      </c>
      <c r="H33" s="201">
        <v>0</v>
      </c>
      <c r="I33" s="10">
        <v>0</v>
      </c>
      <c r="J33" s="10">
        <v>0</v>
      </c>
      <c r="K33" s="11"/>
      <c r="L33" s="193">
        <v>0</v>
      </c>
      <c r="M33" s="193">
        <v>4777.5200000000004</v>
      </c>
      <c r="N33" s="193">
        <v>0</v>
      </c>
      <c r="O33" s="193">
        <v>7187.46</v>
      </c>
      <c r="P33" s="193">
        <v>0</v>
      </c>
      <c r="Q33" s="193">
        <v>0</v>
      </c>
      <c r="R33" s="193">
        <v>0</v>
      </c>
      <c r="S33" s="193">
        <v>0</v>
      </c>
      <c r="T33" s="193">
        <v>11964.98</v>
      </c>
    </row>
    <row r="34" spans="1:20">
      <c r="A34" s="13">
        <v>30</v>
      </c>
      <c r="B34" s="216" t="s">
        <v>228</v>
      </c>
      <c r="C34" s="217"/>
      <c r="D34" s="200">
        <v>22</v>
      </c>
      <c r="E34" s="200">
        <v>0</v>
      </c>
      <c r="F34" s="200">
        <v>651.375</v>
      </c>
      <c r="G34" s="201">
        <v>0</v>
      </c>
      <c r="H34" s="201">
        <v>0</v>
      </c>
      <c r="I34" s="10">
        <v>0</v>
      </c>
      <c r="J34" s="10">
        <v>0</v>
      </c>
      <c r="K34" s="11"/>
      <c r="L34" s="193">
        <v>0</v>
      </c>
      <c r="M34" s="193">
        <v>2388.7600000000002</v>
      </c>
      <c r="N34" s="193">
        <v>0</v>
      </c>
      <c r="O34" s="193">
        <v>7438.7</v>
      </c>
      <c r="P34" s="193">
        <v>0</v>
      </c>
      <c r="Q34" s="193">
        <v>0</v>
      </c>
      <c r="R34" s="193">
        <v>0</v>
      </c>
      <c r="S34" s="193">
        <v>0</v>
      </c>
      <c r="T34" s="193">
        <v>9827.4599999999991</v>
      </c>
    </row>
    <row r="35" spans="1:20">
      <c r="A35" s="13">
        <v>31</v>
      </c>
      <c r="B35" s="216" t="s">
        <v>229</v>
      </c>
      <c r="C35" s="217"/>
      <c r="D35" s="200">
        <v>44</v>
      </c>
      <c r="E35" s="200">
        <v>64.75</v>
      </c>
      <c r="F35" s="200">
        <v>630.625</v>
      </c>
      <c r="G35" s="201">
        <v>0</v>
      </c>
      <c r="H35" s="201">
        <v>0</v>
      </c>
      <c r="I35" s="10">
        <v>0</v>
      </c>
      <c r="J35" s="10">
        <v>0</v>
      </c>
      <c r="K35" s="11"/>
      <c r="L35" s="193">
        <v>0</v>
      </c>
      <c r="M35" s="193">
        <v>4777.5200000000004</v>
      </c>
      <c r="N35" s="193">
        <v>7030.56</v>
      </c>
      <c r="O35" s="193">
        <v>7201.74</v>
      </c>
      <c r="P35" s="193">
        <v>0</v>
      </c>
      <c r="Q35" s="193">
        <v>0</v>
      </c>
      <c r="R35" s="193">
        <v>0</v>
      </c>
      <c r="S35" s="193">
        <v>0</v>
      </c>
      <c r="T35" s="193">
        <v>19009.810000000001</v>
      </c>
    </row>
    <row r="36" spans="1:20">
      <c r="D36" s="18">
        <v>592.5</v>
      </c>
      <c r="E36" s="18">
        <v>985.25</v>
      </c>
      <c r="F36" s="18">
        <v>29178.375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4">
        <v>0</v>
      </c>
      <c r="M36" s="194">
        <v>64333.65</v>
      </c>
      <c r="N36" s="194">
        <v>106978.45</v>
      </c>
      <c r="O36" s="194">
        <v>333217.03999999998</v>
      </c>
      <c r="P36" s="194">
        <v>0</v>
      </c>
      <c r="Q36" s="194">
        <v>0</v>
      </c>
      <c r="R36" s="194">
        <v>0</v>
      </c>
      <c r="S36" s="194">
        <v>0</v>
      </c>
      <c r="T36" s="194">
        <v>504529.14</v>
      </c>
    </row>
    <row r="37" spans="1:20">
      <c r="R37" s="21"/>
      <c r="S37" s="21"/>
      <c r="T37" s="195">
        <v>615525.55000000005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BFFC-1AE2-49A2-A50B-5209F3A71297}">
  <sheetPr codeName="Лист35">
    <pageSetUpPr fitToPage="1"/>
  </sheetPr>
  <dimension ref="A1:T37"/>
  <sheetViews>
    <sheetView topLeftCell="A13" workbookViewId="0">
      <selection activeCell="O37" sqref="O37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8984375" style="2" customWidth="1"/>
    <col min="14" max="14" width="9.5" style="2" customWidth="1"/>
    <col min="15" max="15" width="12.296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280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281</v>
      </c>
      <c r="H3" s="209" t="s">
        <v>6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282</v>
      </c>
      <c r="N3" s="209" t="s">
        <v>283</v>
      </c>
      <c r="O3" s="209" t="s">
        <v>284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9466.5619999999999</v>
      </c>
      <c r="G5" s="201">
        <v>0</v>
      </c>
      <c r="H5" s="201">
        <v>0</v>
      </c>
      <c r="I5" s="10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0</v>
      </c>
      <c r="P5" s="193">
        <v>0</v>
      </c>
      <c r="Q5" s="193">
        <v>0</v>
      </c>
      <c r="R5" s="193">
        <v>0</v>
      </c>
      <c r="S5" s="193">
        <v>0</v>
      </c>
      <c r="T5" s="193">
        <v>0</v>
      </c>
    </row>
    <row r="6" spans="1:20">
      <c r="A6" s="13">
        <v>2</v>
      </c>
      <c r="B6" s="216" t="s">
        <v>200</v>
      </c>
      <c r="C6" s="217"/>
      <c r="D6" s="200">
        <v>396</v>
      </c>
      <c r="E6" s="200">
        <v>22</v>
      </c>
      <c r="F6" s="200">
        <v>9840.5619999999999</v>
      </c>
      <c r="G6" s="201">
        <v>0</v>
      </c>
      <c r="H6" s="201">
        <v>0</v>
      </c>
      <c r="I6" s="10">
        <v>0</v>
      </c>
      <c r="J6" s="11">
        <v>0</v>
      </c>
      <c r="K6" s="11"/>
      <c r="L6" s="193">
        <v>0</v>
      </c>
      <c r="M6" s="193">
        <v>0</v>
      </c>
      <c r="N6" s="193">
        <v>0</v>
      </c>
      <c r="O6" s="193">
        <v>0</v>
      </c>
      <c r="P6" s="193">
        <v>0</v>
      </c>
      <c r="Q6" s="193">
        <v>0</v>
      </c>
      <c r="R6" s="193">
        <v>0</v>
      </c>
      <c r="S6" s="193">
        <v>0</v>
      </c>
      <c r="T6" s="193">
        <v>0</v>
      </c>
    </row>
    <row r="7" spans="1:20">
      <c r="A7" s="13">
        <v>3</v>
      </c>
      <c r="B7" s="216" t="s">
        <v>201</v>
      </c>
      <c r="C7" s="217"/>
      <c r="D7" s="200">
        <v>415.5</v>
      </c>
      <c r="E7" s="200">
        <v>22</v>
      </c>
      <c r="F7" s="200">
        <v>10234.062</v>
      </c>
      <c r="G7" s="201">
        <v>0</v>
      </c>
      <c r="H7" s="201">
        <v>0</v>
      </c>
      <c r="I7" s="10">
        <v>0</v>
      </c>
      <c r="J7" s="11">
        <v>0</v>
      </c>
      <c r="K7" s="11"/>
      <c r="L7" s="193">
        <v>0</v>
      </c>
      <c r="M7" s="193">
        <v>0</v>
      </c>
      <c r="N7" s="193">
        <v>0</v>
      </c>
      <c r="O7" s="193">
        <v>0</v>
      </c>
      <c r="P7" s="193">
        <v>0</v>
      </c>
      <c r="Q7" s="193">
        <v>0</v>
      </c>
      <c r="R7" s="193">
        <v>0</v>
      </c>
      <c r="S7" s="193">
        <v>0</v>
      </c>
      <c r="T7" s="193">
        <v>0</v>
      </c>
    </row>
    <row r="8" spans="1:20">
      <c r="A8" s="13">
        <v>4</v>
      </c>
      <c r="B8" s="216" t="s">
        <v>202</v>
      </c>
      <c r="C8" s="217"/>
      <c r="D8" s="200">
        <v>413</v>
      </c>
      <c r="E8" s="200">
        <v>0</v>
      </c>
      <c r="F8" s="200">
        <v>10647.062</v>
      </c>
      <c r="G8" s="201">
        <v>0</v>
      </c>
      <c r="H8" s="201">
        <v>0</v>
      </c>
      <c r="I8" s="10">
        <v>0</v>
      </c>
      <c r="J8" s="11">
        <v>0</v>
      </c>
      <c r="K8" s="11"/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</row>
    <row r="9" spans="1:20">
      <c r="A9" s="13">
        <v>5</v>
      </c>
      <c r="B9" s="216" t="s">
        <v>203</v>
      </c>
      <c r="C9" s="217"/>
      <c r="D9" s="200">
        <v>501.625</v>
      </c>
      <c r="E9" s="200">
        <v>44</v>
      </c>
      <c r="F9" s="200">
        <v>11104.687</v>
      </c>
      <c r="G9" s="201">
        <v>0</v>
      </c>
      <c r="H9" s="201">
        <v>0</v>
      </c>
      <c r="I9" s="10">
        <v>0</v>
      </c>
      <c r="J9" s="11">
        <v>0</v>
      </c>
      <c r="K9" s="11"/>
      <c r="L9" s="193">
        <v>0</v>
      </c>
      <c r="M9" s="193">
        <v>0</v>
      </c>
      <c r="N9" s="193">
        <v>0</v>
      </c>
      <c r="O9" s="193">
        <v>0</v>
      </c>
      <c r="P9" s="193">
        <v>0</v>
      </c>
      <c r="Q9" s="193">
        <v>0</v>
      </c>
      <c r="R9" s="193">
        <v>0</v>
      </c>
      <c r="S9" s="193">
        <v>0</v>
      </c>
      <c r="T9" s="193">
        <v>0</v>
      </c>
    </row>
    <row r="10" spans="1:20">
      <c r="A10" s="13">
        <v>6</v>
      </c>
      <c r="B10" s="216" t="s">
        <v>204</v>
      </c>
      <c r="C10" s="217"/>
      <c r="D10" s="200">
        <v>848.625</v>
      </c>
      <c r="E10" s="200">
        <v>44</v>
      </c>
      <c r="F10" s="200">
        <v>11909.312</v>
      </c>
      <c r="G10" s="201">
        <v>0</v>
      </c>
      <c r="H10" s="201">
        <v>0</v>
      </c>
      <c r="I10" s="10">
        <v>0</v>
      </c>
      <c r="J10" s="11">
        <v>0</v>
      </c>
      <c r="K10" s="11"/>
      <c r="L10" s="193">
        <v>0</v>
      </c>
      <c r="M10" s="193">
        <v>0</v>
      </c>
      <c r="N10" s="193">
        <v>0</v>
      </c>
      <c r="O10" s="193">
        <v>0</v>
      </c>
      <c r="P10" s="193">
        <v>0</v>
      </c>
      <c r="Q10" s="193">
        <v>0</v>
      </c>
      <c r="R10" s="193">
        <v>0</v>
      </c>
      <c r="S10" s="193">
        <v>0</v>
      </c>
      <c r="T10" s="193">
        <v>0</v>
      </c>
    </row>
    <row r="11" spans="1:20">
      <c r="A11" s="13">
        <v>7</v>
      </c>
      <c r="B11" s="216" t="s">
        <v>205</v>
      </c>
      <c r="C11" s="217"/>
      <c r="D11" s="200">
        <v>637.375</v>
      </c>
      <c r="E11" s="200">
        <v>22</v>
      </c>
      <c r="F11" s="200">
        <v>12524.687</v>
      </c>
      <c r="G11" s="201">
        <v>0</v>
      </c>
      <c r="H11" s="201">
        <v>0</v>
      </c>
      <c r="I11" s="10">
        <v>0</v>
      </c>
      <c r="J11" s="11">
        <v>0</v>
      </c>
      <c r="K11" s="11"/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</row>
    <row r="12" spans="1:20">
      <c r="A12" s="13">
        <v>8</v>
      </c>
      <c r="B12" s="216" t="s">
        <v>206</v>
      </c>
      <c r="C12" s="217"/>
      <c r="D12" s="200">
        <v>374</v>
      </c>
      <c r="E12" s="200">
        <v>66</v>
      </c>
      <c r="F12" s="200">
        <v>12832.687</v>
      </c>
      <c r="G12" s="201">
        <v>0</v>
      </c>
      <c r="H12" s="201">
        <v>0</v>
      </c>
      <c r="I12" s="10">
        <v>0</v>
      </c>
      <c r="J12" s="11">
        <v>0</v>
      </c>
      <c r="K12" s="11"/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</row>
    <row r="13" spans="1:20">
      <c r="A13" s="13">
        <v>9</v>
      </c>
      <c r="B13" s="216" t="s">
        <v>207</v>
      </c>
      <c r="C13" s="217"/>
      <c r="D13" s="200">
        <v>484</v>
      </c>
      <c r="E13" s="200">
        <v>0</v>
      </c>
      <c r="F13" s="200">
        <v>13316.687</v>
      </c>
      <c r="G13" s="201">
        <v>0</v>
      </c>
      <c r="H13" s="201">
        <v>0</v>
      </c>
      <c r="I13" s="10">
        <v>0</v>
      </c>
      <c r="J13" s="11">
        <v>0</v>
      </c>
      <c r="K13" s="11"/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</row>
    <row r="14" spans="1:20">
      <c r="A14" s="13">
        <v>10</v>
      </c>
      <c r="B14" s="216" t="s">
        <v>208</v>
      </c>
      <c r="C14" s="217"/>
      <c r="D14" s="200">
        <v>88</v>
      </c>
      <c r="E14" s="200">
        <v>110</v>
      </c>
      <c r="F14" s="200">
        <v>13294.687</v>
      </c>
      <c r="G14" s="201">
        <v>0</v>
      </c>
      <c r="H14" s="201">
        <v>0</v>
      </c>
      <c r="I14" s="10">
        <v>0</v>
      </c>
      <c r="J14" s="11">
        <v>0</v>
      </c>
      <c r="K14" s="11"/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</row>
    <row r="15" spans="1:20">
      <c r="A15" s="13">
        <v>11</v>
      </c>
      <c r="B15" s="216" t="s">
        <v>209</v>
      </c>
      <c r="C15" s="217"/>
      <c r="D15" s="200">
        <v>44</v>
      </c>
      <c r="E15" s="200">
        <v>88</v>
      </c>
      <c r="F15" s="200">
        <v>13250.687</v>
      </c>
      <c r="G15" s="201">
        <v>0</v>
      </c>
      <c r="H15" s="201">
        <v>0</v>
      </c>
      <c r="I15" s="10">
        <v>0</v>
      </c>
      <c r="J15" s="11">
        <v>0</v>
      </c>
      <c r="K15" s="11"/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</row>
    <row r="16" spans="1:20">
      <c r="A16" s="13">
        <v>12</v>
      </c>
      <c r="B16" s="216" t="s">
        <v>210</v>
      </c>
      <c r="C16" s="217"/>
      <c r="D16" s="200">
        <v>264</v>
      </c>
      <c r="E16" s="200">
        <v>176</v>
      </c>
      <c r="F16" s="200">
        <v>13338.687</v>
      </c>
      <c r="G16" s="201">
        <v>0</v>
      </c>
      <c r="H16" s="201">
        <v>0</v>
      </c>
      <c r="I16" s="10">
        <v>0</v>
      </c>
      <c r="J16" s="11">
        <v>0</v>
      </c>
      <c r="K16" s="16"/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</row>
    <row r="17" spans="1:20">
      <c r="A17" s="13">
        <v>13</v>
      </c>
      <c r="B17" s="216" t="s">
        <v>211</v>
      </c>
      <c r="C17" s="217"/>
      <c r="D17" s="200">
        <v>242</v>
      </c>
      <c r="E17" s="200">
        <v>287.375</v>
      </c>
      <c r="F17" s="200">
        <v>13293.312</v>
      </c>
      <c r="G17" s="201">
        <v>0</v>
      </c>
      <c r="H17" s="201">
        <v>0</v>
      </c>
      <c r="I17" s="10">
        <v>0</v>
      </c>
      <c r="J17" s="11">
        <v>0</v>
      </c>
      <c r="K17" s="11"/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</row>
    <row r="18" spans="1:20">
      <c r="A18" s="13">
        <v>14</v>
      </c>
      <c r="B18" s="216" t="s">
        <v>212</v>
      </c>
      <c r="C18" s="217"/>
      <c r="D18" s="200">
        <v>221.45</v>
      </c>
      <c r="E18" s="200">
        <v>376.75</v>
      </c>
      <c r="F18" s="200">
        <v>13138.012000000001</v>
      </c>
      <c r="G18" s="201">
        <v>0</v>
      </c>
      <c r="H18" s="201">
        <v>0</v>
      </c>
      <c r="I18" s="10">
        <v>0</v>
      </c>
      <c r="J18" s="11">
        <v>0</v>
      </c>
      <c r="K18" s="11"/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170.5</v>
      </c>
      <c r="F19" s="200">
        <v>12967.512000000001</v>
      </c>
      <c r="G19" s="201">
        <v>0</v>
      </c>
      <c r="H19" s="201">
        <v>0</v>
      </c>
      <c r="I19" s="10">
        <v>0</v>
      </c>
      <c r="J19" s="11">
        <v>0</v>
      </c>
      <c r="K19" s="11"/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</row>
    <row r="20" spans="1:20">
      <c r="A20" s="13">
        <v>16</v>
      </c>
      <c r="B20" s="216" t="s">
        <v>214</v>
      </c>
      <c r="C20" s="217"/>
      <c r="D20" s="200">
        <v>110</v>
      </c>
      <c r="E20" s="200">
        <v>321.125</v>
      </c>
      <c r="F20" s="200">
        <v>12756.387000000001</v>
      </c>
      <c r="G20" s="201">
        <v>0</v>
      </c>
      <c r="H20" s="201">
        <v>0</v>
      </c>
      <c r="I20" s="10">
        <v>0</v>
      </c>
      <c r="J20" s="11">
        <v>0</v>
      </c>
      <c r="K20" s="11"/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</row>
    <row r="21" spans="1:20">
      <c r="A21" s="13">
        <v>17</v>
      </c>
      <c r="B21" s="216" t="s">
        <v>215</v>
      </c>
      <c r="C21" s="217"/>
      <c r="D21" s="200">
        <v>217.5</v>
      </c>
      <c r="E21" s="200">
        <v>364.375</v>
      </c>
      <c r="F21" s="200">
        <v>12609.512000000001</v>
      </c>
      <c r="G21" s="201">
        <v>0</v>
      </c>
      <c r="H21" s="201">
        <v>0</v>
      </c>
      <c r="I21" s="10">
        <v>0</v>
      </c>
      <c r="J21" s="11">
        <v>0</v>
      </c>
      <c r="K21" s="11"/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</row>
    <row r="22" spans="1:20">
      <c r="A22" s="13">
        <v>18</v>
      </c>
      <c r="B22" s="216" t="s">
        <v>216</v>
      </c>
      <c r="C22" s="217"/>
      <c r="D22" s="200">
        <v>457.625</v>
      </c>
      <c r="E22" s="200">
        <v>220</v>
      </c>
      <c r="F22" s="200">
        <v>12847.137000000001</v>
      </c>
      <c r="G22" s="201">
        <v>0</v>
      </c>
      <c r="H22" s="201">
        <v>0</v>
      </c>
      <c r="I22" s="10">
        <v>0</v>
      </c>
      <c r="J22" s="11">
        <v>0</v>
      </c>
      <c r="K22" s="11"/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</row>
    <row r="23" spans="1:20">
      <c r="A23" s="13">
        <v>19</v>
      </c>
      <c r="B23" s="216" t="s">
        <v>217</v>
      </c>
      <c r="C23" s="217"/>
      <c r="D23" s="200">
        <v>458.25</v>
      </c>
      <c r="E23" s="200">
        <v>321.125</v>
      </c>
      <c r="F23" s="200">
        <v>12984.262000000001</v>
      </c>
      <c r="G23" s="201">
        <v>0</v>
      </c>
      <c r="H23" s="201">
        <v>0</v>
      </c>
      <c r="I23" s="10">
        <v>0</v>
      </c>
      <c r="J23" s="11">
        <v>0</v>
      </c>
      <c r="K23" s="11"/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</row>
    <row r="24" spans="1:20">
      <c r="A24" s="13">
        <v>20</v>
      </c>
      <c r="B24" s="216" t="s">
        <v>218</v>
      </c>
      <c r="C24" s="217"/>
      <c r="D24" s="200">
        <v>193.625</v>
      </c>
      <c r="E24" s="200">
        <v>393.5</v>
      </c>
      <c r="F24" s="200">
        <v>12784.387000000001</v>
      </c>
      <c r="G24" s="201">
        <v>0</v>
      </c>
      <c r="H24" s="201">
        <v>0</v>
      </c>
      <c r="I24" s="10">
        <v>0</v>
      </c>
      <c r="J24" s="11">
        <v>0</v>
      </c>
      <c r="K24" s="11"/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</row>
    <row r="25" spans="1:20">
      <c r="A25" s="13">
        <v>21</v>
      </c>
      <c r="B25" s="216" t="s">
        <v>219</v>
      </c>
      <c r="C25" s="217"/>
      <c r="D25" s="200">
        <v>21.375</v>
      </c>
      <c r="E25" s="200">
        <v>455.15</v>
      </c>
      <c r="F25" s="200">
        <v>12350.611999999999</v>
      </c>
      <c r="G25" s="201">
        <v>0</v>
      </c>
      <c r="H25" s="201">
        <v>0</v>
      </c>
      <c r="I25" s="10">
        <v>0</v>
      </c>
      <c r="J25" s="11">
        <v>0</v>
      </c>
      <c r="K25" s="11"/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</row>
    <row r="26" spans="1:20">
      <c r="A26" s="13">
        <v>22</v>
      </c>
      <c r="B26" s="216" t="s">
        <v>220</v>
      </c>
      <c r="C26" s="217"/>
      <c r="D26" s="200">
        <v>154</v>
      </c>
      <c r="E26" s="200">
        <v>262.625</v>
      </c>
      <c r="F26" s="200">
        <v>12241.986999999999</v>
      </c>
      <c r="G26" s="201">
        <v>0</v>
      </c>
      <c r="H26" s="201">
        <v>0</v>
      </c>
      <c r="I26" s="10">
        <v>0</v>
      </c>
      <c r="J26" s="11">
        <v>0</v>
      </c>
      <c r="K26" s="11"/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398.95</v>
      </c>
      <c r="F27" s="200">
        <v>11843.037</v>
      </c>
      <c r="G27" s="201">
        <v>0</v>
      </c>
      <c r="H27" s="201">
        <v>0</v>
      </c>
      <c r="I27" s="10">
        <v>0</v>
      </c>
      <c r="J27" s="11">
        <v>0</v>
      </c>
      <c r="K27" s="11"/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</row>
    <row r="28" spans="1:20">
      <c r="A28" s="13">
        <v>24</v>
      </c>
      <c r="B28" s="216" t="s">
        <v>222</v>
      </c>
      <c r="C28" s="217"/>
      <c r="D28" s="200">
        <v>154</v>
      </c>
      <c r="E28" s="200">
        <v>286</v>
      </c>
      <c r="F28" s="200">
        <v>11711.037</v>
      </c>
      <c r="G28" s="201">
        <v>0</v>
      </c>
      <c r="H28" s="201">
        <v>0</v>
      </c>
      <c r="I28" s="10">
        <v>0</v>
      </c>
      <c r="J28" s="11">
        <v>0</v>
      </c>
      <c r="K28" s="11"/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</row>
    <row r="29" spans="1:20">
      <c r="A29" s="13">
        <v>25</v>
      </c>
      <c r="B29" s="216" t="s">
        <v>223</v>
      </c>
      <c r="C29" s="217"/>
      <c r="D29" s="200">
        <v>198</v>
      </c>
      <c r="E29" s="200">
        <v>132</v>
      </c>
      <c r="F29" s="200">
        <v>11777.037</v>
      </c>
      <c r="G29" s="201">
        <v>0</v>
      </c>
      <c r="H29" s="201">
        <v>0</v>
      </c>
      <c r="I29" s="10">
        <v>0</v>
      </c>
      <c r="J29" s="11">
        <v>0</v>
      </c>
      <c r="K29" s="11"/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</row>
    <row r="30" spans="1:20">
      <c r="A30" s="13">
        <v>26</v>
      </c>
      <c r="B30" s="216" t="s">
        <v>224</v>
      </c>
      <c r="C30" s="217"/>
      <c r="D30" s="200">
        <v>88</v>
      </c>
      <c r="E30" s="200">
        <v>191.625</v>
      </c>
      <c r="F30" s="200">
        <v>11673.412</v>
      </c>
      <c r="G30" s="201">
        <v>0</v>
      </c>
      <c r="H30" s="201">
        <v>0</v>
      </c>
      <c r="I30" s="10">
        <v>0</v>
      </c>
      <c r="J30" s="11">
        <v>0</v>
      </c>
      <c r="K30" s="11"/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</row>
    <row r="31" spans="1:20">
      <c r="A31" s="13">
        <v>27</v>
      </c>
      <c r="B31" s="216" t="s">
        <v>225</v>
      </c>
      <c r="C31" s="217"/>
      <c r="D31" s="200">
        <v>110</v>
      </c>
      <c r="E31" s="200">
        <v>346.875</v>
      </c>
      <c r="F31" s="200">
        <v>11436.537</v>
      </c>
      <c r="G31" s="201">
        <v>0</v>
      </c>
      <c r="H31" s="201">
        <v>0</v>
      </c>
      <c r="I31" s="10">
        <v>0</v>
      </c>
      <c r="J31" s="11">
        <v>0</v>
      </c>
      <c r="K31" s="11"/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</row>
    <row r="32" spans="1:20">
      <c r="A32" s="13">
        <v>28</v>
      </c>
      <c r="B32" s="216" t="s">
        <v>226</v>
      </c>
      <c r="C32" s="217"/>
      <c r="D32" s="200">
        <v>242</v>
      </c>
      <c r="E32" s="200">
        <v>224.125</v>
      </c>
      <c r="F32" s="200">
        <v>11454.412</v>
      </c>
      <c r="G32" s="201">
        <v>0</v>
      </c>
      <c r="H32" s="201">
        <v>0</v>
      </c>
      <c r="I32" s="10">
        <v>0</v>
      </c>
      <c r="J32" s="11">
        <v>0</v>
      </c>
      <c r="K32" s="11"/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</row>
    <row r="33" spans="1:20">
      <c r="A33" s="13">
        <v>29</v>
      </c>
      <c r="B33" s="216" t="s">
        <v>227</v>
      </c>
      <c r="C33" s="217"/>
      <c r="D33" s="200">
        <v>176</v>
      </c>
      <c r="E33" s="200">
        <v>307.375</v>
      </c>
      <c r="F33" s="200">
        <v>11323.037</v>
      </c>
      <c r="G33" s="201">
        <v>0</v>
      </c>
      <c r="H33" s="201">
        <v>0</v>
      </c>
      <c r="I33" s="10">
        <v>0</v>
      </c>
      <c r="J33" s="11">
        <v>0</v>
      </c>
      <c r="K33" s="11"/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</row>
    <row r="34" spans="1:20">
      <c r="A34" s="13">
        <v>30</v>
      </c>
      <c r="B34" s="216" t="s">
        <v>228</v>
      </c>
      <c r="C34" s="217"/>
      <c r="D34" s="200">
        <v>330</v>
      </c>
      <c r="E34" s="200">
        <v>251.625</v>
      </c>
      <c r="F34" s="200">
        <v>11401.412</v>
      </c>
      <c r="G34" s="201">
        <v>0</v>
      </c>
      <c r="H34" s="201">
        <v>0</v>
      </c>
      <c r="I34" s="10">
        <v>0</v>
      </c>
      <c r="J34" s="11">
        <v>0</v>
      </c>
      <c r="K34" s="11"/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</row>
    <row r="35" spans="1:20">
      <c r="A35" s="13">
        <v>31</v>
      </c>
      <c r="B35" s="216" t="s">
        <v>229</v>
      </c>
      <c r="C35" s="217"/>
      <c r="D35" s="200">
        <v>242</v>
      </c>
      <c r="E35" s="200">
        <v>255.75</v>
      </c>
      <c r="F35" s="200">
        <v>11387.662</v>
      </c>
      <c r="G35" s="201">
        <v>0</v>
      </c>
      <c r="H35" s="201">
        <v>0</v>
      </c>
      <c r="I35" s="10">
        <v>0</v>
      </c>
      <c r="J35" s="11">
        <v>0</v>
      </c>
      <c r="K35" s="11"/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</row>
    <row r="36" spans="1:20">
      <c r="D36" s="18">
        <v>8081.95</v>
      </c>
      <c r="E36" s="18">
        <v>6160.85</v>
      </c>
      <c r="F36" s="18">
        <v>373741.07200000004</v>
      </c>
      <c r="G36" s="18">
        <v>0</v>
      </c>
      <c r="H36" s="18">
        <v>0</v>
      </c>
      <c r="I36" s="18">
        <v>0</v>
      </c>
      <c r="J36" s="19">
        <v>0</v>
      </c>
      <c r="K36" s="19">
        <v>0</v>
      </c>
      <c r="L36" s="194">
        <v>0</v>
      </c>
      <c r="M36" s="194">
        <v>1172376</v>
      </c>
      <c r="N36" s="194">
        <v>1172376</v>
      </c>
      <c r="O36" s="194">
        <v>12770557.82</v>
      </c>
      <c r="P36" s="194">
        <v>0</v>
      </c>
      <c r="Q36" s="194">
        <v>0</v>
      </c>
      <c r="R36" s="194">
        <v>0</v>
      </c>
      <c r="S36" s="194">
        <v>0</v>
      </c>
      <c r="T36" s="194">
        <v>15115309.82</v>
      </c>
    </row>
    <row r="37" spans="1:20">
      <c r="R37" s="21"/>
      <c r="S37" s="21"/>
      <c r="T37" s="195">
        <v>18440677.98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2821-DA30-458D-85E4-9F51A1CE9D3E}">
  <sheetPr codeName="Лист36">
    <pageSetUpPr fitToPage="1"/>
  </sheetPr>
  <dimension ref="A1:T37"/>
  <sheetViews>
    <sheetView topLeftCell="A13" workbookViewId="0">
      <selection activeCell="O37" sqref="O37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8984375" style="2" customWidth="1"/>
    <col min="14" max="14" width="9.5" style="2" customWidth="1"/>
    <col min="15" max="15" width="12.296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285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281</v>
      </c>
      <c r="H3" s="209" t="s">
        <v>6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282</v>
      </c>
      <c r="N3" s="209" t="s">
        <v>283</v>
      </c>
      <c r="O3" s="209" t="s">
        <v>284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10.5</v>
      </c>
      <c r="G5" s="201">
        <v>0</v>
      </c>
      <c r="H5" s="201">
        <v>0</v>
      </c>
      <c r="I5" s="10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0</v>
      </c>
      <c r="P5" s="193">
        <v>0</v>
      </c>
      <c r="Q5" s="193">
        <v>0</v>
      </c>
      <c r="R5" s="193">
        <v>0</v>
      </c>
      <c r="S5" s="193">
        <v>0</v>
      </c>
      <c r="T5" s="193">
        <v>0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10.5</v>
      </c>
      <c r="G6" s="201">
        <v>0</v>
      </c>
      <c r="H6" s="201">
        <v>0</v>
      </c>
      <c r="I6" s="10">
        <v>0</v>
      </c>
      <c r="J6" s="11">
        <v>0</v>
      </c>
      <c r="K6" s="11"/>
      <c r="L6" s="193">
        <v>0</v>
      </c>
      <c r="M6" s="193">
        <v>0</v>
      </c>
      <c r="N6" s="193">
        <v>0</v>
      </c>
      <c r="O6" s="193">
        <v>0</v>
      </c>
      <c r="P6" s="193">
        <v>0</v>
      </c>
      <c r="Q6" s="193">
        <v>0</v>
      </c>
      <c r="R6" s="193">
        <v>0</v>
      </c>
      <c r="S6" s="193">
        <v>0</v>
      </c>
      <c r="T6" s="193">
        <v>0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10.5</v>
      </c>
      <c r="G7" s="201">
        <v>0</v>
      </c>
      <c r="H7" s="201">
        <v>0</v>
      </c>
      <c r="I7" s="10">
        <v>0</v>
      </c>
      <c r="J7" s="11">
        <v>0</v>
      </c>
      <c r="K7" s="11"/>
      <c r="L7" s="193">
        <v>0</v>
      </c>
      <c r="M7" s="193">
        <v>0</v>
      </c>
      <c r="N7" s="193">
        <v>0</v>
      </c>
      <c r="O7" s="193">
        <v>0</v>
      </c>
      <c r="P7" s="193">
        <v>0</v>
      </c>
      <c r="Q7" s="193">
        <v>0</v>
      </c>
      <c r="R7" s="193">
        <v>0</v>
      </c>
      <c r="S7" s="193">
        <v>0</v>
      </c>
      <c r="T7" s="193">
        <v>0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10.5</v>
      </c>
      <c r="G8" s="201">
        <v>0</v>
      </c>
      <c r="H8" s="201">
        <v>0</v>
      </c>
      <c r="I8" s="10">
        <v>0</v>
      </c>
      <c r="J8" s="11">
        <v>0</v>
      </c>
      <c r="K8" s="11"/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10.5</v>
      </c>
      <c r="G9" s="201">
        <v>0</v>
      </c>
      <c r="H9" s="201">
        <v>0</v>
      </c>
      <c r="I9" s="10">
        <v>0</v>
      </c>
      <c r="J9" s="11">
        <v>0</v>
      </c>
      <c r="K9" s="11"/>
      <c r="L9" s="193">
        <v>0</v>
      </c>
      <c r="M9" s="193">
        <v>0</v>
      </c>
      <c r="N9" s="193">
        <v>0</v>
      </c>
      <c r="O9" s="193">
        <v>0</v>
      </c>
      <c r="P9" s="193">
        <v>0</v>
      </c>
      <c r="Q9" s="193">
        <v>0</v>
      </c>
      <c r="R9" s="193">
        <v>0</v>
      </c>
      <c r="S9" s="193">
        <v>0</v>
      </c>
      <c r="T9" s="193">
        <v>0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10.5</v>
      </c>
      <c r="G10" s="201">
        <v>0</v>
      </c>
      <c r="H10" s="201">
        <v>0</v>
      </c>
      <c r="I10" s="10">
        <v>0</v>
      </c>
      <c r="J10" s="11">
        <v>0</v>
      </c>
      <c r="K10" s="11"/>
      <c r="L10" s="193">
        <v>0</v>
      </c>
      <c r="M10" s="193">
        <v>0</v>
      </c>
      <c r="N10" s="193">
        <v>0</v>
      </c>
      <c r="O10" s="193">
        <v>0</v>
      </c>
      <c r="P10" s="193">
        <v>0</v>
      </c>
      <c r="Q10" s="193">
        <v>0</v>
      </c>
      <c r="R10" s="193">
        <v>0</v>
      </c>
      <c r="S10" s="193">
        <v>0</v>
      </c>
      <c r="T10" s="193">
        <v>0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10.5</v>
      </c>
      <c r="G11" s="201">
        <v>0</v>
      </c>
      <c r="H11" s="201">
        <v>0</v>
      </c>
      <c r="I11" s="10">
        <v>0</v>
      </c>
      <c r="J11" s="11">
        <v>0</v>
      </c>
      <c r="K11" s="11"/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10.5</v>
      </c>
      <c r="G12" s="201">
        <v>0</v>
      </c>
      <c r="H12" s="201">
        <v>0</v>
      </c>
      <c r="I12" s="10">
        <v>0</v>
      </c>
      <c r="J12" s="11">
        <v>0</v>
      </c>
      <c r="K12" s="11"/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10.5</v>
      </c>
      <c r="G13" s="201">
        <v>0</v>
      </c>
      <c r="H13" s="201">
        <v>0</v>
      </c>
      <c r="I13" s="10">
        <v>0</v>
      </c>
      <c r="J13" s="11">
        <v>0</v>
      </c>
      <c r="K13" s="11"/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10.5</v>
      </c>
      <c r="G14" s="201">
        <v>0</v>
      </c>
      <c r="H14" s="201">
        <v>0</v>
      </c>
      <c r="I14" s="10">
        <v>0</v>
      </c>
      <c r="J14" s="11">
        <v>0</v>
      </c>
      <c r="K14" s="11"/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10.5</v>
      </c>
      <c r="G15" s="201">
        <v>0</v>
      </c>
      <c r="H15" s="201">
        <v>0</v>
      </c>
      <c r="I15" s="10">
        <v>0</v>
      </c>
      <c r="J15" s="11">
        <v>0</v>
      </c>
      <c r="K15" s="11"/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10.5</v>
      </c>
      <c r="G16" s="201">
        <v>0</v>
      </c>
      <c r="H16" s="201">
        <v>0</v>
      </c>
      <c r="I16" s="10">
        <v>0</v>
      </c>
      <c r="J16" s="11">
        <v>0</v>
      </c>
      <c r="K16" s="16"/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10.5</v>
      </c>
      <c r="G17" s="201">
        <v>0</v>
      </c>
      <c r="H17" s="201">
        <v>0</v>
      </c>
      <c r="I17" s="10">
        <v>0</v>
      </c>
      <c r="J17" s="11">
        <v>0</v>
      </c>
      <c r="K17" s="11"/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10.5</v>
      </c>
      <c r="G18" s="201">
        <v>0</v>
      </c>
      <c r="H18" s="201">
        <v>0</v>
      </c>
      <c r="I18" s="10">
        <v>0</v>
      </c>
      <c r="J18" s="11">
        <v>0</v>
      </c>
      <c r="K18" s="11"/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10.5</v>
      </c>
      <c r="G19" s="201">
        <v>0</v>
      </c>
      <c r="H19" s="201">
        <v>0</v>
      </c>
      <c r="I19" s="10">
        <v>0</v>
      </c>
      <c r="J19" s="11">
        <v>0</v>
      </c>
      <c r="K19" s="11"/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10.5</v>
      </c>
      <c r="G20" s="201">
        <v>0</v>
      </c>
      <c r="H20" s="201">
        <v>0</v>
      </c>
      <c r="I20" s="10">
        <v>0</v>
      </c>
      <c r="J20" s="11">
        <v>0</v>
      </c>
      <c r="K20" s="11"/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10.5</v>
      </c>
      <c r="G21" s="201">
        <v>0</v>
      </c>
      <c r="H21" s="201">
        <v>0</v>
      </c>
      <c r="I21" s="10">
        <v>0</v>
      </c>
      <c r="J21" s="11">
        <v>0</v>
      </c>
      <c r="K21" s="11"/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10.5</v>
      </c>
      <c r="G22" s="201">
        <v>0</v>
      </c>
      <c r="H22" s="201">
        <v>0</v>
      </c>
      <c r="I22" s="10">
        <v>0</v>
      </c>
      <c r="J22" s="11">
        <v>0</v>
      </c>
      <c r="K22" s="11"/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10.5</v>
      </c>
      <c r="G23" s="201">
        <v>0</v>
      </c>
      <c r="H23" s="201">
        <v>0</v>
      </c>
      <c r="I23" s="10">
        <v>0</v>
      </c>
      <c r="J23" s="11">
        <v>0</v>
      </c>
      <c r="K23" s="11"/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</v>
      </c>
      <c r="F24" s="200">
        <v>10.5</v>
      </c>
      <c r="G24" s="201">
        <v>0</v>
      </c>
      <c r="H24" s="201">
        <v>0</v>
      </c>
      <c r="I24" s="10">
        <v>0</v>
      </c>
      <c r="J24" s="11">
        <v>0</v>
      </c>
      <c r="K24" s="11"/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10.5</v>
      </c>
      <c r="G25" s="201">
        <v>0</v>
      </c>
      <c r="H25" s="201">
        <v>0</v>
      </c>
      <c r="I25" s="10">
        <v>0</v>
      </c>
      <c r="J25" s="11">
        <v>0</v>
      </c>
      <c r="K25" s="11"/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0</v>
      </c>
      <c r="F26" s="200">
        <v>10.5</v>
      </c>
      <c r="G26" s="201">
        <v>0</v>
      </c>
      <c r="H26" s="201">
        <v>0</v>
      </c>
      <c r="I26" s="10">
        <v>0</v>
      </c>
      <c r="J26" s="11">
        <v>0</v>
      </c>
      <c r="K26" s="11"/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10.5</v>
      </c>
      <c r="G27" s="201">
        <v>0</v>
      </c>
      <c r="H27" s="201">
        <v>0</v>
      </c>
      <c r="I27" s="10">
        <v>0</v>
      </c>
      <c r="J27" s="11">
        <v>0</v>
      </c>
      <c r="K27" s="11"/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10.5</v>
      </c>
      <c r="G28" s="201">
        <v>0</v>
      </c>
      <c r="H28" s="201">
        <v>0</v>
      </c>
      <c r="I28" s="10">
        <v>0</v>
      </c>
      <c r="J28" s="11">
        <v>0</v>
      </c>
      <c r="K28" s="11"/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10.5</v>
      </c>
      <c r="G29" s="201">
        <v>0</v>
      </c>
      <c r="H29" s="201">
        <v>0</v>
      </c>
      <c r="I29" s="10">
        <v>0</v>
      </c>
      <c r="J29" s="11">
        <v>0</v>
      </c>
      <c r="K29" s="11"/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10.5</v>
      </c>
      <c r="G30" s="201">
        <v>0</v>
      </c>
      <c r="H30" s="201">
        <v>0</v>
      </c>
      <c r="I30" s="10">
        <v>0</v>
      </c>
      <c r="J30" s="11">
        <v>0</v>
      </c>
      <c r="K30" s="11"/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10.5</v>
      </c>
      <c r="G31" s="201">
        <v>0</v>
      </c>
      <c r="H31" s="201">
        <v>0</v>
      </c>
      <c r="I31" s="10">
        <v>0</v>
      </c>
      <c r="J31" s="11">
        <v>0</v>
      </c>
      <c r="K31" s="11"/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10.5</v>
      </c>
      <c r="G32" s="201">
        <v>0</v>
      </c>
      <c r="H32" s="201">
        <v>0</v>
      </c>
      <c r="I32" s="10">
        <v>0</v>
      </c>
      <c r="J32" s="11">
        <v>0</v>
      </c>
      <c r="K32" s="11"/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10.5</v>
      </c>
      <c r="G33" s="201">
        <v>0</v>
      </c>
      <c r="H33" s="201">
        <v>0</v>
      </c>
      <c r="I33" s="10">
        <v>0</v>
      </c>
      <c r="J33" s="11">
        <v>0</v>
      </c>
      <c r="K33" s="11"/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10.5</v>
      </c>
      <c r="G34" s="201">
        <v>0</v>
      </c>
      <c r="H34" s="201">
        <v>0</v>
      </c>
      <c r="I34" s="10">
        <v>0</v>
      </c>
      <c r="J34" s="11">
        <v>0</v>
      </c>
      <c r="K34" s="11"/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10.5</v>
      </c>
      <c r="G35" s="201">
        <v>0</v>
      </c>
      <c r="H35" s="201">
        <v>0</v>
      </c>
      <c r="I35" s="10">
        <v>0</v>
      </c>
      <c r="J35" s="11">
        <v>0</v>
      </c>
      <c r="K35" s="11"/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</row>
    <row r="36" spans="1:20">
      <c r="D36" s="18">
        <v>0</v>
      </c>
      <c r="E36" s="18">
        <v>0</v>
      </c>
      <c r="F36" s="18">
        <v>325.5</v>
      </c>
      <c r="G36" s="18">
        <v>0</v>
      </c>
      <c r="H36" s="18">
        <v>0</v>
      </c>
      <c r="I36" s="18">
        <v>0</v>
      </c>
      <c r="J36" s="19">
        <v>0</v>
      </c>
      <c r="K36" s="19">
        <v>0</v>
      </c>
      <c r="L36" s="194">
        <v>0</v>
      </c>
      <c r="M36" s="194">
        <v>0</v>
      </c>
      <c r="N36" s="194">
        <v>0</v>
      </c>
      <c r="O36" s="194">
        <v>11122.18</v>
      </c>
      <c r="P36" s="194">
        <v>0</v>
      </c>
      <c r="Q36" s="194">
        <v>0</v>
      </c>
      <c r="R36" s="194">
        <v>0</v>
      </c>
      <c r="S36" s="194">
        <v>0</v>
      </c>
      <c r="T36" s="194">
        <v>11122.18</v>
      </c>
    </row>
    <row r="37" spans="1:20">
      <c r="R37" s="21"/>
      <c r="S37" s="21"/>
      <c r="T37" s="195">
        <v>13569.06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ADE6-E25E-4443-A0E7-BAF6CF79DC63}">
  <sheetPr codeName="Лист37">
    <pageSetUpPr fitToPage="1"/>
  </sheetPr>
  <dimension ref="A1:T37"/>
  <sheetViews>
    <sheetView topLeftCell="A16" workbookViewId="0">
      <selection activeCell="T37" sqref="T37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1.296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286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287</v>
      </c>
      <c r="H3" s="209" t="s">
        <v>288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5633.75</v>
      </c>
      <c r="G5" s="201">
        <v>366.25</v>
      </c>
      <c r="H5" s="201">
        <v>500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157745</v>
      </c>
      <c r="P5" s="193">
        <v>10255</v>
      </c>
      <c r="Q5" s="193">
        <v>58500</v>
      </c>
      <c r="R5" s="193">
        <v>0</v>
      </c>
      <c r="S5" s="193">
        <v>0</v>
      </c>
      <c r="T5" s="193">
        <v>226500</v>
      </c>
    </row>
    <row r="6" spans="1:20">
      <c r="A6" s="13">
        <v>2</v>
      </c>
      <c r="B6" s="216" t="s">
        <v>200</v>
      </c>
      <c r="C6" s="217"/>
      <c r="D6" s="200">
        <v>219.375</v>
      </c>
      <c r="E6" s="200">
        <v>22</v>
      </c>
      <c r="F6" s="200">
        <v>5831.125</v>
      </c>
      <c r="G6" s="201">
        <v>168.875</v>
      </c>
      <c r="H6" s="201">
        <v>258.625</v>
      </c>
      <c r="I6" s="10">
        <v>0</v>
      </c>
      <c r="J6" s="11">
        <v>0</v>
      </c>
      <c r="K6" s="11">
        <v>0</v>
      </c>
      <c r="L6" s="193">
        <v>0</v>
      </c>
      <c r="M6" s="193">
        <v>25666.880000000001</v>
      </c>
      <c r="N6" s="193">
        <v>2574</v>
      </c>
      <c r="O6" s="193">
        <v>163271.5</v>
      </c>
      <c r="P6" s="193">
        <v>4728.5</v>
      </c>
      <c r="Q6" s="193">
        <v>30259.13</v>
      </c>
      <c r="R6" s="193">
        <v>0</v>
      </c>
      <c r="S6" s="193">
        <v>0</v>
      </c>
      <c r="T6" s="193">
        <v>226500</v>
      </c>
    </row>
    <row r="7" spans="1:20">
      <c r="A7" s="13">
        <v>3</v>
      </c>
      <c r="B7" s="216" t="s">
        <v>201</v>
      </c>
      <c r="C7" s="217"/>
      <c r="D7" s="200">
        <v>22</v>
      </c>
      <c r="E7" s="200">
        <v>66</v>
      </c>
      <c r="F7" s="200">
        <v>5787.125</v>
      </c>
      <c r="G7" s="201">
        <v>212.875</v>
      </c>
      <c r="H7" s="201">
        <v>412</v>
      </c>
      <c r="I7" s="10">
        <v>0</v>
      </c>
      <c r="J7" s="11">
        <v>0</v>
      </c>
      <c r="K7" s="11">
        <v>0</v>
      </c>
      <c r="L7" s="193">
        <v>0</v>
      </c>
      <c r="M7" s="193">
        <v>2574</v>
      </c>
      <c r="N7" s="193">
        <v>7722</v>
      </c>
      <c r="O7" s="193">
        <v>162039.5</v>
      </c>
      <c r="P7" s="193">
        <v>5960.5</v>
      </c>
      <c r="Q7" s="193">
        <v>48204</v>
      </c>
      <c r="R7" s="193">
        <v>0</v>
      </c>
      <c r="S7" s="193">
        <v>0</v>
      </c>
      <c r="T7" s="193">
        <v>226500</v>
      </c>
    </row>
    <row r="8" spans="1:20">
      <c r="A8" s="13">
        <v>4</v>
      </c>
      <c r="B8" s="216" t="s">
        <v>202</v>
      </c>
      <c r="C8" s="217"/>
      <c r="D8" s="200">
        <v>66</v>
      </c>
      <c r="E8" s="200">
        <v>0</v>
      </c>
      <c r="F8" s="200">
        <v>5853.125</v>
      </c>
      <c r="G8" s="201">
        <v>146.875</v>
      </c>
      <c r="H8" s="201">
        <v>434</v>
      </c>
      <c r="I8" s="10">
        <v>0</v>
      </c>
      <c r="J8" s="11">
        <v>0</v>
      </c>
      <c r="K8" s="11">
        <v>0</v>
      </c>
      <c r="L8" s="193">
        <v>0</v>
      </c>
      <c r="M8" s="193">
        <v>7722</v>
      </c>
      <c r="N8" s="193">
        <v>0</v>
      </c>
      <c r="O8" s="193">
        <v>163887.5</v>
      </c>
      <c r="P8" s="193">
        <v>4112.5</v>
      </c>
      <c r="Q8" s="193">
        <v>50778</v>
      </c>
      <c r="R8" s="193">
        <v>0</v>
      </c>
      <c r="S8" s="193">
        <v>0</v>
      </c>
      <c r="T8" s="193">
        <v>226500</v>
      </c>
    </row>
    <row r="9" spans="1:20">
      <c r="A9" s="13">
        <v>5</v>
      </c>
      <c r="B9" s="216" t="s">
        <v>203</v>
      </c>
      <c r="C9" s="217"/>
      <c r="D9" s="200">
        <v>110</v>
      </c>
      <c r="E9" s="200">
        <v>0</v>
      </c>
      <c r="F9" s="200">
        <v>5963.125</v>
      </c>
      <c r="G9" s="201">
        <v>36.875</v>
      </c>
      <c r="H9" s="201">
        <v>390</v>
      </c>
      <c r="I9" s="10">
        <v>0</v>
      </c>
      <c r="J9" s="11">
        <v>0</v>
      </c>
      <c r="K9" s="11">
        <v>0</v>
      </c>
      <c r="L9" s="193">
        <v>0</v>
      </c>
      <c r="M9" s="193">
        <v>12870</v>
      </c>
      <c r="N9" s="193">
        <v>0</v>
      </c>
      <c r="O9" s="193">
        <v>166967.5</v>
      </c>
      <c r="P9" s="193">
        <v>1032.5</v>
      </c>
      <c r="Q9" s="193">
        <v>45630</v>
      </c>
      <c r="R9" s="193">
        <v>0</v>
      </c>
      <c r="S9" s="193">
        <v>0</v>
      </c>
      <c r="T9" s="193">
        <v>226500</v>
      </c>
    </row>
    <row r="10" spans="1:20">
      <c r="A10" s="13">
        <v>6</v>
      </c>
      <c r="B10" s="216" t="s">
        <v>204</v>
      </c>
      <c r="C10" s="217"/>
      <c r="D10" s="200">
        <v>241.375</v>
      </c>
      <c r="E10" s="200">
        <v>86.125</v>
      </c>
      <c r="F10" s="200">
        <v>6118.375</v>
      </c>
      <c r="G10" s="201">
        <v>0</v>
      </c>
      <c r="H10" s="201">
        <v>172.5</v>
      </c>
      <c r="I10" s="10">
        <v>0</v>
      </c>
      <c r="J10" s="11">
        <v>0</v>
      </c>
      <c r="K10" s="11">
        <v>0</v>
      </c>
      <c r="L10" s="193">
        <v>0</v>
      </c>
      <c r="M10" s="193">
        <v>28240.880000000001</v>
      </c>
      <c r="N10" s="193">
        <v>10076.629999999999</v>
      </c>
      <c r="O10" s="193">
        <v>171314.5</v>
      </c>
      <c r="P10" s="193">
        <v>0</v>
      </c>
      <c r="Q10" s="193">
        <v>20182.5</v>
      </c>
      <c r="R10" s="193">
        <v>0</v>
      </c>
      <c r="S10" s="193">
        <v>0</v>
      </c>
      <c r="T10" s="193">
        <v>229814.5</v>
      </c>
    </row>
    <row r="11" spans="1:20">
      <c r="A11" s="13">
        <v>7</v>
      </c>
      <c r="B11" s="216" t="s">
        <v>205</v>
      </c>
      <c r="C11" s="217"/>
      <c r="D11" s="200">
        <v>589.625</v>
      </c>
      <c r="E11" s="200">
        <v>22</v>
      </c>
      <c r="F11" s="200">
        <v>6686</v>
      </c>
      <c r="G11" s="201">
        <v>0</v>
      </c>
      <c r="H11" s="201">
        <v>0</v>
      </c>
      <c r="I11" s="10">
        <v>0</v>
      </c>
      <c r="J11" s="11">
        <v>0</v>
      </c>
      <c r="K11" s="11">
        <v>0</v>
      </c>
      <c r="L11" s="193">
        <v>0</v>
      </c>
      <c r="M11" s="193">
        <v>68986.13</v>
      </c>
      <c r="N11" s="193">
        <v>2574</v>
      </c>
      <c r="O11" s="193">
        <v>187208</v>
      </c>
      <c r="P11" s="193">
        <v>0</v>
      </c>
      <c r="Q11" s="193">
        <v>0</v>
      </c>
      <c r="R11" s="193">
        <v>0</v>
      </c>
      <c r="S11" s="193">
        <v>0</v>
      </c>
      <c r="T11" s="193">
        <v>258768.13</v>
      </c>
    </row>
    <row r="12" spans="1:20">
      <c r="A12" s="13">
        <v>8</v>
      </c>
      <c r="B12" s="216" t="s">
        <v>206</v>
      </c>
      <c r="C12" s="217"/>
      <c r="D12" s="200">
        <v>304.22500000000002</v>
      </c>
      <c r="E12" s="200">
        <v>0</v>
      </c>
      <c r="F12" s="200">
        <v>6990.2250000000004</v>
      </c>
      <c r="G12" s="201">
        <v>0</v>
      </c>
      <c r="H12" s="201">
        <v>195.77499999999998</v>
      </c>
      <c r="I12" s="10">
        <v>0</v>
      </c>
      <c r="J12" s="11">
        <v>0</v>
      </c>
      <c r="K12" s="11">
        <v>0</v>
      </c>
      <c r="L12" s="193">
        <v>0</v>
      </c>
      <c r="M12" s="193">
        <v>35594.33</v>
      </c>
      <c r="N12" s="193">
        <v>0</v>
      </c>
      <c r="O12" s="193">
        <v>195726.3</v>
      </c>
      <c r="P12" s="193">
        <v>0</v>
      </c>
      <c r="Q12" s="193">
        <v>22905.68</v>
      </c>
      <c r="R12" s="193">
        <v>0</v>
      </c>
      <c r="S12" s="193">
        <v>0</v>
      </c>
      <c r="T12" s="193">
        <v>254226.3</v>
      </c>
    </row>
    <row r="13" spans="1:20">
      <c r="A13" s="13">
        <v>9</v>
      </c>
      <c r="B13" s="216" t="s">
        <v>207</v>
      </c>
      <c r="C13" s="217"/>
      <c r="D13" s="200">
        <v>418</v>
      </c>
      <c r="E13" s="200">
        <v>0</v>
      </c>
      <c r="F13" s="200">
        <v>7408.2250000000004</v>
      </c>
      <c r="G13" s="201">
        <v>0</v>
      </c>
      <c r="H13" s="201">
        <v>82</v>
      </c>
      <c r="I13" s="10">
        <v>0</v>
      </c>
      <c r="J13" s="11">
        <v>0</v>
      </c>
      <c r="K13" s="11">
        <v>0</v>
      </c>
      <c r="L13" s="193">
        <v>0</v>
      </c>
      <c r="M13" s="193">
        <v>48906</v>
      </c>
      <c r="N13" s="193">
        <v>0</v>
      </c>
      <c r="O13" s="193">
        <v>207430.3</v>
      </c>
      <c r="P13" s="193">
        <v>0</v>
      </c>
      <c r="Q13" s="193">
        <v>9594</v>
      </c>
      <c r="R13" s="193">
        <v>0</v>
      </c>
      <c r="S13" s="193">
        <v>0</v>
      </c>
      <c r="T13" s="193">
        <v>265930.3</v>
      </c>
    </row>
    <row r="14" spans="1:20">
      <c r="A14" s="13">
        <v>10</v>
      </c>
      <c r="B14" s="216" t="s">
        <v>208</v>
      </c>
      <c r="C14" s="217"/>
      <c r="D14" s="200">
        <v>242</v>
      </c>
      <c r="E14" s="200">
        <v>0</v>
      </c>
      <c r="F14" s="200">
        <v>7650.2250000000004</v>
      </c>
      <c r="G14" s="201">
        <v>0</v>
      </c>
      <c r="H14" s="201">
        <v>258</v>
      </c>
      <c r="I14" s="10">
        <v>0</v>
      </c>
      <c r="J14" s="11">
        <v>0</v>
      </c>
      <c r="K14" s="11">
        <v>0</v>
      </c>
      <c r="L14" s="193">
        <v>0</v>
      </c>
      <c r="M14" s="193">
        <v>28314</v>
      </c>
      <c r="N14" s="193">
        <v>0</v>
      </c>
      <c r="O14" s="193">
        <v>214206.3</v>
      </c>
      <c r="P14" s="193">
        <v>0</v>
      </c>
      <c r="Q14" s="193">
        <v>30186</v>
      </c>
      <c r="R14" s="193">
        <v>0</v>
      </c>
      <c r="S14" s="193">
        <v>0</v>
      </c>
      <c r="T14" s="193">
        <v>272706.3</v>
      </c>
    </row>
    <row r="15" spans="1:20">
      <c r="A15" s="13">
        <v>11</v>
      </c>
      <c r="B15" s="216" t="s">
        <v>209</v>
      </c>
      <c r="C15" s="217"/>
      <c r="D15" s="200">
        <v>220</v>
      </c>
      <c r="E15" s="200">
        <v>4.125</v>
      </c>
      <c r="F15" s="200">
        <v>7866.1</v>
      </c>
      <c r="G15" s="201">
        <v>0</v>
      </c>
      <c r="H15" s="201">
        <v>275.875</v>
      </c>
      <c r="I15" s="10">
        <v>0</v>
      </c>
      <c r="J15" s="11">
        <v>0</v>
      </c>
      <c r="K15" s="11">
        <v>0</v>
      </c>
      <c r="L15" s="193">
        <v>0</v>
      </c>
      <c r="M15" s="193">
        <v>25740</v>
      </c>
      <c r="N15" s="193">
        <v>482.63</v>
      </c>
      <c r="O15" s="193">
        <v>220250.8</v>
      </c>
      <c r="P15" s="193">
        <v>0</v>
      </c>
      <c r="Q15" s="193">
        <v>32277.38</v>
      </c>
      <c r="R15" s="193">
        <v>0</v>
      </c>
      <c r="S15" s="193">
        <v>0</v>
      </c>
      <c r="T15" s="193">
        <v>278750.8</v>
      </c>
    </row>
    <row r="16" spans="1:20">
      <c r="A16" s="13">
        <v>12</v>
      </c>
      <c r="B16" s="216" t="s">
        <v>210</v>
      </c>
      <c r="C16" s="217"/>
      <c r="D16" s="200">
        <v>198</v>
      </c>
      <c r="E16" s="200">
        <v>22</v>
      </c>
      <c r="F16" s="200">
        <v>8042.1</v>
      </c>
      <c r="G16" s="201">
        <v>0</v>
      </c>
      <c r="H16" s="201">
        <v>280</v>
      </c>
      <c r="I16" s="10">
        <v>0</v>
      </c>
      <c r="J16" s="11">
        <v>0</v>
      </c>
      <c r="K16" s="11">
        <v>0</v>
      </c>
      <c r="L16" s="193">
        <v>0</v>
      </c>
      <c r="M16" s="193">
        <v>23166</v>
      </c>
      <c r="N16" s="193">
        <v>2574</v>
      </c>
      <c r="O16" s="193">
        <v>225178.8</v>
      </c>
      <c r="P16" s="193">
        <v>0</v>
      </c>
      <c r="Q16" s="193">
        <v>32760</v>
      </c>
      <c r="R16" s="193">
        <v>0</v>
      </c>
      <c r="S16" s="193">
        <v>0</v>
      </c>
      <c r="T16" s="193">
        <v>283678.8</v>
      </c>
    </row>
    <row r="17" spans="1:20">
      <c r="A17" s="13">
        <v>13</v>
      </c>
      <c r="B17" s="216" t="s">
        <v>211</v>
      </c>
      <c r="C17" s="217"/>
      <c r="D17" s="200">
        <v>22</v>
      </c>
      <c r="E17" s="200">
        <v>0</v>
      </c>
      <c r="F17" s="200">
        <v>8064.1</v>
      </c>
      <c r="G17" s="201">
        <v>0</v>
      </c>
      <c r="H17" s="201">
        <v>478</v>
      </c>
      <c r="I17" s="10">
        <v>0</v>
      </c>
      <c r="J17" s="11">
        <v>0</v>
      </c>
      <c r="K17" s="11">
        <v>0</v>
      </c>
      <c r="L17" s="193">
        <v>0</v>
      </c>
      <c r="M17" s="193">
        <v>2574</v>
      </c>
      <c r="N17" s="193">
        <v>0</v>
      </c>
      <c r="O17" s="193">
        <v>225794.8</v>
      </c>
      <c r="P17" s="193">
        <v>0</v>
      </c>
      <c r="Q17" s="193">
        <v>55926</v>
      </c>
      <c r="R17" s="193">
        <v>0</v>
      </c>
      <c r="S17" s="193">
        <v>0</v>
      </c>
      <c r="T17" s="193">
        <v>284294.8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176.75</v>
      </c>
      <c r="F18" s="200">
        <v>7887.35</v>
      </c>
      <c r="G18" s="201">
        <v>0</v>
      </c>
      <c r="H18" s="201">
        <v>323.25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20679.75</v>
      </c>
      <c r="O18" s="193">
        <v>220845.8</v>
      </c>
      <c r="P18" s="193">
        <v>0</v>
      </c>
      <c r="Q18" s="193">
        <v>37820.25</v>
      </c>
      <c r="R18" s="193">
        <v>0</v>
      </c>
      <c r="S18" s="193">
        <v>0</v>
      </c>
      <c r="T18" s="193">
        <v>279345.8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87.375</v>
      </c>
      <c r="F19" s="200">
        <v>7799.9750000000004</v>
      </c>
      <c r="G19" s="201">
        <v>0</v>
      </c>
      <c r="H19" s="201">
        <v>412.625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10222.879999999999</v>
      </c>
      <c r="O19" s="193">
        <v>218399.3</v>
      </c>
      <c r="P19" s="193">
        <v>0</v>
      </c>
      <c r="Q19" s="193">
        <v>48277.13</v>
      </c>
      <c r="R19" s="193">
        <v>0</v>
      </c>
      <c r="S19" s="193">
        <v>0</v>
      </c>
      <c r="T19" s="193">
        <v>276899.3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51.625</v>
      </c>
      <c r="F20" s="200">
        <v>7748.35</v>
      </c>
      <c r="G20" s="201">
        <v>0</v>
      </c>
      <c r="H20" s="201">
        <v>448.375</v>
      </c>
      <c r="I20" s="10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6040.13</v>
      </c>
      <c r="O20" s="193">
        <v>216953.8</v>
      </c>
      <c r="P20" s="193">
        <v>0</v>
      </c>
      <c r="Q20" s="193">
        <v>52459.88</v>
      </c>
      <c r="R20" s="193">
        <v>0</v>
      </c>
      <c r="S20" s="193">
        <v>0</v>
      </c>
      <c r="T20" s="193">
        <v>275453.8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109.375</v>
      </c>
      <c r="F21" s="200">
        <v>7638.9750000000004</v>
      </c>
      <c r="G21" s="201">
        <v>0</v>
      </c>
      <c r="H21" s="201">
        <v>390.625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12796.88</v>
      </c>
      <c r="O21" s="193">
        <v>213891.3</v>
      </c>
      <c r="P21" s="193">
        <v>0</v>
      </c>
      <c r="Q21" s="193">
        <v>45703.13</v>
      </c>
      <c r="R21" s="193">
        <v>0</v>
      </c>
      <c r="S21" s="193">
        <v>0</v>
      </c>
      <c r="T21" s="193">
        <v>272391.3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65.375</v>
      </c>
      <c r="F22" s="200">
        <v>7573.6</v>
      </c>
      <c r="G22" s="201">
        <v>0</v>
      </c>
      <c r="H22" s="201">
        <v>434.625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7648.88</v>
      </c>
      <c r="O22" s="193">
        <v>212060.79999999999</v>
      </c>
      <c r="P22" s="193">
        <v>0</v>
      </c>
      <c r="Q22" s="193">
        <v>50851.13</v>
      </c>
      <c r="R22" s="193">
        <v>0</v>
      </c>
      <c r="S22" s="193">
        <v>0</v>
      </c>
      <c r="T22" s="193">
        <v>270560.8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87.375</v>
      </c>
      <c r="F23" s="200">
        <v>7486.2250000000004</v>
      </c>
      <c r="G23" s="201">
        <v>0</v>
      </c>
      <c r="H23" s="201">
        <v>412.625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10222.879999999999</v>
      </c>
      <c r="O23" s="193">
        <v>209614.3</v>
      </c>
      <c r="P23" s="193">
        <v>0</v>
      </c>
      <c r="Q23" s="193">
        <v>48277.13</v>
      </c>
      <c r="R23" s="193">
        <v>0</v>
      </c>
      <c r="S23" s="193">
        <v>0</v>
      </c>
      <c r="T23" s="193">
        <v>268114.3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114.375</v>
      </c>
      <c r="F24" s="200">
        <v>7371.85</v>
      </c>
      <c r="G24" s="201">
        <v>0</v>
      </c>
      <c r="H24" s="201">
        <v>385.625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13381.88</v>
      </c>
      <c r="O24" s="193">
        <v>206411.8</v>
      </c>
      <c r="P24" s="193">
        <v>0</v>
      </c>
      <c r="Q24" s="193">
        <v>45118.13</v>
      </c>
      <c r="R24" s="193">
        <v>0</v>
      </c>
      <c r="S24" s="193">
        <v>0</v>
      </c>
      <c r="T24" s="193">
        <v>264911.8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86.75</v>
      </c>
      <c r="F25" s="200">
        <v>7285.1</v>
      </c>
      <c r="G25" s="201">
        <v>0</v>
      </c>
      <c r="H25" s="201">
        <v>413.25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10149.75</v>
      </c>
      <c r="O25" s="193">
        <v>203982.8</v>
      </c>
      <c r="P25" s="193">
        <v>0</v>
      </c>
      <c r="Q25" s="193">
        <v>48350.25</v>
      </c>
      <c r="R25" s="193">
        <v>0</v>
      </c>
      <c r="S25" s="193">
        <v>0</v>
      </c>
      <c r="T25" s="193">
        <v>262482.8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109.5</v>
      </c>
      <c r="F26" s="200">
        <v>7175.6</v>
      </c>
      <c r="G26" s="201">
        <v>0</v>
      </c>
      <c r="H26" s="201">
        <v>390.5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12811.5</v>
      </c>
      <c r="O26" s="193">
        <v>200916.8</v>
      </c>
      <c r="P26" s="193">
        <v>0</v>
      </c>
      <c r="Q26" s="193">
        <v>45688.5</v>
      </c>
      <c r="R26" s="193">
        <v>0</v>
      </c>
      <c r="S26" s="193">
        <v>0</v>
      </c>
      <c r="T26" s="193">
        <v>259416.8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44</v>
      </c>
      <c r="F27" s="200">
        <v>7131.6</v>
      </c>
      <c r="G27" s="201">
        <v>0</v>
      </c>
      <c r="H27" s="201">
        <v>456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5148</v>
      </c>
      <c r="O27" s="193">
        <v>199684.8</v>
      </c>
      <c r="P27" s="193">
        <v>0</v>
      </c>
      <c r="Q27" s="193">
        <v>53352</v>
      </c>
      <c r="R27" s="193">
        <v>0</v>
      </c>
      <c r="S27" s="193">
        <v>0</v>
      </c>
      <c r="T27" s="193">
        <v>258184.8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110</v>
      </c>
      <c r="F28" s="200">
        <v>7021.6</v>
      </c>
      <c r="G28" s="201">
        <v>0</v>
      </c>
      <c r="H28" s="201">
        <v>390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12870</v>
      </c>
      <c r="O28" s="193">
        <v>196604.79999999999</v>
      </c>
      <c r="P28" s="193">
        <v>0</v>
      </c>
      <c r="Q28" s="193">
        <v>45630</v>
      </c>
      <c r="R28" s="193">
        <v>0</v>
      </c>
      <c r="S28" s="193">
        <v>0</v>
      </c>
      <c r="T28" s="193">
        <v>255104.8</v>
      </c>
    </row>
    <row r="29" spans="1:20">
      <c r="A29" s="13">
        <v>25</v>
      </c>
      <c r="B29" s="216" t="s">
        <v>223</v>
      </c>
      <c r="C29" s="217"/>
      <c r="D29" s="200">
        <v>66</v>
      </c>
      <c r="E29" s="200">
        <v>131.375</v>
      </c>
      <c r="F29" s="200">
        <v>6956.2250000000004</v>
      </c>
      <c r="G29" s="201">
        <v>0</v>
      </c>
      <c r="H29" s="201">
        <v>302.625</v>
      </c>
      <c r="I29" s="10">
        <v>0</v>
      </c>
      <c r="J29" s="11">
        <v>0</v>
      </c>
      <c r="K29" s="11">
        <v>0</v>
      </c>
      <c r="L29" s="193">
        <v>0</v>
      </c>
      <c r="M29" s="193">
        <v>7722</v>
      </c>
      <c r="N29" s="193">
        <v>15370.88</v>
      </c>
      <c r="O29" s="193">
        <v>194774.3</v>
      </c>
      <c r="P29" s="193">
        <v>0</v>
      </c>
      <c r="Q29" s="193">
        <v>35407.129999999997</v>
      </c>
      <c r="R29" s="193">
        <v>0</v>
      </c>
      <c r="S29" s="193">
        <v>0</v>
      </c>
      <c r="T29" s="193">
        <v>253274.3</v>
      </c>
    </row>
    <row r="30" spans="1:20">
      <c r="A30" s="13">
        <v>26</v>
      </c>
      <c r="B30" s="216" t="s">
        <v>224</v>
      </c>
      <c r="C30" s="217"/>
      <c r="D30" s="200">
        <v>110</v>
      </c>
      <c r="E30" s="200">
        <v>197.375</v>
      </c>
      <c r="F30" s="200">
        <v>6868.85</v>
      </c>
      <c r="G30" s="201">
        <v>0</v>
      </c>
      <c r="H30" s="201">
        <v>192.625</v>
      </c>
      <c r="I30" s="10">
        <v>0</v>
      </c>
      <c r="J30" s="11">
        <v>0</v>
      </c>
      <c r="K30" s="11">
        <v>0</v>
      </c>
      <c r="L30" s="193">
        <v>0</v>
      </c>
      <c r="M30" s="193">
        <v>12870</v>
      </c>
      <c r="N30" s="193">
        <v>23092.880000000001</v>
      </c>
      <c r="O30" s="193">
        <v>192327.8</v>
      </c>
      <c r="P30" s="193">
        <v>0</v>
      </c>
      <c r="Q30" s="193">
        <v>22537.13</v>
      </c>
      <c r="R30" s="193">
        <v>0</v>
      </c>
      <c r="S30" s="193">
        <v>0</v>
      </c>
      <c r="T30" s="193">
        <v>250827.8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138.75</v>
      </c>
      <c r="F31" s="200">
        <v>6730.1</v>
      </c>
      <c r="G31" s="201">
        <v>0</v>
      </c>
      <c r="H31" s="201">
        <v>361.25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16233.75</v>
      </c>
      <c r="O31" s="193">
        <v>188442.8</v>
      </c>
      <c r="P31" s="193">
        <v>0</v>
      </c>
      <c r="Q31" s="193">
        <v>42266.25</v>
      </c>
      <c r="R31" s="193">
        <v>0</v>
      </c>
      <c r="S31" s="193">
        <v>0</v>
      </c>
      <c r="T31" s="193">
        <v>246942.8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131.375</v>
      </c>
      <c r="F32" s="200">
        <v>6598.7250000000004</v>
      </c>
      <c r="G32" s="201">
        <v>0</v>
      </c>
      <c r="H32" s="201">
        <v>368.625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15370.88</v>
      </c>
      <c r="O32" s="193">
        <v>184764.3</v>
      </c>
      <c r="P32" s="193">
        <v>0</v>
      </c>
      <c r="Q32" s="193">
        <v>43129.13</v>
      </c>
      <c r="R32" s="193">
        <v>0</v>
      </c>
      <c r="S32" s="193">
        <v>0</v>
      </c>
      <c r="T32" s="193">
        <v>243264.3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65.3</v>
      </c>
      <c r="F33" s="200">
        <v>6533.4250000000002</v>
      </c>
      <c r="G33" s="201">
        <v>0</v>
      </c>
      <c r="H33" s="201">
        <v>434.7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7640.1</v>
      </c>
      <c r="O33" s="193">
        <v>182935.9</v>
      </c>
      <c r="P33" s="193">
        <v>0</v>
      </c>
      <c r="Q33" s="193">
        <v>50859.9</v>
      </c>
      <c r="R33" s="193">
        <v>0</v>
      </c>
      <c r="S33" s="193">
        <v>0</v>
      </c>
      <c r="T33" s="193">
        <v>241435.9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33</v>
      </c>
      <c r="F34" s="200">
        <v>6500.4250000000002</v>
      </c>
      <c r="G34" s="201">
        <v>0</v>
      </c>
      <c r="H34" s="201">
        <v>467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3861</v>
      </c>
      <c r="O34" s="193">
        <v>182011.9</v>
      </c>
      <c r="P34" s="193">
        <v>0</v>
      </c>
      <c r="Q34" s="193">
        <v>54639</v>
      </c>
      <c r="R34" s="193">
        <v>0</v>
      </c>
      <c r="S34" s="193">
        <v>0</v>
      </c>
      <c r="T34" s="193">
        <v>240511.9</v>
      </c>
    </row>
    <row r="35" spans="1:20">
      <c r="A35" s="13">
        <v>31</v>
      </c>
      <c r="B35" s="216" t="s">
        <v>229</v>
      </c>
      <c r="C35" s="217"/>
      <c r="D35" s="200">
        <v>44</v>
      </c>
      <c r="E35" s="200">
        <v>80.5</v>
      </c>
      <c r="F35" s="200">
        <v>6463.9250000000002</v>
      </c>
      <c r="G35" s="201">
        <v>0</v>
      </c>
      <c r="H35" s="201">
        <v>375.5</v>
      </c>
      <c r="I35" s="10">
        <v>0</v>
      </c>
      <c r="J35" s="11">
        <v>0</v>
      </c>
      <c r="K35" s="11">
        <v>0</v>
      </c>
      <c r="L35" s="193">
        <v>0</v>
      </c>
      <c r="M35" s="193">
        <v>5148</v>
      </c>
      <c r="N35" s="193">
        <v>9418.5</v>
      </c>
      <c r="O35" s="193">
        <v>180989.9</v>
      </c>
      <c r="P35" s="193">
        <v>0</v>
      </c>
      <c r="Q35" s="193">
        <v>43933.5</v>
      </c>
      <c r="R35" s="193">
        <v>0</v>
      </c>
      <c r="S35" s="193">
        <v>0</v>
      </c>
      <c r="T35" s="193">
        <v>239489.9</v>
      </c>
    </row>
    <row r="36" spans="1:20">
      <c r="D36" s="18">
        <v>2872.6</v>
      </c>
      <c r="E36" s="18">
        <v>2042.425</v>
      </c>
      <c r="F36" s="18">
        <v>216665.50000000006</v>
      </c>
      <c r="G36" s="18">
        <v>931.75</v>
      </c>
      <c r="H36" s="18">
        <v>10696.6</v>
      </c>
      <c r="I36" s="18">
        <v>0</v>
      </c>
      <c r="J36" s="19">
        <v>0</v>
      </c>
      <c r="K36" s="19">
        <v>0</v>
      </c>
      <c r="L36" s="194">
        <v>0</v>
      </c>
      <c r="M36" s="194">
        <v>336094.2</v>
      </c>
      <c r="N36" s="194">
        <v>238963.73</v>
      </c>
      <c r="O36" s="194">
        <v>6066634</v>
      </c>
      <c r="P36" s="194">
        <v>26089</v>
      </c>
      <c r="Q36" s="194">
        <v>1251502.2</v>
      </c>
      <c r="R36" s="194">
        <v>0</v>
      </c>
      <c r="S36" s="194">
        <v>0</v>
      </c>
      <c r="T36" s="194">
        <v>7919283.1299999999</v>
      </c>
    </row>
    <row r="37" spans="1:20">
      <c r="R37" s="21"/>
      <c r="S37" s="21"/>
      <c r="T37" s="195">
        <v>9661525.4100000001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ECF8-9EF5-4434-9634-585F5C2225E0}">
  <sheetPr codeName="Лист38">
    <pageSetUpPr fitToPage="1"/>
  </sheetPr>
  <dimension ref="A1:T37"/>
  <sheetViews>
    <sheetView topLeftCell="A13" workbookViewId="0">
      <selection activeCell="T37" sqref="T37"/>
    </sheetView>
  </sheetViews>
  <sheetFormatPr defaultRowHeight="15"/>
  <cols>
    <col min="1" max="3" width="8.796875" style="2"/>
    <col min="4" max="4" width="7.3984375" style="2" customWidth="1"/>
    <col min="5" max="5" width="7.19921875" style="2" customWidth="1"/>
    <col min="6" max="6" width="9.19921875" style="2" customWidth="1"/>
    <col min="7" max="7" width="9" style="2" customWidth="1"/>
    <col min="8" max="8" width="6.59765625" style="2" bestFit="1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289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290</v>
      </c>
      <c r="H3" s="209" t="s">
        <v>291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3726.0140000000001</v>
      </c>
      <c r="G5" s="201">
        <v>0</v>
      </c>
      <c r="H5" s="201"/>
      <c r="I5" s="10"/>
      <c r="J5" s="10"/>
      <c r="K5" s="11"/>
      <c r="L5" s="193">
        <v>0</v>
      </c>
      <c r="M5" s="193">
        <v>0</v>
      </c>
      <c r="N5" s="193">
        <v>0</v>
      </c>
      <c r="O5" s="193">
        <v>67068.25</v>
      </c>
      <c r="P5" s="193">
        <v>0</v>
      </c>
      <c r="Q5" s="193">
        <v>0</v>
      </c>
      <c r="R5" s="193">
        <v>0</v>
      </c>
      <c r="S5" s="193">
        <v>0</v>
      </c>
      <c r="T5" s="193">
        <v>67068.25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3726.0140000000001</v>
      </c>
      <c r="G6" s="201">
        <v>0</v>
      </c>
      <c r="H6" s="201"/>
      <c r="I6" s="10"/>
      <c r="J6" s="10"/>
      <c r="K6" s="11"/>
      <c r="L6" s="193">
        <v>0</v>
      </c>
      <c r="M6" s="193">
        <v>0</v>
      </c>
      <c r="N6" s="193">
        <v>0</v>
      </c>
      <c r="O6" s="193">
        <v>67068.25</v>
      </c>
      <c r="P6" s="193">
        <v>0</v>
      </c>
      <c r="Q6" s="193">
        <v>0</v>
      </c>
      <c r="R6" s="193">
        <v>0</v>
      </c>
      <c r="S6" s="193">
        <v>0</v>
      </c>
      <c r="T6" s="193">
        <v>67068.25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3726.0140000000001</v>
      </c>
      <c r="G7" s="201">
        <v>0</v>
      </c>
      <c r="H7" s="201"/>
      <c r="I7" s="10"/>
      <c r="J7" s="10"/>
      <c r="K7" s="11"/>
      <c r="L7" s="193">
        <v>0</v>
      </c>
      <c r="M7" s="193">
        <v>0</v>
      </c>
      <c r="N7" s="193">
        <v>0</v>
      </c>
      <c r="O7" s="193">
        <v>67068.25</v>
      </c>
      <c r="P7" s="193">
        <v>0</v>
      </c>
      <c r="Q7" s="193">
        <v>0</v>
      </c>
      <c r="R7" s="193">
        <v>0</v>
      </c>
      <c r="S7" s="193">
        <v>0</v>
      </c>
      <c r="T7" s="193">
        <v>67068.25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3726.0140000000001</v>
      </c>
      <c r="G8" s="201">
        <v>0</v>
      </c>
      <c r="H8" s="201"/>
      <c r="I8" s="10"/>
      <c r="J8" s="10"/>
      <c r="K8" s="11"/>
      <c r="L8" s="193">
        <v>0</v>
      </c>
      <c r="M8" s="193">
        <v>0</v>
      </c>
      <c r="N8" s="193">
        <v>0</v>
      </c>
      <c r="O8" s="193">
        <v>67068.25</v>
      </c>
      <c r="P8" s="193">
        <v>0</v>
      </c>
      <c r="Q8" s="193">
        <v>0</v>
      </c>
      <c r="R8" s="193">
        <v>0</v>
      </c>
      <c r="S8" s="193">
        <v>0</v>
      </c>
      <c r="T8" s="193">
        <v>67068.25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3726.0140000000001</v>
      </c>
      <c r="G9" s="201">
        <v>0</v>
      </c>
      <c r="H9" s="201"/>
      <c r="I9" s="10"/>
      <c r="J9" s="10"/>
      <c r="K9" s="11"/>
      <c r="L9" s="193">
        <v>0</v>
      </c>
      <c r="M9" s="193">
        <v>0</v>
      </c>
      <c r="N9" s="193">
        <v>0</v>
      </c>
      <c r="O9" s="193">
        <v>67068.25</v>
      </c>
      <c r="P9" s="193">
        <v>0</v>
      </c>
      <c r="Q9" s="193">
        <v>0</v>
      </c>
      <c r="R9" s="193">
        <v>0</v>
      </c>
      <c r="S9" s="193">
        <v>0</v>
      </c>
      <c r="T9" s="193">
        <v>67068.25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3726.0140000000001</v>
      </c>
      <c r="G10" s="201">
        <v>0</v>
      </c>
      <c r="H10" s="201"/>
      <c r="I10" s="10"/>
      <c r="J10" s="10"/>
      <c r="K10" s="11"/>
      <c r="L10" s="193">
        <v>0</v>
      </c>
      <c r="M10" s="193">
        <v>0</v>
      </c>
      <c r="N10" s="193">
        <v>0</v>
      </c>
      <c r="O10" s="193">
        <v>67068.25</v>
      </c>
      <c r="P10" s="193">
        <v>0</v>
      </c>
      <c r="Q10" s="193">
        <v>0</v>
      </c>
      <c r="R10" s="193">
        <v>0</v>
      </c>
      <c r="S10" s="193">
        <v>0</v>
      </c>
      <c r="T10" s="193">
        <v>67068.25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3726.0140000000001</v>
      </c>
      <c r="G11" s="201">
        <v>0</v>
      </c>
      <c r="H11" s="201"/>
      <c r="I11" s="10"/>
      <c r="J11" s="10"/>
      <c r="K11" s="11"/>
      <c r="L11" s="193">
        <v>0</v>
      </c>
      <c r="M11" s="193">
        <v>0</v>
      </c>
      <c r="N11" s="193">
        <v>0</v>
      </c>
      <c r="O11" s="193">
        <v>67068.25</v>
      </c>
      <c r="P11" s="193">
        <v>0</v>
      </c>
      <c r="Q11" s="193">
        <v>0</v>
      </c>
      <c r="R11" s="193">
        <v>0</v>
      </c>
      <c r="S11" s="193">
        <v>0</v>
      </c>
      <c r="T11" s="193">
        <v>67068.25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3726.0140000000001</v>
      </c>
      <c r="G12" s="201">
        <v>0</v>
      </c>
      <c r="H12" s="201"/>
      <c r="I12" s="10"/>
      <c r="J12" s="10"/>
      <c r="K12" s="11"/>
      <c r="L12" s="193">
        <v>0</v>
      </c>
      <c r="M12" s="193">
        <v>0</v>
      </c>
      <c r="N12" s="193">
        <v>0</v>
      </c>
      <c r="O12" s="193">
        <v>67068.25</v>
      </c>
      <c r="P12" s="193">
        <v>0</v>
      </c>
      <c r="Q12" s="193">
        <v>0</v>
      </c>
      <c r="R12" s="193">
        <v>0</v>
      </c>
      <c r="S12" s="193">
        <v>0</v>
      </c>
      <c r="T12" s="193">
        <v>67068.25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3726.0140000000001</v>
      </c>
      <c r="G13" s="201">
        <v>0</v>
      </c>
      <c r="H13" s="201"/>
      <c r="I13" s="10"/>
      <c r="J13" s="10"/>
      <c r="K13" s="11"/>
      <c r="L13" s="193">
        <v>0</v>
      </c>
      <c r="M13" s="193">
        <v>0</v>
      </c>
      <c r="N13" s="193">
        <v>0</v>
      </c>
      <c r="O13" s="193">
        <v>67068.25</v>
      </c>
      <c r="P13" s="193">
        <v>0</v>
      </c>
      <c r="Q13" s="193">
        <v>0</v>
      </c>
      <c r="R13" s="193">
        <v>0</v>
      </c>
      <c r="S13" s="193">
        <v>0</v>
      </c>
      <c r="T13" s="193">
        <v>67068.25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3726.0140000000001</v>
      </c>
      <c r="G14" s="201">
        <v>0</v>
      </c>
      <c r="H14" s="201"/>
      <c r="I14" s="10"/>
      <c r="J14" s="10"/>
      <c r="K14" s="11"/>
      <c r="L14" s="193">
        <v>0</v>
      </c>
      <c r="M14" s="193">
        <v>0</v>
      </c>
      <c r="N14" s="193">
        <v>0</v>
      </c>
      <c r="O14" s="193">
        <v>67068.25</v>
      </c>
      <c r="P14" s="193">
        <v>0</v>
      </c>
      <c r="Q14" s="193">
        <v>0</v>
      </c>
      <c r="R14" s="193">
        <v>0</v>
      </c>
      <c r="S14" s="193">
        <v>0</v>
      </c>
      <c r="T14" s="193">
        <v>67068.25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3726.0140000000001</v>
      </c>
      <c r="G15" s="201">
        <v>0</v>
      </c>
      <c r="H15" s="201"/>
      <c r="I15" s="10"/>
      <c r="J15" s="10"/>
      <c r="K15" s="11"/>
      <c r="L15" s="193">
        <v>0</v>
      </c>
      <c r="M15" s="193">
        <v>0</v>
      </c>
      <c r="N15" s="193">
        <v>0</v>
      </c>
      <c r="O15" s="193">
        <v>67068.25</v>
      </c>
      <c r="P15" s="193">
        <v>0</v>
      </c>
      <c r="Q15" s="193">
        <v>0</v>
      </c>
      <c r="R15" s="193">
        <v>0</v>
      </c>
      <c r="S15" s="193">
        <v>0</v>
      </c>
      <c r="T15" s="193">
        <v>67068.25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3726.0140000000001</v>
      </c>
      <c r="G16" s="201">
        <v>0</v>
      </c>
      <c r="H16" s="201"/>
      <c r="I16" s="10"/>
      <c r="J16" s="10"/>
      <c r="K16" s="16"/>
      <c r="L16" s="193">
        <v>0</v>
      </c>
      <c r="M16" s="193">
        <v>0</v>
      </c>
      <c r="N16" s="193">
        <v>0</v>
      </c>
      <c r="O16" s="193">
        <v>67068.25</v>
      </c>
      <c r="P16" s="193">
        <v>0</v>
      </c>
      <c r="Q16" s="193">
        <v>0</v>
      </c>
      <c r="R16" s="193">
        <v>0</v>
      </c>
      <c r="S16" s="193">
        <v>0</v>
      </c>
      <c r="T16" s="193">
        <v>67068.25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3726.0140000000001</v>
      </c>
      <c r="G17" s="201">
        <v>0</v>
      </c>
      <c r="H17" s="201"/>
      <c r="I17" s="10"/>
      <c r="J17" s="10"/>
      <c r="K17" s="11"/>
      <c r="L17" s="193">
        <v>0</v>
      </c>
      <c r="M17" s="193">
        <v>0</v>
      </c>
      <c r="N17" s="193">
        <v>0</v>
      </c>
      <c r="O17" s="193">
        <v>67068.25</v>
      </c>
      <c r="P17" s="193">
        <v>0</v>
      </c>
      <c r="Q17" s="193">
        <v>0</v>
      </c>
      <c r="R17" s="193">
        <v>0</v>
      </c>
      <c r="S17" s="193">
        <v>0</v>
      </c>
      <c r="T17" s="193">
        <v>67068.25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3726.0140000000001</v>
      </c>
      <c r="G18" s="201">
        <v>0</v>
      </c>
      <c r="H18" s="201"/>
      <c r="I18" s="10"/>
      <c r="J18" s="10"/>
      <c r="K18" s="11"/>
      <c r="L18" s="193">
        <v>0</v>
      </c>
      <c r="M18" s="193">
        <v>0</v>
      </c>
      <c r="N18" s="193">
        <v>0</v>
      </c>
      <c r="O18" s="193">
        <v>67068.25</v>
      </c>
      <c r="P18" s="193">
        <v>0</v>
      </c>
      <c r="Q18" s="193">
        <v>0</v>
      </c>
      <c r="R18" s="193">
        <v>0</v>
      </c>
      <c r="S18" s="193">
        <v>0</v>
      </c>
      <c r="T18" s="193">
        <v>67068.25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194.4</v>
      </c>
      <c r="F19" s="200">
        <v>3531.614</v>
      </c>
      <c r="G19" s="201">
        <v>0</v>
      </c>
      <c r="H19" s="201"/>
      <c r="I19" s="10"/>
      <c r="J19" s="10"/>
      <c r="K19" s="11"/>
      <c r="L19" s="193">
        <v>0</v>
      </c>
      <c r="M19" s="193">
        <v>0</v>
      </c>
      <c r="N19" s="193">
        <v>22356</v>
      </c>
      <c r="O19" s="193">
        <v>63569.05</v>
      </c>
      <c r="P19" s="193">
        <v>0</v>
      </c>
      <c r="Q19" s="193">
        <v>0</v>
      </c>
      <c r="R19" s="193">
        <v>0</v>
      </c>
      <c r="S19" s="193">
        <v>0</v>
      </c>
      <c r="T19" s="193">
        <v>85925.05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183.447</v>
      </c>
      <c r="F20" s="200">
        <v>3348.1669999999999</v>
      </c>
      <c r="G20" s="201">
        <v>0</v>
      </c>
      <c r="H20" s="201"/>
      <c r="I20" s="10"/>
      <c r="J20" s="10"/>
      <c r="K20" s="11"/>
      <c r="L20" s="193">
        <v>0</v>
      </c>
      <c r="M20" s="193">
        <v>0</v>
      </c>
      <c r="N20" s="193">
        <v>21096.41</v>
      </c>
      <c r="O20" s="193">
        <v>60267.01</v>
      </c>
      <c r="P20" s="193">
        <v>0</v>
      </c>
      <c r="Q20" s="193">
        <v>0</v>
      </c>
      <c r="R20" s="193">
        <v>0</v>
      </c>
      <c r="S20" s="193">
        <v>0</v>
      </c>
      <c r="T20" s="193">
        <v>81363.41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216</v>
      </c>
      <c r="F21" s="200">
        <v>3132.1669999999999</v>
      </c>
      <c r="G21" s="201">
        <v>0</v>
      </c>
      <c r="H21" s="201"/>
      <c r="I21" s="10"/>
      <c r="J21" s="10"/>
      <c r="K21" s="11"/>
      <c r="L21" s="193">
        <v>0</v>
      </c>
      <c r="M21" s="193">
        <v>0</v>
      </c>
      <c r="N21" s="193">
        <v>24840</v>
      </c>
      <c r="O21" s="193">
        <v>56379.01</v>
      </c>
      <c r="P21" s="193">
        <v>0</v>
      </c>
      <c r="Q21" s="193">
        <v>0</v>
      </c>
      <c r="R21" s="193">
        <v>0</v>
      </c>
      <c r="S21" s="193">
        <v>0</v>
      </c>
      <c r="T21" s="193">
        <v>81219.009999999995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410.4</v>
      </c>
      <c r="F22" s="200">
        <v>2721.7669999999998</v>
      </c>
      <c r="G22" s="201">
        <v>0</v>
      </c>
      <c r="H22" s="201"/>
      <c r="I22" s="10"/>
      <c r="J22" s="10"/>
      <c r="K22" s="11"/>
      <c r="L22" s="193">
        <v>0</v>
      </c>
      <c r="M22" s="193">
        <v>0</v>
      </c>
      <c r="N22" s="193">
        <v>47196</v>
      </c>
      <c r="O22" s="193">
        <v>48991.81</v>
      </c>
      <c r="P22" s="193">
        <v>0</v>
      </c>
      <c r="Q22" s="193">
        <v>0</v>
      </c>
      <c r="R22" s="193">
        <v>0</v>
      </c>
      <c r="S22" s="193">
        <v>0</v>
      </c>
      <c r="T22" s="193">
        <v>96187.81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304.012</v>
      </c>
      <c r="F23" s="200">
        <v>2417.7550000000001</v>
      </c>
      <c r="G23" s="201">
        <v>0</v>
      </c>
      <c r="H23" s="201"/>
      <c r="I23" s="10"/>
      <c r="J23" s="10"/>
      <c r="K23" s="11"/>
      <c r="L23" s="193">
        <v>0</v>
      </c>
      <c r="M23" s="193">
        <v>0</v>
      </c>
      <c r="N23" s="193">
        <v>34961.379999999997</v>
      </c>
      <c r="O23" s="193">
        <v>43519.59</v>
      </c>
      <c r="P23" s="193">
        <v>0</v>
      </c>
      <c r="Q23" s="193">
        <v>0</v>
      </c>
      <c r="R23" s="193">
        <v>0</v>
      </c>
      <c r="S23" s="193">
        <v>0</v>
      </c>
      <c r="T23" s="193">
        <v>78480.97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253.393</v>
      </c>
      <c r="F24" s="200">
        <v>2164.3620000000001</v>
      </c>
      <c r="G24" s="201">
        <v>0</v>
      </c>
      <c r="H24" s="201"/>
      <c r="I24" s="10"/>
      <c r="J24" s="10"/>
      <c r="K24" s="11"/>
      <c r="L24" s="193">
        <v>0</v>
      </c>
      <c r="M24" s="193">
        <v>0</v>
      </c>
      <c r="N24" s="193">
        <v>29140.2</v>
      </c>
      <c r="O24" s="193">
        <v>38958.519999999997</v>
      </c>
      <c r="P24" s="193">
        <v>0</v>
      </c>
      <c r="Q24" s="193">
        <v>0</v>
      </c>
      <c r="R24" s="193">
        <v>0</v>
      </c>
      <c r="S24" s="193">
        <v>0</v>
      </c>
      <c r="T24" s="193">
        <v>68098.710000000006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275.06299999999999</v>
      </c>
      <c r="F25" s="200">
        <v>1889.299</v>
      </c>
      <c r="G25" s="201">
        <v>0</v>
      </c>
      <c r="H25" s="201"/>
      <c r="I25" s="10"/>
      <c r="J25" s="10"/>
      <c r="K25" s="11"/>
      <c r="L25" s="193">
        <v>0</v>
      </c>
      <c r="M25" s="193">
        <v>0</v>
      </c>
      <c r="N25" s="193">
        <v>31632.25</v>
      </c>
      <c r="O25" s="193">
        <v>34007.379999999997</v>
      </c>
      <c r="P25" s="193">
        <v>0</v>
      </c>
      <c r="Q25" s="193">
        <v>0</v>
      </c>
      <c r="R25" s="193">
        <v>0</v>
      </c>
      <c r="S25" s="193">
        <v>0</v>
      </c>
      <c r="T25" s="193">
        <v>65639.63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275.76900000000001</v>
      </c>
      <c r="F26" s="200">
        <v>1613.53</v>
      </c>
      <c r="G26" s="201">
        <v>0</v>
      </c>
      <c r="H26" s="201"/>
      <c r="I26" s="10"/>
      <c r="J26" s="10"/>
      <c r="K26" s="11"/>
      <c r="L26" s="193">
        <v>0</v>
      </c>
      <c r="M26" s="193">
        <v>0</v>
      </c>
      <c r="N26" s="193">
        <v>31713.439999999999</v>
      </c>
      <c r="O26" s="193">
        <v>29043.54</v>
      </c>
      <c r="P26" s="193">
        <v>0</v>
      </c>
      <c r="Q26" s="193">
        <v>0</v>
      </c>
      <c r="R26" s="193">
        <v>0</v>
      </c>
      <c r="S26" s="193">
        <v>0</v>
      </c>
      <c r="T26" s="193">
        <v>60756.98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147.78800000000001</v>
      </c>
      <c r="F27" s="200">
        <v>1465.742</v>
      </c>
      <c r="G27" s="201">
        <v>0</v>
      </c>
      <c r="H27" s="201"/>
      <c r="I27" s="10"/>
      <c r="J27" s="10"/>
      <c r="K27" s="11"/>
      <c r="L27" s="193">
        <v>0</v>
      </c>
      <c r="M27" s="193">
        <v>0</v>
      </c>
      <c r="N27" s="193">
        <v>16995.62</v>
      </c>
      <c r="O27" s="193">
        <v>26383.360000000001</v>
      </c>
      <c r="P27" s="193">
        <v>0</v>
      </c>
      <c r="Q27" s="193">
        <v>0</v>
      </c>
      <c r="R27" s="193">
        <v>0</v>
      </c>
      <c r="S27" s="193">
        <v>0</v>
      </c>
      <c r="T27" s="193">
        <v>43378.98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147.67699999999999</v>
      </c>
      <c r="F28" s="200">
        <v>1318.0650000000001</v>
      </c>
      <c r="G28" s="201">
        <v>0</v>
      </c>
      <c r="H28" s="201"/>
      <c r="I28" s="10"/>
      <c r="J28" s="10"/>
      <c r="K28" s="11"/>
      <c r="L28" s="193">
        <v>0</v>
      </c>
      <c r="M28" s="193">
        <v>0</v>
      </c>
      <c r="N28" s="193">
        <v>16982.86</v>
      </c>
      <c r="O28" s="193">
        <v>23725.17</v>
      </c>
      <c r="P28" s="193">
        <v>0</v>
      </c>
      <c r="Q28" s="193">
        <v>0</v>
      </c>
      <c r="R28" s="193">
        <v>0</v>
      </c>
      <c r="S28" s="193">
        <v>0</v>
      </c>
      <c r="T28" s="193">
        <v>40708.03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296.95299999999997</v>
      </c>
      <c r="F29" s="200">
        <v>1021.112</v>
      </c>
      <c r="G29" s="201">
        <v>0</v>
      </c>
      <c r="H29" s="201"/>
      <c r="I29" s="10"/>
      <c r="J29" s="10"/>
      <c r="K29" s="11"/>
      <c r="L29" s="193">
        <v>0</v>
      </c>
      <c r="M29" s="193">
        <v>0</v>
      </c>
      <c r="N29" s="193">
        <v>34149.599999999999</v>
      </c>
      <c r="O29" s="193">
        <v>18380.02</v>
      </c>
      <c r="P29" s="193">
        <v>0</v>
      </c>
      <c r="Q29" s="193">
        <v>0</v>
      </c>
      <c r="R29" s="193">
        <v>0</v>
      </c>
      <c r="S29" s="193">
        <v>0</v>
      </c>
      <c r="T29" s="193">
        <v>52529.61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319.21100000000001</v>
      </c>
      <c r="F30" s="200">
        <v>701.90099999999995</v>
      </c>
      <c r="G30" s="201">
        <v>0</v>
      </c>
      <c r="H30" s="201"/>
      <c r="I30" s="10"/>
      <c r="J30" s="10"/>
      <c r="K30" s="11"/>
      <c r="L30" s="193">
        <v>0</v>
      </c>
      <c r="M30" s="193">
        <v>0</v>
      </c>
      <c r="N30" s="193">
        <v>36709.269999999997</v>
      </c>
      <c r="O30" s="193">
        <v>12634.22</v>
      </c>
      <c r="P30" s="193">
        <v>0</v>
      </c>
      <c r="Q30" s="193">
        <v>0</v>
      </c>
      <c r="R30" s="193">
        <v>0</v>
      </c>
      <c r="S30" s="193">
        <v>0</v>
      </c>
      <c r="T30" s="193">
        <v>49343.48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242.60599999999999</v>
      </c>
      <c r="F31" s="200">
        <v>459.29500000000002</v>
      </c>
      <c r="G31" s="201">
        <v>0</v>
      </c>
      <c r="H31" s="201"/>
      <c r="I31" s="10"/>
      <c r="J31" s="10"/>
      <c r="K31" s="11"/>
      <c r="L31" s="193">
        <v>0</v>
      </c>
      <c r="M31" s="193">
        <v>0</v>
      </c>
      <c r="N31" s="193">
        <v>27899.69</v>
      </c>
      <c r="O31" s="193">
        <v>8267.31</v>
      </c>
      <c r="P31" s="193">
        <v>0</v>
      </c>
      <c r="Q31" s="193">
        <v>0</v>
      </c>
      <c r="R31" s="193">
        <v>0</v>
      </c>
      <c r="S31" s="193">
        <v>0</v>
      </c>
      <c r="T31" s="193">
        <v>36167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184.995</v>
      </c>
      <c r="F32" s="200">
        <v>274.3</v>
      </c>
      <c r="G32" s="201">
        <v>0</v>
      </c>
      <c r="H32" s="201"/>
      <c r="I32" s="10"/>
      <c r="J32" s="10"/>
      <c r="K32" s="11"/>
      <c r="L32" s="193">
        <v>0</v>
      </c>
      <c r="M32" s="193">
        <v>0</v>
      </c>
      <c r="N32" s="193">
        <v>21274.43</v>
      </c>
      <c r="O32" s="193">
        <v>4937.3999999999996</v>
      </c>
      <c r="P32" s="193">
        <v>0</v>
      </c>
      <c r="Q32" s="193">
        <v>0</v>
      </c>
      <c r="R32" s="193">
        <v>0</v>
      </c>
      <c r="S32" s="193">
        <v>0</v>
      </c>
      <c r="T32" s="193">
        <v>26211.83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71.171999999999997</v>
      </c>
      <c r="F33" s="200">
        <v>203.12799999999999</v>
      </c>
      <c r="G33" s="201">
        <v>0</v>
      </c>
      <c r="H33" s="201"/>
      <c r="I33" s="10"/>
      <c r="J33" s="10"/>
      <c r="K33" s="11"/>
      <c r="L33" s="193">
        <v>0</v>
      </c>
      <c r="M33" s="193">
        <v>0</v>
      </c>
      <c r="N33" s="193">
        <v>8184.78</v>
      </c>
      <c r="O33" s="193">
        <v>3656.3</v>
      </c>
      <c r="P33" s="193">
        <v>0</v>
      </c>
      <c r="Q33" s="193">
        <v>0</v>
      </c>
      <c r="R33" s="193">
        <v>0</v>
      </c>
      <c r="S33" s="193">
        <v>0</v>
      </c>
      <c r="T33" s="193">
        <v>11841.08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173.39599999999999</v>
      </c>
      <c r="F34" s="200">
        <v>29.731999999999999</v>
      </c>
      <c r="G34" s="201">
        <v>0</v>
      </c>
      <c r="H34" s="201"/>
      <c r="I34" s="10"/>
      <c r="J34" s="10"/>
      <c r="K34" s="11"/>
      <c r="L34" s="193">
        <v>0</v>
      </c>
      <c r="M34" s="193">
        <v>0</v>
      </c>
      <c r="N34" s="193">
        <v>19940.54</v>
      </c>
      <c r="O34" s="193">
        <v>535.17999999999995</v>
      </c>
      <c r="P34" s="193">
        <v>0</v>
      </c>
      <c r="Q34" s="193">
        <v>0</v>
      </c>
      <c r="R34" s="193">
        <v>0</v>
      </c>
      <c r="S34" s="193">
        <v>0</v>
      </c>
      <c r="T34" s="193">
        <v>20475.72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29.731999999999999</v>
      </c>
      <c r="F35" s="200">
        <v>0</v>
      </c>
      <c r="G35" s="201">
        <v>0</v>
      </c>
      <c r="H35" s="201"/>
      <c r="I35" s="10"/>
      <c r="J35" s="10"/>
      <c r="K35" s="11"/>
      <c r="L35" s="193">
        <v>0</v>
      </c>
      <c r="M35" s="193">
        <v>0</v>
      </c>
      <c r="N35" s="193">
        <v>3419.18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3419.18</v>
      </c>
    </row>
    <row r="36" spans="1:20">
      <c r="D36" s="18">
        <v>0</v>
      </c>
      <c r="E36" s="18">
        <v>3726.0140000000001</v>
      </c>
      <c r="F36" s="18">
        <v>78456.131999999998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4">
        <v>0</v>
      </c>
      <c r="M36" s="194">
        <v>0</v>
      </c>
      <c r="N36" s="194">
        <v>428491.61</v>
      </c>
      <c r="O36" s="194">
        <v>1412210.38</v>
      </c>
      <c r="P36" s="194">
        <v>0</v>
      </c>
      <c r="Q36" s="194">
        <v>0</v>
      </c>
      <c r="R36" s="194">
        <v>0</v>
      </c>
      <c r="S36" s="194">
        <v>0</v>
      </c>
      <c r="T36" s="194">
        <v>1840701.99</v>
      </c>
    </row>
    <row r="37" spans="1:20">
      <c r="R37" s="21"/>
      <c r="S37" s="21"/>
      <c r="T37" s="195">
        <v>2245656.42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20A6-9A95-4564-9B56-A967DF26FA98}">
  <sheetPr codeName="Лист39">
    <pageSetUpPr fitToPage="1"/>
  </sheetPr>
  <dimension ref="A1:T37"/>
  <sheetViews>
    <sheetView topLeftCell="A19" workbookViewId="0">
      <selection activeCell="T37" sqref="T37"/>
    </sheetView>
  </sheetViews>
  <sheetFormatPr defaultRowHeight="15"/>
  <cols>
    <col min="1" max="3" width="8.796875" style="2"/>
    <col min="4" max="4" width="8.59765625" style="2" customWidth="1"/>
    <col min="5" max="5" width="8.09765625" style="2" customWidth="1"/>
    <col min="6" max="6" width="9" style="2" customWidth="1"/>
    <col min="7" max="7" width="6.69921875" style="2" bestFit="1" customWidth="1"/>
    <col min="8" max="8" width="6.5" style="2" bestFit="1" customWidth="1"/>
    <col min="9" max="9" width="7.296875" style="2" bestFit="1" customWidth="1"/>
    <col min="10" max="10" width="6.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292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293</v>
      </c>
      <c r="H3" s="209" t="s">
        <v>294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1.575</v>
      </c>
      <c r="G5" s="201"/>
      <c r="H5" s="201"/>
      <c r="I5" s="10">
        <v>0</v>
      </c>
      <c r="J5" s="10">
        <v>0</v>
      </c>
      <c r="K5" s="11"/>
      <c r="L5" s="193">
        <v>0</v>
      </c>
      <c r="M5" s="193">
        <v>0</v>
      </c>
      <c r="N5" s="193">
        <v>0</v>
      </c>
      <c r="O5" s="193">
        <v>22.84</v>
      </c>
      <c r="P5" s="193">
        <v>0</v>
      </c>
      <c r="Q5" s="193">
        <v>0</v>
      </c>
      <c r="R5" s="193">
        <v>0</v>
      </c>
      <c r="S5" s="193">
        <v>0</v>
      </c>
      <c r="T5" s="193">
        <v>22.84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1.575</v>
      </c>
      <c r="G6" s="201"/>
      <c r="H6" s="201"/>
      <c r="I6" s="10">
        <v>0</v>
      </c>
      <c r="J6" s="10">
        <v>0</v>
      </c>
      <c r="K6" s="11"/>
      <c r="L6" s="193">
        <v>0</v>
      </c>
      <c r="M6" s="193">
        <v>0</v>
      </c>
      <c r="N6" s="193">
        <v>0</v>
      </c>
      <c r="O6" s="193">
        <v>22.84</v>
      </c>
      <c r="P6" s="193">
        <v>0</v>
      </c>
      <c r="Q6" s="193">
        <v>0</v>
      </c>
      <c r="R6" s="193">
        <v>0</v>
      </c>
      <c r="S6" s="193">
        <v>0</v>
      </c>
      <c r="T6" s="193">
        <v>22.84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1.575</v>
      </c>
      <c r="G7" s="201"/>
      <c r="H7" s="201"/>
      <c r="I7" s="10">
        <v>0</v>
      </c>
      <c r="J7" s="10">
        <v>0</v>
      </c>
      <c r="K7" s="11"/>
      <c r="L7" s="193">
        <v>0</v>
      </c>
      <c r="M7" s="193">
        <v>0</v>
      </c>
      <c r="N7" s="193">
        <v>0</v>
      </c>
      <c r="O7" s="193">
        <v>22.84</v>
      </c>
      <c r="P7" s="193">
        <v>0</v>
      </c>
      <c r="Q7" s="193">
        <v>0</v>
      </c>
      <c r="R7" s="193">
        <v>0</v>
      </c>
      <c r="S7" s="193">
        <v>0</v>
      </c>
      <c r="T7" s="193">
        <v>22.84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1.575</v>
      </c>
      <c r="G8" s="201"/>
      <c r="H8" s="201"/>
      <c r="I8" s="10">
        <v>0</v>
      </c>
      <c r="J8" s="10">
        <v>0</v>
      </c>
      <c r="K8" s="11"/>
      <c r="L8" s="193">
        <v>0</v>
      </c>
      <c r="M8" s="193">
        <v>0</v>
      </c>
      <c r="N8" s="193">
        <v>0</v>
      </c>
      <c r="O8" s="193">
        <v>22.84</v>
      </c>
      <c r="P8" s="193">
        <v>0</v>
      </c>
      <c r="Q8" s="193">
        <v>0</v>
      </c>
      <c r="R8" s="193">
        <v>0</v>
      </c>
      <c r="S8" s="193">
        <v>0</v>
      </c>
      <c r="T8" s="193">
        <v>22.84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1.575</v>
      </c>
      <c r="G9" s="201"/>
      <c r="H9" s="201"/>
      <c r="I9" s="10">
        <v>0</v>
      </c>
      <c r="J9" s="10">
        <v>0</v>
      </c>
      <c r="K9" s="11"/>
      <c r="L9" s="193">
        <v>0</v>
      </c>
      <c r="M9" s="193">
        <v>0</v>
      </c>
      <c r="N9" s="193">
        <v>0</v>
      </c>
      <c r="O9" s="193">
        <v>22.84</v>
      </c>
      <c r="P9" s="193">
        <v>0</v>
      </c>
      <c r="Q9" s="193">
        <v>0</v>
      </c>
      <c r="R9" s="193">
        <v>0</v>
      </c>
      <c r="S9" s="193">
        <v>0</v>
      </c>
      <c r="T9" s="193">
        <v>22.84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1.575</v>
      </c>
      <c r="G10" s="201"/>
      <c r="H10" s="201"/>
      <c r="I10" s="10">
        <v>0</v>
      </c>
      <c r="J10" s="10">
        <v>0</v>
      </c>
      <c r="K10" s="11"/>
      <c r="L10" s="193">
        <v>0</v>
      </c>
      <c r="M10" s="193">
        <v>0</v>
      </c>
      <c r="N10" s="193">
        <v>0</v>
      </c>
      <c r="O10" s="193">
        <v>22.84</v>
      </c>
      <c r="P10" s="193">
        <v>0</v>
      </c>
      <c r="Q10" s="193">
        <v>0</v>
      </c>
      <c r="R10" s="193">
        <v>0</v>
      </c>
      <c r="S10" s="193">
        <v>0</v>
      </c>
      <c r="T10" s="193">
        <v>22.84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1.575</v>
      </c>
      <c r="G11" s="201"/>
      <c r="H11" s="201"/>
      <c r="I11" s="10">
        <v>0</v>
      </c>
      <c r="J11" s="10">
        <v>0</v>
      </c>
      <c r="K11" s="11"/>
      <c r="L11" s="193">
        <v>0</v>
      </c>
      <c r="M11" s="193">
        <v>0</v>
      </c>
      <c r="N11" s="193">
        <v>0</v>
      </c>
      <c r="O11" s="193">
        <v>22.84</v>
      </c>
      <c r="P11" s="193">
        <v>0</v>
      </c>
      <c r="Q11" s="193">
        <v>0</v>
      </c>
      <c r="R11" s="193">
        <v>0</v>
      </c>
      <c r="S11" s="193">
        <v>0</v>
      </c>
      <c r="T11" s="193">
        <v>22.84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1.575</v>
      </c>
      <c r="G12" s="201"/>
      <c r="H12" s="201"/>
      <c r="I12" s="10">
        <v>0</v>
      </c>
      <c r="J12" s="10">
        <v>0</v>
      </c>
      <c r="K12" s="11"/>
      <c r="L12" s="193">
        <v>0</v>
      </c>
      <c r="M12" s="193">
        <v>0</v>
      </c>
      <c r="N12" s="193">
        <v>0</v>
      </c>
      <c r="O12" s="193">
        <v>22.84</v>
      </c>
      <c r="P12" s="193">
        <v>0</v>
      </c>
      <c r="Q12" s="193">
        <v>0</v>
      </c>
      <c r="R12" s="193">
        <v>0</v>
      </c>
      <c r="S12" s="193">
        <v>0</v>
      </c>
      <c r="T12" s="193">
        <v>22.84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1.575</v>
      </c>
      <c r="G13" s="201"/>
      <c r="H13" s="201"/>
      <c r="I13" s="10">
        <v>0</v>
      </c>
      <c r="J13" s="10">
        <v>0</v>
      </c>
      <c r="K13" s="11"/>
      <c r="L13" s="193">
        <v>0</v>
      </c>
      <c r="M13" s="193">
        <v>0</v>
      </c>
      <c r="N13" s="193">
        <v>0</v>
      </c>
      <c r="O13" s="193">
        <v>22.84</v>
      </c>
      <c r="P13" s="193">
        <v>0</v>
      </c>
      <c r="Q13" s="193">
        <v>0</v>
      </c>
      <c r="R13" s="193">
        <v>0</v>
      </c>
      <c r="S13" s="193">
        <v>0</v>
      </c>
      <c r="T13" s="193">
        <v>22.84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1.575</v>
      </c>
      <c r="G14" s="201"/>
      <c r="H14" s="201"/>
      <c r="I14" s="10">
        <v>0</v>
      </c>
      <c r="J14" s="10">
        <v>0</v>
      </c>
      <c r="K14" s="11"/>
      <c r="L14" s="193">
        <v>0</v>
      </c>
      <c r="M14" s="193">
        <v>0</v>
      </c>
      <c r="N14" s="193">
        <v>0</v>
      </c>
      <c r="O14" s="193">
        <v>22.84</v>
      </c>
      <c r="P14" s="193">
        <v>0</v>
      </c>
      <c r="Q14" s="193">
        <v>0</v>
      </c>
      <c r="R14" s="193">
        <v>0</v>
      </c>
      <c r="S14" s="193">
        <v>0</v>
      </c>
      <c r="T14" s="193">
        <v>22.84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1.575</v>
      </c>
      <c r="G15" s="201"/>
      <c r="H15" s="201"/>
      <c r="I15" s="10">
        <v>0</v>
      </c>
      <c r="J15" s="10">
        <v>0</v>
      </c>
      <c r="K15" s="11"/>
      <c r="L15" s="193">
        <v>0</v>
      </c>
      <c r="M15" s="193">
        <v>0</v>
      </c>
      <c r="N15" s="193">
        <v>0</v>
      </c>
      <c r="O15" s="193">
        <v>22.84</v>
      </c>
      <c r="P15" s="193">
        <v>0</v>
      </c>
      <c r="Q15" s="193">
        <v>0</v>
      </c>
      <c r="R15" s="193">
        <v>0</v>
      </c>
      <c r="S15" s="193">
        <v>0</v>
      </c>
      <c r="T15" s="193">
        <v>22.84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1.575</v>
      </c>
      <c r="G16" s="201"/>
      <c r="H16" s="201"/>
      <c r="I16" s="10">
        <v>0</v>
      </c>
      <c r="J16" s="10">
        <v>0</v>
      </c>
      <c r="K16" s="16"/>
      <c r="L16" s="193">
        <v>0</v>
      </c>
      <c r="M16" s="193">
        <v>0</v>
      </c>
      <c r="N16" s="193">
        <v>0</v>
      </c>
      <c r="O16" s="193">
        <v>22.84</v>
      </c>
      <c r="P16" s="193">
        <v>0</v>
      </c>
      <c r="Q16" s="193">
        <v>0</v>
      </c>
      <c r="R16" s="193">
        <v>0</v>
      </c>
      <c r="S16" s="193">
        <v>0</v>
      </c>
      <c r="T16" s="193">
        <v>22.84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1.575</v>
      </c>
      <c r="G17" s="201"/>
      <c r="H17" s="201"/>
      <c r="I17" s="10">
        <v>0</v>
      </c>
      <c r="J17" s="10">
        <v>0</v>
      </c>
      <c r="K17" s="11"/>
      <c r="L17" s="193">
        <v>0</v>
      </c>
      <c r="M17" s="193">
        <v>0</v>
      </c>
      <c r="N17" s="193">
        <v>0</v>
      </c>
      <c r="O17" s="193">
        <v>22.84</v>
      </c>
      <c r="P17" s="193">
        <v>0</v>
      </c>
      <c r="Q17" s="193">
        <v>0</v>
      </c>
      <c r="R17" s="193">
        <v>0</v>
      </c>
      <c r="S17" s="193">
        <v>0</v>
      </c>
      <c r="T17" s="193">
        <v>22.84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1.575</v>
      </c>
      <c r="G18" s="201"/>
      <c r="H18" s="201"/>
      <c r="I18" s="10">
        <v>0</v>
      </c>
      <c r="J18" s="10">
        <v>0</v>
      </c>
      <c r="K18" s="11"/>
      <c r="L18" s="193">
        <v>0</v>
      </c>
      <c r="M18" s="193">
        <v>0</v>
      </c>
      <c r="N18" s="193">
        <v>0</v>
      </c>
      <c r="O18" s="193">
        <v>22.84</v>
      </c>
      <c r="P18" s="193">
        <v>0</v>
      </c>
      <c r="Q18" s="193">
        <v>0</v>
      </c>
      <c r="R18" s="193">
        <v>0</v>
      </c>
      <c r="S18" s="193">
        <v>0</v>
      </c>
      <c r="T18" s="193">
        <v>22.84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1.575</v>
      </c>
      <c r="G19" s="201"/>
      <c r="H19" s="201"/>
      <c r="I19" s="10">
        <v>0</v>
      </c>
      <c r="J19" s="10">
        <v>0</v>
      </c>
      <c r="K19" s="11"/>
      <c r="L19" s="193">
        <v>0</v>
      </c>
      <c r="M19" s="193">
        <v>0</v>
      </c>
      <c r="N19" s="193">
        <v>0</v>
      </c>
      <c r="O19" s="193">
        <v>22.84</v>
      </c>
      <c r="P19" s="193">
        <v>0</v>
      </c>
      <c r="Q19" s="193">
        <v>0</v>
      </c>
      <c r="R19" s="193">
        <v>0</v>
      </c>
      <c r="S19" s="193">
        <v>0</v>
      </c>
      <c r="T19" s="193">
        <v>22.84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1.575</v>
      </c>
      <c r="G20" s="201"/>
      <c r="H20" s="201"/>
      <c r="I20" s="10">
        <v>0</v>
      </c>
      <c r="J20" s="10">
        <v>0</v>
      </c>
      <c r="K20" s="11"/>
      <c r="L20" s="193">
        <v>0</v>
      </c>
      <c r="M20" s="193">
        <v>0</v>
      </c>
      <c r="N20" s="193">
        <v>0</v>
      </c>
      <c r="O20" s="193">
        <v>22.84</v>
      </c>
      <c r="P20" s="193">
        <v>0</v>
      </c>
      <c r="Q20" s="193">
        <v>0</v>
      </c>
      <c r="R20" s="193">
        <v>0</v>
      </c>
      <c r="S20" s="193">
        <v>0</v>
      </c>
      <c r="T20" s="193">
        <v>22.84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1.575</v>
      </c>
      <c r="G21" s="201"/>
      <c r="H21" s="201"/>
      <c r="I21" s="10">
        <v>0</v>
      </c>
      <c r="J21" s="10">
        <v>0</v>
      </c>
      <c r="K21" s="11"/>
      <c r="L21" s="193">
        <v>0</v>
      </c>
      <c r="M21" s="193">
        <v>0</v>
      </c>
      <c r="N21" s="193">
        <v>0</v>
      </c>
      <c r="O21" s="193">
        <v>22.84</v>
      </c>
      <c r="P21" s="193">
        <v>0</v>
      </c>
      <c r="Q21" s="193">
        <v>0</v>
      </c>
      <c r="R21" s="193">
        <v>0</v>
      </c>
      <c r="S21" s="193">
        <v>0</v>
      </c>
      <c r="T21" s="193">
        <v>22.84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1.575</v>
      </c>
      <c r="G22" s="201"/>
      <c r="H22" s="201"/>
      <c r="I22" s="10">
        <v>0</v>
      </c>
      <c r="J22" s="10">
        <v>0</v>
      </c>
      <c r="K22" s="11"/>
      <c r="L22" s="193">
        <v>0</v>
      </c>
      <c r="M22" s="193">
        <v>0</v>
      </c>
      <c r="N22" s="193">
        <v>0</v>
      </c>
      <c r="O22" s="193">
        <v>22.84</v>
      </c>
      <c r="P22" s="193">
        <v>0</v>
      </c>
      <c r="Q22" s="193">
        <v>0</v>
      </c>
      <c r="R22" s="193">
        <v>0</v>
      </c>
      <c r="S22" s="193">
        <v>0</v>
      </c>
      <c r="T22" s="193">
        <v>22.84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1.575</v>
      </c>
      <c r="G23" s="201"/>
      <c r="H23" s="201"/>
      <c r="I23" s="10">
        <v>0</v>
      </c>
      <c r="J23" s="10">
        <v>0</v>
      </c>
      <c r="K23" s="11"/>
      <c r="L23" s="193">
        <v>0</v>
      </c>
      <c r="M23" s="193">
        <v>0</v>
      </c>
      <c r="N23" s="193">
        <v>0</v>
      </c>
      <c r="O23" s="193">
        <v>22.84</v>
      </c>
      <c r="P23" s="193">
        <v>0</v>
      </c>
      <c r="Q23" s="193">
        <v>0</v>
      </c>
      <c r="R23" s="193">
        <v>0</v>
      </c>
      <c r="S23" s="193">
        <v>0</v>
      </c>
      <c r="T23" s="193">
        <v>22.84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</v>
      </c>
      <c r="F24" s="200">
        <v>1.575</v>
      </c>
      <c r="G24" s="201"/>
      <c r="H24" s="201"/>
      <c r="I24" s="10">
        <v>0</v>
      </c>
      <c r="J24" s="10">
        <v>0</v>
      </c>
      <c r="K24" s="11"/>
      <c r="L24" s="193">
        <v>0</v>
      </c>
      <c r="M24" s="193">
        <v>0</v>
      </c>
      <c r="N24" s="193">
        <v>0</v>
      </c>
      <c r="O24" s="193">
        <v>22.84</v>
      </c>
      <c r="P24" s="193">
        <v>0</v>
      </c>
      <c r="Q24" s="193">
        <v>0</v>
      </c>
      <c r="R24" s="193">
        <v>0</v>
      </c>
      <c r="S24" s="193">
        <v>0</v>
      </c>
      <c r="T24" s="193">
        <v>22.84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1.575</v>
      </c>
      <c r="G25" s="201"/>
      <c r="H25" s="201"/>
      <c r="I25" s="10">
        <v>0</v>
      </c>
      <c r="J25" s="10">
        <v>0</v>
      </c>
      <c r="K25" s="11"/>
      <c r="L25" s="193">
        <v>0</v>
      </c>
      <c r="M25" s="193">
        <v>0</v>
      </c>
      <c r="N25" s="193">
        <v>0</v>
      </c>
      <c r="O25" s="193">
        <v>22.84</v>
      </c>
      <c r="P25" s="193">
        <v>0</v>
      </c>
      <c r="Q25" s="193">
        <v>0</v>
      </c>
      <c r="R25" s="193">
        <v>0</v>
      </c>
      <c r="S25" s="193">
        <v>0</v>
      </c>
      <c r="T25" s="193">
        <v>22.84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0</v>
      </c>
      <c r="F26" s="200">
        <v>1.575</v>
      </c>
      <c r="G26" s="201"/>
      <c r="H26" s="201"/>
      <c r="I26" s="10">
        <v>0</v>
      </c>
      <c r="J26" s="10">
        <v>0</v>
      </c>
      <c r="K26" s="11"/>
      <c r="L26" s="193">
        <v>0</v>
      </c>
      <c r="M26" s="193">
        <v>0</v>
      </c>
      <c r="N26" s="193">
        <v>0</v>
      </c>
      <c r="O26" s="193">
        <v>22.84</v>
      </c>
      <c r="P26" s="193">
        <v>0</v>
      </c>
      <c r="Q26" s="193">
        <v>0</v>
      </c>
      <c r="R26" s="193">
        <v>0</v>
      </c>
      <c r="S26" s="193">
        <v>0</v>
      </c>
      <c r="T26" s="193">
        <v>22.84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1.575</v>
      </c>
      <c r="G27" s="201"/>
      <c r="H27" s="201"/>
      <c r="I27" s="10">
        <v>0</v>
      </c>
      <c r="J27" s="10">
        <v>0</v>
      </c>
      <c r="K27" s="11"/>
      <c r="L27" s="193">
        <v>0</v>
      </c>
      <c r="M27" s="193">
        <v>0</v>
      </c>
      <c r="N27" s="193">
        <v>0</v>
      </c>
      <c r="O27" s="193">
        <v>22.84</v>
      </c>
      <c r="P27" s="193">
        <v>0</v>
      </c>
      <c r="Q27" s="193">
        <v>0</v>
      </c>
      <c r="R27" s="193">
        <v>0</v>
      </c>
      <c r="S27" s="193">
        <v>0</v>
      </c>
      <c r="T27" s="193">
        <v>22.84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1.575</v>
      </c>
      <c r="G28" s="201"/>
      <c r="H28" s="201"/>
      <c r="I28" s="10">
        <v>0</v>
      </c>
      <c r="J28" s="10">
        <v>0</v>
      </c>
      <c r="K28" s="11"/>
      <c r="L28" s="193">
        <v>0</v>
      </c>
      <c r="M28" s="193">
        <v>0</v>
      </c>
      <c r="N28" s="193">
        <v>0</v>
      </c>
      <c r="O28" s="193">
        <v>22.84</v>
      </c>
      <c r="P28" s="193">
        <v>0</v>
      </c>
      <c r="Q28" s="193">
        <v>0</v>
      </c>
      <c r="R28" s="193">
        <v>0</v>
      </c>
      <c r="S28" s="193">
        <v>0</v>
      </c>
      <c r="T28" s="193">
        <v>22.84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1.575</v>
      </c>
      <c r="G29" s="201"/>
      <c r="H29" s="201"/>
      <c r="I29" s="10">
        <v>0</v>
      </c>
      <c r="J29" s="10">
        <v>0</v>
      </c>
      <c r="K29" s="11"/>
      <c r="L29" s="193">
        <v>0</v>
      </c>
      <c r="M29" s="193">
        <v>0</v>
      </c>
      <c r="N29" s="193">
        <v>0</v>
      </c>
      <c r="O29" s="193">
        <v>22.84</v>
      </c>
      <c r="P29" s="193">
        <v>0</v>
      </c>
      <c r="Q29" s="193">
        <v>0</v>
      </c>
      <c r="R29" s="193">
        <v>0</v>
      </c>
      <c r="S29" s="193">
        <v>0</v>
      </c>
      <c r="T29" s="193">
        <v>22.84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1.575</v>
      </c>
      <c r="G30" s="201"/>
      <c r="H30" s="201"/>
      <c r="I30" s="10">
        <v>0</v>
      </c>
      <c r="J30" s="10">
        <v>0</v>
      </c>
      <c r="K30" s="11"/>
      <c r="L30" s="193">
        <v>0</v>
      </c>
      <c r="M30" s="193">
        <v>0</v>
      </c>
      <c r="N30" s="193">
        <v>0</v>
      </c>
      <c r="O30" s="193">
        <v>22.84</v>
      </c>
      <c r="P30" s="193">
        <v>0</v>
      </c>
      <c r="Q30" s="193">
        <v>0</v>
      </c>
      <c r="R30" s="193">
        <v>0</v>
      </c>
      <c r="S30" s="193">
        <v>0</v>
      </c>
      <c r="T30" s="193">
        <v>22.84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1.575</v>
      </c>
      <c r="G31" s="201"/>
      <c r="H31" s="201"/>
      <c r="I31" s="10">
        <v>0</v>
      </c>
      <c r="J31" s="10">
        <v>0</v>
      </c>
      <c r="K31" s="11"/>
      <c r="L31" s="193">
        <v>0</v>
      </c>
      <c r="M31" s="193">
        <v>0</v>
      </c>
      <c r="N31" s="193">
        <v>0</v>
      </c>
      <c r="O31" s="193">
        <v>22.84</v>
      </c>
      <c r="P31" s="193">
        <v>0</v>
      </c>
      <c r="Q31" s="193">
        <v>0</v>
      </c>
      <c r="R31" s="193">
        <v>0</v>
      </c>
      <c r="S31" s="193">
        <v>0</v>
      </c>
      <c r="T31" s="193">
        <v>22.84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1.575</v>
      </c>
      <c r="G32" s="201"/>
      <c r="H32" s="201"/>
      <c r="I32" s="10">
        <v>0</v>
      </c>
      <c r="J32" s="10">
        <v>0</v>
      </c>
      <c r="K32" s="11"/>
      <c r="L32" s="193">
        <v>0</v>
      </c>
      <c r="M32" s="193">
        <v>0</v>
      </c>
      <c r="N32" s="193">
        <v>0</v>
      </c>
      <c r="O32" s="193">
        <v>22.84</v>
      </c>
      <c r="P32" s="193">
        <v>0</v>
      </c>
      <c r="Q32" s="193">
        <v>0</v>
      </c>
      <c r="R32" s="193">
        <v>0</v>
      </c>
      <c r="S32" s="193">
        <v>0</v>
      </c>
      <c r="T32" s="193">
        <v>22.84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1.575</v>
      </c>
      <c r="G33" s="201"/>
      <c r="H33" s="201"/>
      <c r="I33" s="10">
        <v>0</v>
      </c>
      <c r="J33" s="10">
        <v>0</v>
      </c>
      <c r="K33" s="11"/>
      <c r="L33" s="193">
        <v>0</v>
      </c>
      <c r="M33" s="193">
        <v>0</v>
      </c>
      <c r="N33" s="193">
        <v>0</v>
      </c>
      <c r="O33" s="193">
        <v>22.84</v>
      </c>
      <c r="P33" s="193">
        <v>0</v>
      </c>
      <c r="Q33" s="193">
        <v>0</v>
      </c>
      <c r="R33" s="193">
        <v>0</v>
      </c>
      <c r="S33" s="193">
        <v>0</v>
      </c>
      <c r="T33" s="193">
        <v>22.84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1.575</v>
      </c>
      <c r="G34" s="201"/>
      <c r="H34" s="201"/>
      <c r="I34" s="10">
        <v>0</v>
      </c>
      <c r="J34" s="10">
        <v>0</v>
      </c>
      <c r="K34" s="11"/>
      <c r="L34" s="193">
        <v>0</v>
      </c>
      <c r="M34" s="193">
        <v>0</v>
      </c>
      <c r="N34" s="193">
        <v>0</v>
      </c>
      <c r="O34" s="193">
        <v>22.84</v>
      </c>
      <c r="P34" s="193">
        <v>0</v>
      </c>
      <c r="Q34" s="193">
        <v>0</v>
      </c>
      <c r="R34" s="193">
        <v>0</v>
      </c>
      <c r="S34" s="193">
        <v>0</v>
      </c>
      <c r="T34" s="193">
        <v>22.84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1.575</v>
      </c>
      <c r="G35" s="201"/>
      <c r="H35" s="201"/>
      <c r="I35" s="10">
        <v>0</v>
      </c>
      <c r="J35" s="10">
        <v>0</v>
      </c>
      <c r="K35" s="11"/>
      <c r="L35" s="193">
        <v>0</v>
      </c>
      <c r="M35" s="193">
        <v>0</v>
      </c>
      <c r="N35" s="193">
        <v>0</v>
      </c>
      <c r="O35" s="193">
        <v>22.84</v>
      </c>
      <c r="P35" s="193">
        <v>0</v>
      </c>
      <c r="Q35" s="193">
        <v>0</v>
      </c>
      <c r="R35" s="193">
        <v>0</v>
      </c>
      <c r="S35" s="193">
        <v>0</v>
      </c>
      <c r="T35" s="193">
        <v>22.84</v>
      </c>
    </row>
    <row r="36" spans="1:20">
      <c r="D36" s="18">
        <v>0</v>
      </c>
      <c r="E36" s="18">
        <v>0</v>
      </c>
      <c r="F36" s="18">
        <v>48.825000000000017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4">
        <v>0</v>
      </c>
      <c r="M36" s="194">
        <v>0</v>
      </c>
      <c r="N36" s="194">
        <v>0</v>
      </c>
      <c r="O36" s="194">
        <v>707.96</v>
      </c>
      <c r="P36" s="194">
        <v>0</v>
      </c>
      <c r="Q36" s="194">
        <v>0</v>
      </c>
      <c r="R36" s="194">
        <v>0</v>
      </c>
      <c r="S36" s="194">
        <v>0</v>
      </c>
      <c r="T36" s="194">
        <v>707.96</v>
      </c>
    </row>
    <row r="37" spans="1:20">
      <c r="R37" s="21"/>
      <c r="S37" s="21"/>
      <c r="T37" s="195">
        <v>863.71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9A5C-0F8E-421A-8870-23C62BE1F8BB}">
  <sheetPr codeName="Лист40">
    <pageSetUpPr fitToPage="1"/>
  </sheetPr>
  <dimension ref="A1:T37"/>
  <sheetViews>
    <sheetView topLeftCell="A19" workbookViewId="0">
      <selection activeCell="T37" sqref="T37"/>
    </sheetView>
  </sheetViews>
  <sheetFormatPr defaultRowHeight="15"/>
  <cols>
    <col min="1" max="3" width="8.796875" style="2"/>
    <col min="4" max="4" width="7.5" style="2" customWidth="1"/>
    <col min="5" max="6" width="8.3984375" style="2" customWidth="1"/>
    <col min="7" max="7" width="8.296875" style="2" customWidth="1"/>
    <col min="8" max="8" width="8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295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296</v>
      </c>
      <c r="H3" s="209" t="s">
        <v>297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1240.7850000000001</v>
      </c>
      <c r="G5" s="201">
        <v>2609.2150000000001</v>
      </c>
      <c r="H5" s="201"/>
      <c r="I5" s="10">
        <v>0</v>
      </c>
      <c r="J5" s="10">
        <v>0</v>
      </c>
      <c r="K5" s="11">
        <v>0</v>
      </c>
      <c r="L5" s="193">
        <v>0</v>
      </c>
      <c r="M5" s="193">
        <v>0</v>
      </c>
      <c r="N5" s="193">
        <v>0</v>
      </c>
      <c r="O5" s="193">
        <v>17743.23</v>
      </c>
      <c r="P5" s="193">
        <v>37311.769999999997</v>
      </c>
      <c r="Q5" s="193">
        <v>0</v>
      </c>
      <c r="R5" s="193">
        <v>0</v>
      </c>
      <c r="S5" s="193">
        <v>0</v>
      </c>
      <c r="T5" s="193">
        <v>55055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1240.7850000000001</v>
      </c>
      <c r="G6" s="201">
        <v>2609.2150000000001</v>
      </c>
      <c r="H6" s="201"/>
      <c r="I6" s="10">
        <v>0</v>
      </c>
      <c r="J6" s="10">
        <v>0</v>
      </c>
      <c r="K6" s="11">
        <v>0</v>
      </c>
      <c r="L6" s="193">
        <v>0</v>
      </c>
      <c r="M6" s="193">
        <v>0</v>
      </c>
      <c r="N6" s="193">
        <v>0</v>
      </c>
      <c r="O6" s="193">
        <v>17743.23</v>
      </c>
      <c r="P6" s="193">
        <v>37311.769999999997</v>
      </c>
      <c r="Q6" s="193">
        <v>0</v>
      </c>
      <c r="R6" s="193">
        <v>0</v>
      </c>
      <c r="S6" s="193">
        <v>0</v>
      </c>
      <c r="T6" s="193">
        <v>55055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1240.7850000000001</v>
      </c>
      <c r="G7" s="201">
        <v>2609.2150000000001</v>
      </c>
      <c r="H7" s="201"/>
      <c r="I7" s="10">
        <v>0</v>
      </c>
      <c r="J7" s="10">
        <v>0</v>
      </c>
      <c r="K7" s="11">
        <v>0</v>
      </c>
      <c r="L7" s="193">
        <v>0</v>
      </c>
      <c r="M7" s="193">
        <v>0</v>
      </c>
      <c r="N7" s="193">
        <v>0</v>
      </c>
      <c r="O7" s="193">
        <v>17743.23</v>
      </c>
      <c r="P7" s="193">
        <v>37311.769999999997</v>
      </c>
      <c r="Q7" s="193">
        <v>0</v>
      </c>
      <c r="R7" s="193">
        <v>0</v>
      </c>
      <c r="S7" s="193">
        <v>0</v>
      </c>
      <c r="T7" s="193">
        <v>55055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1240.7850000000001</v>
      </c>
      <c r="G8" s="201">
        <v>2609.2150000000001</v>
      </c>
      <c r="H8" s="201"/>
      <c r="I8" s="10">
        <v>0</v>
      </c>
      <c r="J8" s="10">
        <v>0</v>
      </c>
      <c r="K8" s="11">
        <v>0</v>
      </c>
      <c r="L8" s="193">
        <v>0</v>
      </c>
      <c r="M8" s="193">
        <v>0</v>
      </c>
      <c r="N8" s="193">
        <v>0</v>
      </c>
      <c r="O8" s="193">
        <v>17743.23</v>
      </c>
      <c r="P8" s="193">
        <v>37311.769999999997</v>
      </c>
      <c r="Q8" s="193">
        <v>0</v>
      </c>
      <c r="R8" s="193">
        <v>0</v>
      </c>
      <c r="S8" s="193">
        <v>0</v>
      </c>
      <c r="T8" s="193">
        <v>55055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1240.7850000000001</v>
      </c>
      <c r="G9" s="201">
        <v>2609.2150000000001</v>
      </c>
      <c r="H9" s="201"/>
      <c r="I9" s="10">
        <v>0</v>
      </c>
      <c r="J9" s="10">
        <v>0</v>
      </c>
      <c r="K9" s="11">
        <v>0</v>
      </c>
      <c r="L9" s="193">
        <v>0</v>
      </c>
      <c r="M9" s="193">
        <v>0</v>
      </c>
      <c r="N9" s="193">
        <v>0</v>
      </c>
      <c r="O9" s="193">
        <v>17743.23</v>
      </c>
      <c r="P9" s="193">
        <v>37311.769999999997</v>
      </c>
      <c r="Q9" s="193">
        <v>0</v>
      </c>
      <c r="R9" s="193">
        <v>0</v>
      </c>
      <c r="S9" s="193">
        <v>0</v>
      </c>
      <c r="T9" s="193">
        <v>55055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1240.7850000000001</v>
      </c>
      <c r="G10" s="201">
        <v>2609.2150000000001</v>
      </c>
      <c r="H10" s="201"/>
      <c r="I10" s="10">
        <v>0</v>
      </c>
      <c r="J10" s="10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17743.23</v>
      </c>
      <c r="P10" s="193">
        <v>37311.769999999997</v>
      </c>
      <c r="Q10" s="193">
        <v>0</v>
      </c>
      <c r="R10" s="193">
        <v>0</v>
      </c>
      <c r="S10" s="193">
        <v>0</v>
      </c>
      <c r="T10" s="193">
        <v>55055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1240.7850000000001</v>
      </c>
      <c r="G11" s="201">
        <v>2609.2150000000001</v>
      </c>
      <c r="H11" s="201"/>
      <c r="I11" s="10">
        <v>0</v>
      </c>
      <c r="J11" s="10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17743.23</v>
      </c>
      <c r="P11" s="193">
        <v>37311.769999999997</v>
      </c>
      <c r="Q11" s="193">
        <v>0</v>
      </c>
      <c r="R11" s="193">
        <v>0</v>
      </c>
      <c r="S11" s="193">
        <v>0</v>
      </c>
      <c r="T11" s="193">
        <v>55055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22</v>
      </c>
      <c r="F12" s="200">
        <v>1218.7850000000001</v>
      </c>
      <c r="G12" s="201">
        <v>2631.2150000000001</v>
      </c>
      <c r="H12" s="201"/>
      <c r="I12" s="10">
        <v>0</v>
      </c>
      <c r="J12" s="10">
        <v>0</v>
      </c>
      <c r="K12" s="11">
        <v>0</v>
      </c>
      <c r="L12" s="193">
        <v>0</v>
      </c>
      <c r="M12" s="193">
        <v>0</v>
      </c>
      <c r="N12" s="193">
        <v>2530</v>
      </c>
      <c r="O12" s="193">
        <v>17428.63</v>
      </c>
      <c r="P12" s="193">
        <v>37626.370000000003</v>
      </c>
      <c r="Q12" s="193">
        <v>0</v>
      </c>
      <c r="R12" s="193">
        <v>0</v>
      </c>
      <c r="S12" s="193">
        <v>0</v>
      </c>
      <c r="T12" s="193">
        <v>57585</v>
      </c>
    </row>
    <row r="13" spans="1:20">
      <c r="A13" s="13">
        <v>9</v>
      </c>
      <c r="B13" s="216" t="s">
        <v>207</v>
      </c>
      <c r="C13" s="217"/>
      <c r="D13" s="200">
        <v>0.125</v>
      </c>
      <c r="E13" s="200">
        <v>0</v>
      </c>
      <c r="F13" s="200">
        <v>1218.9100000000001</v>
      </c>
      <c r="G13" s="201">
        <v>2631.09</v>
      </c>
      <c r="H13" s="201"/>
      <c r="I13" s="10">
        <v>0</v>
      </c>
      <c r="J13" s="10">
        <v>0</v>
      </c>
      <c r="K13" s="11">
        <v>0</v>
      </c>
      <c r="L13" s="193">
        <v>0</v>
      </c>
      <c r="M13" s="193">
        <v>14.38</v>
      </c>
      <c r="N13" s="193">
        <v>0</v>
      </c>
      <c r="O13" s="193">
        <v>17430.41</v>
      </c>
      <c r="P13" s="193">
        <v>37624.589999999997</v>
      </c>
      <c r="Q13" s="193">
        <v>0</v>
      </c>
      <c r="R13" s="193">
        <v>0</v>
      </c>
      <c r="S13" s="193">
        <v>0</v>
      </c>
      <c r="T13" s="193">
        <v>55069.38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1218.9100000000001</v>
      </c>
      <c r="G14" s="201">
        <v>2631.09</v>
      </c>
      <c r="H14" s="201"/>
      <c r="I14" s="10">
        <v>0</v>
      </c>
      <c r="J14" s="10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17430.41</v>
      </c>
      <c r="P14" s="193">
        <v>37624.589999999997</v>
      </c>
      <c r="Q14" s="193">
        <v>0</v>
      </c>
      <c r="R14" s="193">
        <v>0</v>
      </c>
      <c r="S14" s="193">
        <v>0</v>
      </c>
      <c r="T14" s="193">
        <v>55055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1218.9100000000001</v>
      </c>
      <c r="G15" s="201">
        <v>2631.09</v>
      </c>
      <c r="H15" s="201"/>
      <c r="I15" s="10">
        <v>0</v>
      </c>
      <c r="J15" s="10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17430.41</v>
      </c>
      <c r="P15" s="193">
        <v>37624.589999999997</v>
      </c>
      <c r="Q15" s="193">
        <v>0</v>
      </c>
      <c r="R15" s="193">
        <v>0</v>
      </c>
      <c r="S15" s="193">
        <v>0</v>
      </c>
      <c r="T15" s="193">
        <v>55055</v>
      </c>
    </row>
    <row r="16" spans="1:20">
      <c r="A16" s="13">
        <v>12</v>
      </c>
      <c r="B16" s="216" t="s">
        <v>210</v>
      </c>
      <c r="C16" s="217"/>
      <c r="D16" s="200">
        <v>0.125</v>
      </c>
      <c r="E16" s="200">
        <v>3.125</v>
      </c>
      <c r="F16" s="200">
        <v>1215.9100000000001</v>
      </c>
      <c r="G16" s="201">
        <v>2634.09</v>
      </c>
      <c r="H16" s="201"/>
      <c r="I16" s="10">
        <v>0</v>
      </c>
      <c r="J16" s="10">
        <v>0</v>
      </c>
      <c r="K16" s="11">
        <v>0</v>
      </c>
      <c r="L16" s="193">
        <v>0</v>
      </c>
      <c r="M16" s="193">
        <v>14.38</v>
      </c>
      <c r="N16" s="193">
        <v>359.38</v>
      </c>
      <c r="O16" s="193">
        <v>17387.509999999998</v>
      </c>
      <c r="P16" s="193">
        <v>37667.49</v>
      </c>
      <c r="Q16" s="193">
        <v>0</v>
      </c>
      <c r="R16" s="193">
        <v>0</v>
      </c>
      <c r="S16" s="193">
        <v>0</v>
      </c>
      <c r="T16" s="193">
        <v>55428.75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1215.9100000000001</v>
      </c>
      <c r="G17" s="201">
        <v>2634.09</v>
      </c>
      <c r="H17" s="201"/>
      <c r="I17" s="10">
        <v>0</v>
      </c>
      <c r="J17" s="10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17387.509999999998</v>
      </c>
      <c r="P17" s="193">
        <v>37667.49</v>
      </c>
      <c r="Q17" s="193">
        <v>0</v>
      </c>
      <c r="R17" s="193">
        <v>0</v>
      </c>
      <c r="S17" s="193">
        <v>0</v>
      </c>
      <c r="T17" s="193">
        <v>55055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1215.9100000000001</v>
      </c>
      <c r="G18" s="201">
        <v>2634.09</v>
      </c>
      <c r="H18" s="201"/>
      <c r="I18" s="10">
        <v>0</v>
      </c>
      <c r="J18" s="10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17387.509999999998</v>
      </c>
      <c r="P18" s="193">
        <v>37667.49</v>
      </c>
      <c r="Q18" s="193">
        <v>0</v>
      </c>
      <c r="R18" s="193">
        <v>0</v>
      </c>
      <c r="S18" s="193">
        <v>0</v>
      </c>
      <c r="T18" s="193">
        <v>55055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1215.9100000000001</v>
      </c>
      <c r="G19" s="201">
        <v>2634.09</v>
      </c>
      <c r="H19" s="201"/>
      <c r="I19" s="10">
        <v>0</v>
      </c>
      <c r="J19" s="10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17387.509999999998</v>
      </c>
      <c r="P19" s="193">
        <v>37667.49</v>
      </c>
      <c r="Q19" s="193">
        <v>0</v>
      </c>
      <c r="R19" s="193">
        <v>0</v>
      </c>
      <c r="S19" s="193">
        <v>0</v>
      </c>
      <c r="T19" s="193">
        <v>55055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1215.9100000000001</v>
      </c>
      <c r="G20" s="201">
        <v>2634.09</v>
      </c>
      <c r="H20" s="201"/>
      <c r="I20" s="10">
        <v>0</v>
      </c>
      <c r="J20" s="10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17387.509999999998</v>
      </c>
      <c r="P20" s="193">
        <v>37667.49</v>
      </c>
      <c r="Q20" s="193">
        <v>0</v>
      </c>
      <c r="R20" s="193">
        <v>0</v>
      </c>
      <c r="S20" s="193">
        <v>0</v>
      </c>
      <c r="T20" s="193">
        <v>55055</v>
      </c>
    </row>
    <row r="21" spans="1:20">
      <c r="A21" s="13">
        <v>17</v>
      </c>
      <c r="B21" s="216" t="s">
        <v>215</v>
      </c>
      <c r="C21" s="217"/>
      <c r="D21" s="200">
        <v>109.995</v>
      </c>
      <c r="E21" s="200">
        <v>0</v>
      </c>
      <c r="F21" s="200">
        <v>1325.905</v>
      </c>
      <c r="G21" s="201">
        <v>2524.0950000000003</v>
      </c>
      <c r="H21" s="201"/>
      <c r="I21" s="10">
        <v>1.375</v>
      </c>
      <c r="J21" s="10">
        <v>1.2749999999999999</v>
      </c>
      <c r="K21" s="11">
        <v>0</v>
      </c>
      <c r="L21" s="193">
        <v>0</v>
      </c>
      <c r="M21" s="193">
        <v>12649.43</v>
      </c>
      <c r="N21" s="193">
        <v>0</v>
      </c>
      <c r="O21" s="193">
        <v>18960.439999999999</v>
      </c>
      <c r="P21" s="193">
        <v>36094.559999999998</v>
      </c>
      <c r="Q21" s="193">
        <v>0</v>
      </c>
      <c r="R21" s="193">
        <v>1306.25</v>
      </c>
      <c r="S21" s="193">
        <v>153</v>
      </c>
      <c r="T21" s="193">
        <v>69163.679999999993</v>
      </c>
    </row>
    <row r="22" spans="1:20">
      <c r="A22" s="13">
        <v>18</v>
      </c>
      <c r="B22" s="216" t="s">
        <v>216</v>
      </c>
      <c r="C22" s="217"/>
      <c r="D22" s="200">
        <v>22</v>
      </c>
      <c r="E22" s="200">
        <v>0</v>
      </c>
      <c r="F22" s="200">
        <v>1347.905</v>
      </c>
      <c r="G22" s="201">
        <v>2502.0950000000003</v>
      </c>
      <c r="H22" s="201"/>
      <c r="I22" s="10">
        <v>0</v>
      </c>
      <c r="J22" s="10">
        <v>0</v>
      </c>
      <c r="K22" s="11">
        <v>0</v>
      </c>
      <c r="L22" s="193">
        <v>0</v>
      </c>
      <c r="M22" s="193">
        <v>2530</v>
      </c>
      <c r="N22" s="193">
        <v>0</v>
      </c>
      <c r="O22" s="193">
        <v>19275.04</v>
      </c>
      <c r="P22" s="193">
        <v>35779.96</v>
      </c>
      <c r="Q22" s="193">
        <v>0</v>
      </c>
      <c r="R22" s="193">
        <v>0</v>
      </c>
      <c r="S22" s="193">
        <v>0</v>
      </c>
      <c r="T22" s="193">
        <v>57585</v>
      </c>
    </row>
    <row r="23" spans="1:20">
      <c r="A23" s="13">
        <v>19</v>
      </c>
      <c r="B23" s="216" t="s">
        <v>217</v>
      </c>
      <c r="C23" s="217"/>
      <c r="D23" s="200">
        <v>22</v>
      </c>
      <c r="E23" s="200">
        <v>0</v>
      </c>
      <c r="F23" s="200">
        <v>1369.905</v>
      </c>
      <c r="G23" s="201">
        <v>2480.0950000000003</v>
      </c>
      <c r="H23" s="201"/>
      <c r="I23" s="10">
        <v>0</v>
      </c>
      <c r="J23" s="10">
        <v>0</v>
      </c>
      <c r="K23" s="11">
        <v>0</v>
      </c>
      <c r="L23" s="193">
        <v>0</v>
      </c>
      <c r="M23" s="193">
        <v>2530</v>
      </c>
      <c r="N23" s="193">
        <v>0</v>
      </c>
      <c r="O23" s="193">
        <v>19589.64</v>
      </c>
      <c r="P23" s="193">
        <v>35465.360000000001</v>
      </c>
      <c r="Q23" s="193">
        <v>0</v>
      </c>
      <c r="R23" s="193">
        <v>0</v>
      </c>
      <c r="S23" s="193">
        <v>0</v>
      </c>
      <c r="T23" s="193">
        <v>57585</v>
      </c>
    </row>
    <row r="24" spans="1:20">
      <c r="A24" s="13">
        <v>20</v>
      </c>
      <c r="B24" s="216" t="s">
        <v>218</v>
      </c>
      <c r="C24" s="217"/>
      <c r="D24" s="200">
        <v>198</v>
      </c>
      <c r="E24" s="200">
        <v>0</v>
      </c>
      <c r="F24" s="200">
        <v>1567.905</v>
      </c>
      <c r="G24" s="201">
        <v>2282.0950000000003</v>
      </c>
      <c r="H24" s="201"/>
      <c r="I24" s="10">
        <v>0</v>
      </c>
      <c r="J24" s="10">
        <v>0</v>
      </c>
      <c r="K24" s="11">
        <v>0</v>
      </c>
      <c r="L24" s="193">
        <v>0</v>
      </c>
      <c r="M24" s="193">
        <v>22770</v>
      </c>
      <c r="N24" s="193">
        <v>0</v>
      </c>
      <c r="O24" s="193">
        <v>22421.040000000001</v>
      </c>
      <c r="P24" s="193">
        <v>32633.96</v>
      </c>
      <c r="Q24" s="193">
        <v>0</v>
      </c>
      <c r="R24" s="193">
        <v>0</v>
      </c>
      <c r="S24" s="193">
        <v>0</v>
      </c>
      <c r="T24" s="193">
        <v>77825</v>
      </c>
    </row>
    <row r="25" spans="1:20">
      <c r="A25" s="13">
        <v>21</v>
      </c>
      <c r="B25" s="216" t="s">
        <v>219</v>
      </c>
      <c r="C25" s="217"/>
      <c r="D25" s="200">
        <v>44</v>
      </c>
      <c r="E25" s="200">
        <v>2.75</v>
      </c>
      <c r="F25" s="200">
        <v>1609.155</v>
      </c>
      <c r="G25" s="201">
        <v>2240.8450000000003</v>
      </c>
      <c r="H25" s="201"/>
      <c r="I25" s="10">
        <v>0</v>
      </c>
      <c r="J25" s="10">
        <v>1.375</v>
      </c>
      <c r="K25" s="11">
        <v>0</v>
      </c>
      <c r="L25" s="193">
        <v>0</v>
      </c>
      <c r="M25" s="193">
        <v>5060</v>
      </c>
      <c r="N25" s="193">
        <v>316.25</v>
      </c>
      <c r="O25" s="193">
        <v>23010.92</v>
      </c>
      <c r="P25" s="193">
        <v>32044.080000000002</v>
      </c>
      <c r="Q25" s="193">
        <v>0</v>
      </c>
      <c r="R25" s="193">
        <v>0</v>
      </c>
      <c r="S25" s="193">
        <v>165</v>
      </c>
      <c r="T25" s="193">
        <v>60596.25</v>
      </c>
    </row>
    <row r="26" spans="1:20">
      <c r="A26" s="13">
        <v>22</v>
      </c>
      <c r="B26" s="216" t="s">
        <v>220</v>
      </c>
      <c r="C26" s="217"/>
      <c r="D26" s="200">
        <v>154</v>
      </c>
      <c r="E26" s="200">
        <v>44</v>
      </c>
      <c r="F26" s="200">
        <v>1719.155</v>
      </c>
      <c r="G26" s="201">
        <v>2130.8450000000003</v>
      </c>
      <c r="H26" s="201"/>
      <c r="I26" s="10">
        <v>0</v>
      </c>
      <c r="J26" s="10">
        <v>66</v>
      </c>
      <c r="K26" s="11">
        <v>0</v>
      </c>
      <c r="L26" s="193">
        <v>0</v>
      </c>
      <c r="M26" s="193">
        <v>17710</v>
      </c>
      <c r="N26" s="193">
        <v>5060</v>
      </c>
      <c r="O26" s="193">
        <v>24583.919999999998</v>
      </c>
      <c r="P26" s="193">
        <v>30471.08</v>
      </c>
      <c r="Q26" s="193">
        <v>0</v>
      </c>
      <c r="R26" s="193">
        <v>0</v>
      </c>
      <c r="S26" s="193">
        <v>7920</v>
      </c>
      <c r="T26" s="193">
        <v>85745</v>
      </c>
    </row>
    <row r="27" spans="1:20">
      <c r="A27" s="13">
        <v>23</v>
      </c>
      <c r="B27" s="216" t="s">
        <v>221</v>
      </c>
      <c r="C27" s="217"/>
      <c r="D27" s="200">
        <v>325</v>
      </c>
      <c r="E27" s="200">
        <v>0.1</v>
      </c>
      <c r="F27" s="200">
        <v>2044.0550000000001</v>
      </c>
      <c r="G27" s="201">
        <v>1805.9449999999999</v>
      </c>
      <c r="H27" s="201"/>
      <c r="I27" s="10">
        <v>0</v>
      </c>
      <c r="J27" s="10">
        <v>0</v>
      </c>
      <c r="K27" s="11">
        <v>0</v>
      </c>
      <c r="L27" s="193">
        <v>0</v>
      </c>
      <c r="M27" s="193">
        <v>37375</v>
      </c>
      <c r="N27" s="193">
        <v>11.5</v>
      </c>
      <c r="O27" s="193">
        <v>29229.99</v>
      </c>
      <c r="P27" s="193">
        <v>25825.01</v>
      </c>
      <c r="Q27" s="193">
        <v>0</v>
      </c>
      <c r="R27" s="193">
        <v>0</v>
      </c>
      <c r="S27" s="193">
        <v>0</v>
      </c>
      <c r="T27" s="193">
        <v>92441.5</v>
      </c>
    </row>
    <row r="28" spans="1:20">
      <c r="A28" s="13">
        <v>24</v>
      </c>
      <c r="B28" s="216" t="s">
        <v>222</v>
      </c>
      <c r="C28" s="217"/>
      <c r="D28" s="200">
        <v>387</v>
      </c>
      <c r="E28" s="200">
        <v>0</v>
      </c>
      <c r="F28" s="200">
        <v>2431.0549999999998</v>
      </c>
      <c r="G28" s="201">
        <v>1418.9450000000002</v>
      </c>
      <c r="H28" s="201"/>
      <c r="I28" s="10">
        <v>0</v>
      </c>
      <c r="J28" s="10">
        <v>0</v>
      </c>
      <c r="K28" s="11">
        <v>0</v>
      </c>
      <c r="L28" s="193">
        <v>0</v>
      </c>
      <c r="M28" s="193">
        <v>44505</v>
      </c>
      <c r="N28" s="193">
        <v>0</v>
      </c>
      <c r="O28" s="193">
        <v>34764.089999999997</v>
      </c>
      <c r="P28" s="193">
        <v>20290.91</v>
      </c>
      <c r="Q28" s="193">
        <v>0</v>
      </c>
      <c r="R28" s="193">
        <v>0</v>
      </c>
      <c r="S28" s="193">
        <v>0</v>
      </c>
      <c r="T28" s="193">
        <v>99560</v>
      </c>
    </row>
    <row r="29" spans="1:20">
      <c r="A29" s="13">
        <v>25</v>
      </c>
      <c r="B29" s="216" t="s">
        <v>223</v>
      </c>
      <c r="C29" s="217"/>
      <c r="D29" s="200">
        <v>151</v>
      </c>
      <c r="E29" s="200">
        <v>22</v>
      </c>
      <c r="F29" s="200">
        <v>2560.0549999999998</v>
      </c>
      <c r="G29" s="201">
        <v>1289.9450000000002</v>
      </c>
      <c r="H29" s="201"/>
      <c r="I29" s="10">
        <v>0</v>
      </c>
      <c r="J29" s="10">
        <v>1.375</v>
      </c>
      <c r="K29" s="11">
        <v>0</v>
      </c>
      <c r="L29" s="193">
        <v>0</v>
      </c>
      <c r="M29" s="193">
        <v>17365</v>
      </c>
      <c r="N29" s="193">
        <v>2530</v>
      </c>
      <c r="O29" s="193">
        <v>36608.79</v>
      </c>
      <c r="P29" s="193">
        <v>18446.21</v>
      </c>
      <c r="Q29" s="193">
        <v>0</v>
      </c>
      <c r="R29" s="193">
        <v>0</v>
      </c>
      <c r="S29" s="193">
        <v>165</v>
      </c>
      <c r="T29" s="193">
        <v>75115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22</v>
      </c>
      <c r="F30" s="200">
        <v>2538.0549999999998</v>
      </c>
      <c r="G30" s="201">
        <v>1311.9450000000002</v>
      </c>
      <c r="H30" s="201"/>
      <c r="I30" s="10">
        <v>0</v>
      </c>
      <c r="J30" s="10">
        <v>0</v>
      </c>
      <c r="K30" s="11">
        <v>0</v>
      </c>
      <c r="L30" s="193">
        <v>0</v>
      </c>
      <c r="M30" s="193">
        <v>0</v>
      </c>
      <c r="N30" s="193">
        <v>2530</v>
      </c>
      <c r="O30" s="193">
        <v>36294.19</v>
      </c>
      <c r="P30" s="193">
        <v>18760.810000000001</v>
      </c>
      <c r="Q30" s="193">
        <v>0</v>
      </c>
      <c r="R30" s="193">
        <v>0</v>
      </c>
      <c r="S30" s="193">
        <v>0</v>
      </c>
      <c r="T30" s="193">
        <v>57585</v>
      </c>
    </row>
    <row r="31" spans="1:20">
      <c r="A31" s="13">
        <v>27</v>
      </c>
      <c r="B31" s="216" t="s">
        <v>225</v>
      </c>
      <c r="C31" s="217"/>
      <c r="D31" s="200">
        <v>66</v>
      </c>
      <c r="E31" s="200">
        <v>112.75</v>
      </c>
      <c r="F31" s="200">
        <v>2491.3049999999998</v>
      </c>
      <c r="G31" s="201">
        <v>1358.6950000000002</v>
      </c>
      <c r="H31" s="201"/>
      <c r="I31" s="10">
        <v>1.375</v>
      </c>
      <c r="J31" s="10">
        <v>1.375</v>
      </c>
      <c r="K31" s="11">
        <v>0</v>
      </c>
      <c r="L31" s="193">
        <v>0</v>
      </c>
      <c r="M31" s="193">
        <v>7590</v>
      </c>
      <c r="N31" s="193">
        <v>12966.25</v>
      </c>
      <c r="O31" s="193">
        <v>35625.660000000003</v>
      </c>
      <c r="P31" s="193">
        <v>19429.34</v>
      </c>
      <c r="Q31" s="193">
        <v>0</v>
      </c>
      <c r="R31" s="193">
        <v>1306.25</v>
      </c>
      <c r="S31" s="193">
        <v>165</v>
      </c>
      <c r="T31" s="193">
        <v>77082.5</v>
      </c>
    </row>
    <row r="32" spans="1:20">
      <c r="A32" s="13">
        <v>28</v>
      </c>
      <c r="B32" s="216" t="s">
        <v>226</v>
      </c>
      <c r="C32" s="217"/>
      <c r="D32" s="200">
        <v>107</v>
      </c>
      <c r="E32" s="200">
        <v>132</v>
      </c>
      <c r="F32" s="200">
        <v>2466.3049999999998</v>
      </c>
      <c r="G32" s="201">
        <v>1383.6950000000002</v>
      </c>
      <c r="H32" s="201"/>
      <c r="I32" s="10">
        <v>0</v>
      </c>
      <c r="J32" s="10">
        <v>0</v>
      </c>
      <c r="K32" s="11">
        <v>0</v>
      </c>
      <c r="L32" s="193">
        <v>0</v>
      </c>
      <c r="M32" s="193">
        <v>12305</v>
      </c>
      <c r="N32" s="193">
        <v>15180</v>
      </c>
      <c r="O32" s="193">
        <v>35268.160000000003</v>
      </c>
      <c r="P32" s="193">
        <v>19786.84</v>
      </c>
      <c r="Q32" s="193">
        <v>0</v>
      </c>
      <c r="R32" s="193">
        <v>0</v>
      </c>
      <c r="S32" s="193">
        <v>0</v>
      </c>
      <c r="T32" s="193">
        <v>82540</v>
      </c>
    </row>
    <row r="33" spans="1:20">
      <c r="A33" s="13">
        <v>29</v>
      </c>
      <c r="B33" s="216" t="s">
        <v>227</v>
      </c>
      <c r="C33" s="217"/>
      <c r="D33" s="200">
        <v>107</v>
      </c>
      <c r="E33" s="200">
        <v>268.125</v>
      </c>
      <c r="F33" s="200">
        <v>2305.1799999999998</v>
      </c>
      <c r="G33" s="201">
        <v>1544.8200000000002</v>
      </c>
      <c r="H33" s="201"/>
      <c r="I33" s="10">
        <v>0</v>
      </c>
      <c r="J33" s="10">
        <v>0</v>
      </c>
      <c r="K33" s="11">
        <v>0</v>
      </c>
      <c r="L33" s="193">
        <v>0</v>
      </c>
      <c r="M33" s="193">
        <v>12305</v>
      </c>
      <c r="N33" s="193">
        <v>30834.38</v>
      </c>
      <c r="O33" s="193">
        <v>32964.07</v>
      </c>
      <c r="P33" s="193">
        <v>22090.93</v>
      </c>
      <c r="Q33" s="193">
        <v>0</v>
      </c>
      <c r="R33" s="193">
        <v>0</v>
      </c>
      <c r="S33" s="193">
        <v>0</v>
      </c>
      <c r="T33" s="193">
        <v>98194.38</v>
      </c>
    </row>
    <row r="34" spans="1:20">
      <c r="A34" s="13">
        <v>30</v>
      </c>
      <c r="B34" s="216" t="s">
        <v>228</v>
      </c>
      <c r="C34" s="217"/>
      <c r="D34" s="200">
        <v>236</v>
      </c>
      <c r="E34" s="200">
        <v>52.25</v>
      </c>
      <c r="F34" s="200">
        <v>2488.9299999999998</v>
      </c>
      <c r="G34" s="201">
        <v>1361.0700000000002</v>
      </c>
      <c r="H34" s="201"/>
      <c r="I34" s="10">
        <v>1.375</v>
      </c>
      <c r="J34" s="10">
        <v>1.375</v>
      </c>
      <c r="K34" s="11">
        <v>0</v>
      </c>
      <c r="L34" s="193">
        <v>0</v>
      </c>
      <c r="M34" s="193">
        <v>27140</v>
      </c>
      <c r="N34" s="193">
        <v>6008.75</v>
      </c>
      <c r="O34" s="193">
        <v>35591.699999999997</v>
      </c>
      <c r="P34" s="193">
        <v>19463.3</v>
      </c>
      <c r="Q34" s="193">
        <v>0</v>
      </c>
      <c r="R34" s="193">
        <v>1306.25</v>
      </c>
      <c r="S34" s="193">
        <v>165</v>
      </c>
      <c r="T34" s="193">
        <v>89675</v>
      </c>
    </row>
    <row r="35" spans="1:20">
      <c r="A35" s="13">
        <v>31</v>
      </c>
      <c r="B35" s="216" t="s">
        <v>229</v>
      </c>
      <c r="C35" s="217"/>
      <c r="D35" s="200">
        <v>328</v>
      </c>
      <c r="E35" s="200">
        <v>110</v>
      </c>
      <c r="F35" s="200">
        <v>2706.93</v>
      </c>
      <c r="G35" s="201">
        <v>1143.0700000000002</v>
      </c>
      <c r="H35" s="201"/>
      <c r="I35" s="10">
        <v>2.75</v>
      </c>
      <c r="J35" s="10">
        <v>2.75</v>
      </c>
      <c r="K35" s="11">
        <v>0</v>
      </c>
      <c r="L35" s="193">
        <v>0</v>
      </c>
      <c r="M35" s="193">
        <v>37720</v>
      </c>
      <c r="N35" s="193">
        <v>12650</v>
      </c>
      <c r="O35" s="193">
        <v>38709.1</v>
      </c>
      <c r="P35" s="193">
        <v>16345.9</v>
      </c>
      <c r="Q35" s="193">
        <v>0</v>
      </c>
      <c r="R35" s="193">
        <v>2612.5</v>
      </c>
      <c r="S35" s="193">
        <v>330</v>
      </c>
      <c r="T35" s="193">
        <v>108367.5</v>
      </c>
    </row>
    <row r="36" spans="1:20">
      <c r="D36" s="18">
        <v>2257.2449999999999</v>
      </c>
      <c r="E36" s="18">
        <v>791.1</v>
      </c>
      <c r="F36" s="18">
        <v>50612.359999999993</v>
      </c>
      <c r="G36" s="18">
        <v>68737.640000000014</v>
      </c>
      <c r="H36" s="18">
        <v>0</v>
      </c>
      <c r="I36" s="18">
        <v>6.875</v>
      </c>
      <c r="J36" s="18">
        <v>75.525000000000006</v>
      </c>
      <c r="K36" s="19">
        <v>0</v>
      </c>
      <c r="L36" s="194">
        <v>0</v>
      </c>
      <c r="M36" s="194">
        <v>259583.18</v>
      </c>
      <c r="N36" s="194">
        <v>90976.5</v>
      </c>
      <c r="O36" s="194">
        <v>723756.75</v>
      </c>
      <c r="P36" s="194">
        <v>982948.25</v>
      </c>
      <c r="Q36" s="194">
        <v>0</v>
      </c>
      <c r="R36" s="194">
        <v>6531.25</v>
      </c>
      <c r="S36" s="194">
        <v>9063</v>
      </c>
      <c r="T36" s="194">
        <v>2072858.93</v>
      </c>
    </row>
    <row r="37" spans="1:20">
      <c r="R37" s="21"/>
      <c r="S37" s="21"/>
      <c r="T37" s="195">
        <v>2528887.89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C09D-43A8-4537-A360-9E68780943AB}">
  <sheetPr codeName="Лист41">
    <pageSetUpPr fitToPage="1"/>
  </sheetPr>
  <dimension ref="A1:T37"/>
  <sheetViews>
    <sheetView topLeftCell="A22" workbookViewId="0">
      <selection activeCell="T36" sqref="T36"/>
    </sheetView>
  </sheetViews>
  <sheetFormatPr defaultRowHeight="15"/>
  <cols>
    <col min="1" max="3" width="8.796875" style="2"/>
    <col min="4" max="4" width="8.59765625" style="2" customWidth="1"/>
    <col min="5" max="5" width="8.09765625" style="2" customWidth="1"/>
    <col min="6" max="6" width="9" style="2" customWidth="1"/>
    <col min="7" max="7" width="6.69921875" style="2" bestFit="1" customWidth="1"/>
    <col min="8" max="8" width="6.5" style="2" bestFit="1" customWidth="1"/>
    <col min="9" max="9" width="7.296875" style="2" bestFit="1" customWidth="1"/>
    <col min="10" max="10" width="6.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298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293</v>
      </c>
      <c r="H3" s="209" t="s">
        <v>294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7.4999999999999997E-2</v>
      </c>
      <c r="G5" s="201"/>
      <c r="H5" s="201"/>
      <c r="I5" s="10">
        <v>0</v>
      </c>
      <c r="J5" s="10">
        <v>0</v>
      </c>
      <c r="K5" s="11"/>
      <c r="L5" s="193">
        <v>0</v>
      </c>
      <c r="M5" s="193">
        <v>0</v>
      </c>
      <c r="N5" s="193">
        <v>0</v>
      </c>
      <c r="O5" s="193">
        <v>1.4</v>
      </c>
      <c r="P5" s="193">
        <v>0</v>
      </c>
      <c r="Q5" s="193">
        <v>0</v>
      </c>
      <c r="R5" s="193">
        <v>0</v>
      </c>
      <c r="S5" s="193">
        <v>0</v>
      </c>
      <c r="T5" s="193">
        <v>1.4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7.4999999999999997E-2</v>
      </c>
      <c r="G6" s="201"/>
      <c r="H6" s="201"/>
      <c r="I6" s="10">
        <v>0</v>
      </c>
      <c r="J6" s="10">
        <v>0</v>
      </c>
      <c r="K6" s="11"/>
      <c r="L6" s="193">
        <v>0</v>
      </c>
      <c r="M6" s="193">
        <v>0</v>
      </c>
      <c r="N6" s="193">
        <v>0</v>
      </c>
      <c r="O6" s="193">
        <v>1.4</v>
      </c>
      <c r="P6" s="193">
        <v>0</v>
      </c>
      <c r="Q6" s="193">
        <v>0</v>
      </c>
      <c r="R6" s="193">
        <v>0</v>
      </c>
      <c r="S6" s="193">
        <v>0</v>
      </c>
      <c r="T6" s="193">
        <v>1.4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7.4999999999999997E-2</v>
      </c>
      <c r="G7" s="201"/>
      <c r="H7" s="201"/>
      <c r="I7" s="10">
        <v>0</v>
      </c>
      <c r="J7" s="10">
        <v>0</v>
      </c>
      <c r="K7" s="11"/>
      <c r="L7" s="193">
        <v>0</v>
      </c>
      <c r="M7" s="193">
        <v>0</v>
      </c>
      <c r="N7" s="193">
        <v>0</v>
      </c>
      <c r="O7" s="193">
        <v>1.4</v>
      </c>
      <c r="P7" s="193">
        <v>0</v>
      </c>
      <c r="Q7" s="193">
        <v>0</v>
      </c>
      <c r="R7" s="193">
        <v>0</v>
      </c>
      <c r="S7" s="193">
        <v>0</v>
      </c>
      <c r="T7" s="193">
        <v>1.4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7.4999999999999997E-2</v>
      </c>
      <c r="G8" s="201"/>
      <c r="H8" s="201"/>
      <c r="I8" s="10">
        <v>0</v>
      </c>
      <c r="J8" s="10">
        <v>0</v>
      </c>
      <c r="K8" s="11"/>
      <c r="L8" s="193">
        <v>0</v>
      </c>
      <c r="M8" s="193">
        <v>0</v>
      </c>
      <c r="N8" s="193">
        <v>0</v>
      </c>
      <c r="O8" s="193">
        <v>1.4</v>
      </c>
      <c r="P8" s="193">
        <v>0</v>
      </c>
      <c r="Q8" s="193">
        <v>0</v>
      </c>
      <c r="R8" s="193">
        <v>0</v>
      </c>
      <c r="S8" s="193">
        <v>0</v>
      </c>
      <c r="T8" s="193">
        <v>1.4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7.4999999999999997E-2</v>
      </c>
      <c r="G9" s="201"/>
      <c r="H9" s="201"/>
      <c r="I9" s="10">
        <v>0</v>
      </c>
      <c r="J9" s="10">
        <v>0</v>
      </c>
      <c r="K9" s="11"/>
      <c r="L9" s="193">
        <v>0</v>
      </c>
      <c r="M9" s="193">
        <v>0</v>
      </c>
      <c r="N9" s="193">
        <v>0</v>
      </c>
      <c r="O9" s="193">
        <v>1.4</v>
      </c>
      <c r="P9" s="193">
        <v>0</v>
      </c>
      <c r="Q9" s="193">
        <v>0</v>
      </c>
      <c r="R9" s="193">
        <v>0</v>
      </c>
      <c r="S9" s="193">
        <v>0</v>
      </c>
      <c r="T9" s="193">
        <v>1.4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7.4999999999999997E-2</v>
      </c>
      <c r="G10" s="201"/>
      <c r="H10" s="201"/>
      <c r="I10" s="10">
        <v>0</v>
      </c>
      <c r="J10" s="10">
        <v>0</v>
      </c>
      <c r="K10" s="11"/>
      <c r="L10" s="193">
        <v>0</v>
      </c>
      <c r="M10" s="193">
        <v>0</v>
      </c>
      <c r="N10" s="193">
        <v>0</v>
      </c>
      <c r="O10" s="193">
        <v>1.4</v>
      </c>
      <c r="P10" s="193">
        <v>0</v>
      </c>
      <c r="Q10" s="193">
        <v>0</v>
      </c>
      <c r="R10" s="193">
        <v>0</v>
      </c>
      <c r="S10" s="193">
        <v>0</v>
      </c>
      <c r="T10" s="193">
        <v>1.4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7.4999999999999997E-2</v>
      </c>
      <c r="G11" s="201"/>
      <c r="H11" s="201"/>
      <c r="I11" s="10">
        <v>0</v>
      </c>
      <c r="J11" s="10">
        <v>0</v>
      </c>
      <c r="K11" s="11"/>
      <c r="L11" s="193">
        <v>0</v>
      </c>
      <c r="M11" s="193">
        <v>0</v>
      </c>
      <c r="N11" s="193">
        <v>0</v>
      </c>
      <c r="O11" s="193">
        <v>1.4</v>
      </c>
      <c r="P11" s="193">
        <v>0</v>
      </c>
      <c r="Q11" s="193">
        <v>0</v>
      </c>
      <c r="R11" s="193">
        <v>0</v>
      </c>
      <c r="S11" s="193">
        <v>0</v>
      </c>
      <c r="T11" s="193">
        <v>1.4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7.4999999999999997E-2</v>
      </c>
      <c r="G12" s="201"/>
      <c r="H12" s="201"/>
      <c r="I12" s="10">
        <v>0</v>
      </c>
      <c r="J12" s="10">
        <v>0</v>
      </c>
      <c r="K12" s="11"/>
      <c r="L12" s="193">
        <v>0</v>
      </c>
      <c r="M12" s="193">
        <v>0</v>
      </c>
      <c r="N12" s="193">
        <v>0</v>
      </c>
      <c r="O12" s="193">
        <v>1.4</v>
      </c>
      <c r="P12" s="193">
        <v>0</v>
      </c>
      <c r="Q12" s="193">
        <v>0</v>
      </c>
      <c r="R12" s="193">
        <v>0</v>
      </c>
      <c r="S12" s="193">
        <v>0</v>
      </c>
      <c r="T12" s="193">
        <v>1.4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7.4999999999999997E-2</v>
      </c>
      <c r="G13" s="201"/>
      <c r="H13" s="201"/>
      <c r="I13" s="10">
        <v>0</v>
      </c>
      <c r="J13" s="10">
        <v>0</v>
      </c>
      <c r="K13" s="11"/>
      <c r="L13" s="193">
        <v>0</v>
      </c>
      <c r="M13" s="193">
        <v>0</v>
      </c>
      <c r="N13" s="193">
        <v>0</v>
      </c>
      <c r="O13" s="193">
        <v>1.4</v>
      </c>
      <c r="P13" s="193">
        <v>0</v>
      </c>
      <c r="Q13" s="193">
        <v>0</v>
      </c>
      <c r="R13" s="193">
        <v>0</v>
      </c>
      <c r="S13" s="193">
        <v>0</v>
      </c>
      <c r="T13" s="193">
        <v>1.4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7.4999999999999997E-2</v>
      </c>
      <c r="G14" s="201"/>
      <c r="H14" s="201"/>
      <c r="I14" s="10">
        <v>0</v>
      </c>
      <c r="J14" s="10">
        <v>0</v>
      </c>
      <c r="K14" s="11"/>
      <c r="L14" s="193">
        <v>0</v>
      </c>
      <c r="M14" s="193">
        <v>0</v>
      </c>
      <c r="N14" s="193">
        <v>0</v>
      </c>
      <c r="O14" s="193">
        <v>1.4</v>
      </c>
      <c r="P14" s="193">
        <v>0</v>
      </c>
      <c r="Q14" s="193">
        <v>0</v>
      </c>
      <c r="R14" s="193">
        <v>0</v>
      </c>
      <c r="S14" s="193">
        <v>0</v>
      </c>
      <c r="T14" s="193">
        <v>1.4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7.4999999999999997E-2</v>
      </c>
      <c r="G15" s="201"/>
      <c r="H15" s="201"/>
      <c r="I15" s="10">
        <v>0</v>
      </c>
      <c r="J15" s="10">
        <v>0</v>
      </c>
      <c r="K15" s="11"/>
      <c r="L15" s="193">
        <v>0</v>
      </c>
      <c r="M15" s="193">
        <v>0</v>
      </c>
      <c r="N15" s="193">
        <v>0</v>
      </c>
      <c r="O15" s="193">
        <v>1.4</v>
      </c>
      <c r="P15" s="193">
        <v>0</v>
      </c>
      <c r="Q15" s="193">
        <v>0</v>
      </c>
      <c r="R15" s="193">
        <v>0</v>
      </c>
      <c r="S15" s="193">
        <v>0</v>
      </c>
      <c r="T15" s="193">
        <v>1.4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7.4999999999999997E-2</v>
      </c>
      <c r="G16" s="201"/>
      <c r="H16" s="201"/>
      <c r="I16" s="10">
        <v>0</v>
      </c>
      <c r="J16" s="10">
        <v>0</v>
      </c>
      <c r="K16" s="16"/>
      <c r="L16" s="193">
        <v>0</v>
      </c>
      <c r="M16" s="193">
        <v>0</v>
      </c>
      <c r="N16" s="193">
        <v>0</v>
      </c>
      <c r="O16" s="193">
        <v>1.4</v>
      </c>
      <c r="P16" s="193">
        <v>0</v>
      </c>
      <c r="Q16" s="193">
        <v>0</v>
      </c>
      <c r="R16" s="193">
        <v>0</v>
      </c>
      <c r="S16" s="193">
        <v>0</v>
      </c>
      <c r="T16" s="193">
        <v>1.4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7.4999999999999997E-2</v>
      </c>
      <c r="G17" s="201"/>
      <c r="H17" s="201"/>
      <c r="I17" s="10">
        <v>0</v>
      </c>
      <c r="J17" s="10">
        <v>0</v>
      </c>
      <c r="K17" s="11"/>
      <c r="L17" s="193">
        <v>0</v>
      </c>
      <c r="M17" s="193">
        <v>0</v>
      </c>
      <c r="N17" s="193">
        <v>0</v>
      </c>
      <c r="O17" s="193">
        <v>1.4</v>
      </c>
      <c r="P17" s="193">
        <v>0</v>
      </c>
      <c r="Q17" s="193">
        <v>0</v>
      </c>
      <c r="R17" s="193">
        <v>0</v>
      </c>
      <c r="S17" s="193">
        <v>0</v>
      </c>
      <c r="T17" s="193">
        <v>1.4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7.4999999999999997E-2</v>
      </c>
      <c r="G18" s="201"/>
      <c r="H18" s="201"/>
      <c r="I18" s="10">
        <v>0</v>
      </c>
      <c r="J18" s="10">
        <v>0</v>
      </c>
      <c r="K18" s="11"/>
      <c r="L18" s="193">
        <v>0</v>
      </c>
      <c r="M18" s="193">
        <v>0</v>
      </c>
      <c r="N18" s="193">
        <v>0</v>
      </c>
      <c r="O18" s="193">
        <v>1.4</v>
      </c>
      <c r="P18" s="193">
        <v>0</v>
      </c>
      <c r="Q18" s="193">
        <v>0</v>
      </c>
      <c r="R18" s="193">
        <v>0</v>
      </c>
      <c r="S18" s="193">
        <v>0</v>
      </c>
      <c r="T18" s="193">
        <v>1.4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7.4999999999999997E-2</v>
      </c>
      <c r="G19" s="201"/>
      <c r="H19" s="201"/>
      <c r="I19" s="10">
        <v>0</v>
      </c>
      <c r="J19" s="10">
        <v>0</v>
      </c>
      <c r="K19" s="11"/>
      <c r="L19" s="193">
        <v>0</v>
      </c>
      <c r="M19" s="193">
        <v>0</v>
      </c>
      <c r="N19" s="193">
        <v>0</v>
      </c>
      <c r="O19" s="193">
        <v>1.4</v>
      </c>
      <c r="P19" s="193">
        <v>0</v>
      </c>
      <c r="Q19" s="193">
        <v>0</v>
      </c>
      <c r="R19" s="193">
        <v>0</v>
      </c>
      <c r="S19" s="193">
        <v>0</v>
      </c>
      <c r="T19" s="193">
        <v>1.4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7.4999999999999997E-2</v>
      </c>
      <c r="G20" s="201"/>
      <c r="H20" s="201"/>
      <c r="I20" s="10">
        <v>0</v>
      </c>
      <c r="J20" s="10">
        <v>0</v>
      </c>
      <c r="K20" s="11"/>
      <c r="L20" s="193">
        <v>0</v>
      </c>
      <c r="M20" s="193">
        <v>0</v>
      </c>
      <c r="N20" s="193">
        <v>0</v>
      </c>
      <c r="O20" s="193">
        <v>1.4</v>
      </c>
      <c r="P20" s="193">
        <v>0</v>
      </c>
      <c r="Q20" s="193">
        <v>0</v>
      </c>
      <c r="R20" s="193">
        <v>0</v>
      </c>
      <c r="S20" s="193">
        <v>0</v>
      </c>
      <c r="T20" s="193">
        <v>1.4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7.4999999999999997E-2</v>
      </c>
      <c r="G21" s="201"/>
      <c r="H21" s="201"/>
      <c r="I21" s="10">
        <v>0</v>
      </c>
      <c r="J21" s="10">
        <v>0</v>
      </c>
      <c r="K21" s="11"/>
      <c r="L21" s="193">
        <v>0</v>
      </c>
      <c r="M21" s="193">
        <v>0</v>
      </c>
      <c r="N21" s="193">
        <v>0</v>
      </c>
      <c r="O21" s="193">
        <v>1.4</v>
      </c>
      <c r="P21" s="193">
        <v>0</v>
      </c>
      <c r="Q21" s="193">
        <v>0</v>
      </c>
      <c r="R21" s="193">
        <v>0</v>
      </c>
      <c r="S21" s="193">
        <v>0</v>
      </c>
      <c r="T21" s="193">
        <v>1.4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7.4999999999999997E-2</v>
      </c>
      <c r="G22" s="201"/>
      <c r="H22" s="201"/>
      <c r="I22" s="10">
        <v>0</v>
      </c>
      <c r="J22" s="10">
        <v>0</v>
      </c>
      <c r="K22" s="11"/>
      <c r="L22" s="193">
        <v>0</v>
      </c>
      <c r="M22" s="193">
        <v>0</v>
      </c>
      <c r="N22" s="193">
        <v>0</v>
      </c>
      <c r="O22" s="193">
        <v>1.4</v>
      </c>
      <c r="P22" s="193">
        <v>0</v>
      </c>
      <c r="Q22" s="193">
        <v>0</v>
      </c>
      <c r="R22" s="193">
        <v>0</v>
      </c>
      <c r="S22" s="193">
        <v>0</v>
      </c>
      <c r="T22" s="193">
        <v>1.4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7.4999999999999997E-2</v>
      </c>
      <c r="G23" s="201"/>
      <c r="H23" s="201"/>
      <c r="I23" s="10">
        <v>0</v>
      </c>
      <c r="J23" s="10">
        <v>0</v>
      </c>
      <c r="K23" s="11"/>
      <c r="L23" s="193">
        <v>0</v>
      </c>
      <c r="M23" s="193">
        <v>0</v>
      </c>
      <c r="N23" s="193">
        <v>0</v>
      </c>
      <c r="O23" s="193">
        <v>1.4</v>
      </c>
      <c r="P23" s="193">
        <v>0</v>
      </c>
      <c r="Q23" s="193">
        <v>0</v>
      </c>
      <c r="R23" s="193">
        <v>0</v>
      </c>
      <c r="S23" s="193">
        <v>0</v>
      </c>
      <c r="T23" s="193">
        <v>1.4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</v>
      </c>
      <c r="F24" s="200">
        <v>7.4999999999999997E-2</v>
      </c>
      <c r="G24" s="201"/>
      <c r="H24" s="201"/>
      <c r="I24" s="10">
        <v>0</v>
      </c>
      <c r="J24" s="10">
        <v>0</v>
      </c>
      <c r="K24" s="11"/>
      <c r="L24" s="193">
        <v>0</v>
      </c>
      <c r="M24" s="193">
        <v>0</v>
      </c>
      <c r="N24" s="193">
        <v>0</v>
      </c>
      <c r="O24" s="193">
        <v>1.4</v>
      </c>
      <c r="P24" s="193">
        <v>0</v>
      </c>
      <c r="Q24" s="193">
        <v>0</v>
      </c>
      <c r="R24" s="193">
        <v>0</v>
      </c>
      <c r="S24" s="193">
        <v>0</v>
      </c>
      <c r="T24" s="193">
        <v>1.4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7.4999999999999997E-2</v>
      </c>
      <c r="G25" s="201"/>
      <c r="H25" s="201"/>
      <c r="I25" s="10">
        <v>0</v>
      </c>
      <c r="J25" s="10">
        <v>0</v>
      </c>
      <c r="K25" s="11"/>
      <c r="L25" s="193">
        <v>0</v>
      </c>
      <c r="M25" s="193">
        <v>0</v>
      </c>
      <c r="N25" s="193">
        <v>0</v>
      </c>
      <c r="O25" s="193">
        <v>1.4</v>
      </c>
      <c r="P25" s="193">
        <v>0</v>
      </c>
      <c r="Q25" s="193">
        <v>0</v>
      </c>
      <c r="R25" s="193">
        <v>0</v>
      </c>
      <c r="S25" s="193">
        <v>0</v>
      </c>
      <c r="T25" s="193">
        <v>1.4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0</v>
      </c>
      <c r="F26" s="200">
        <v>7.4999999999999997E-2</v>
      </c>
      <c r="G26" s="201"/>
      <c r="H26" s="201"/>
      <c r="I26" s="10">
        <v>0</v>
      </c>
      <c r="J26" s="10">
        <v>0</v>
      </c>
      <c r="K26" s="11"/>
      <c r="L26" s="193">
        <v>0</v>
      </c>
      <c r="M26" s="193">
        <v>0</v>
      </c>
      <c r="N26" s="193">
        <v>0</v>
      </c>
      <c r="O26" s="193">
        <v>1.4</v>
      </c>
      <c r="P26" s="193">
        <v>0</v>
      </c>
      <c r="Q26" s="193">
        <v>0</v>
      </c>
      <c r="R26" s="193">
        <v>0</v>
      </c>
      <c r="S26" s="193">
        <v>0</v>
      </c>
      <c r="T26" s="193">
        <v>1.4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7.4999999999999997E-2</v>
      </c>
      <c r="G27" s="201"/>
      <c r="H27" s="201"/>
      <c r="I27" s="10">
        <v>0</v>
      </c>
      <c r="J27" s="10">
        <v>0</v>
      </c>
      <c r="K27" s="11"/>
      <c r="L27" s="193">
        <v>0</v>
      </c>
      <c r="M27" s="193">
        <v>0</v>
      </c>
      <c r="N27" s="193">
        <v>0</v>
      </c>
      <c r="O27" s="193">
        <v>1.4</v>
      </c>
      <c r="P27" s="193">
        <v>0</v>
      </c>
      <c r="Q27" s="193">
        <v>0</v>
      </c>
      <c r="R27" s="193">
        <v>0</v>
      </c>
      <c r="S27" s="193">
        <v>0</v>
      </c>
      <c r="T27" s="193">
        <v>1.4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7.4999999999999997E-2</v>
      </c>
      <c r="G28" s="201"/>
      <c r="H28" s="201"/>
      <c r="I28" s="10">
        <v>0</v>
      </c>
      <c r="J28" s="10">
        <v>0</v>
      </c>
      <c r="K28" s="11"/>
      <c r="L28" s="193">
        <v>0</v>
      </c>
      <c r="M28" s="193">
        <v>0</v>
      </c>
      <c r="N28" s="193">
        <v>0</v>
      </c>
      <c r="O28" s="193">
        <v>1.4</v>
      </c>
      <c r="P28" s="193">
        <v>0</v>
      </c>
      <c r="Q28" s="193">
        <v>0</v>
      </c>
      <c r="R28" s="193">
        <v>0</v>
      </c>
      <c r="S28" s="193">
        <v>0</v>
      </c>
      <c r="T28" s="193">
        <v>1.4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7.4999999999999997E-2</v>
      </c>
      <c r="G29" s="201"/>
      <c r="H29" s="201"/>
      <c r="I29" s="10">
        <v>0</v>
      </c>
      <c r="J29" s="10">
        <v>0</v>
      </c>
      <c r="K29" s="11"/>
      <c r="L29" s="193">
        <v>0</v>
      </c>
      <c r="M29" s="193">
        <v>0</v>
      </c>
      <c r="N29" s="193">
        <v>0</v>
      </c>
      <c r="O29" s="193">
        <v>1.4</v>
      </c>
      <c r="P29" s="193">
        <v>0</v>
      </c>
      <c r="Q29" s="193">
        <v>0</v>
      </c>
      <c r="R29" s="193">
        <v>0</v>
      </c>
      <c r="S29" s="193">
        <v>0</v>
      </c>
      <c r="T29" s="193">
        <v>1.4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7.4999999999999997E-2</v>
      </c>
      <c r="G30" s="201"/>
      <c r="H30" s="201"/>
      <c r="I30" s="10">
        <v>0</v>
      </c>
      <c r="J30" s="10">
        <v>0</v>
      </c>
      <c r="K30" s="11"/>
      <c r="L30" s="193">
        <v>0</v>
      </c>
      <c r="M30" s="193">
        <v>0</v>
      </c>
      <c r="N30" s="193">
        <v>0</v>
      </c>
      <c r="O30" s="193">
        <v>1.4</v>
      </c>
      <c r="P30" s="193">
        <v>0</v>
      </c>
      <c r="Q30" s="193">
        <v>0</v>
      </c>
      <c r="R30" s="193">
        <v>0</v>
      </c>
      <c r="S30" s="193">
        <v>0</v>
      </c>
      <c r="T30" s="193">
        <v>1.4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7.4999999999999997E-2</v>
      </c>
      <c r="G31" s="201"/>
      <c r="H31" s="201"/>
      <c r="I31" s="10">
        <v>0</v>
      </c>
      <c r="J31" s="10">
        <v>0</v>
      </c>
      <c r="K31" s="11"/>
      <c r="L31" s="193">
        <v>0</v>
      </c>
      <c r="M31" s="193">
        <v>0</v>
      </c>
      <c r="N31" s="193">
        <v>0</v>
      </c>
      <c r="O31" s="193">
        <v>1.4</v>
      </c>
      <c r="P31" s="193">
        <v>0</v>
      </c>
      <c r="Q31" s="193">
        <v>0</v>
      </c>
      <c r="R31" s="193">
        <v>0</v>
      </c>
      <c r="S31" s="193">
        <v>0</v>
      </c>
      <c r="T31" s="193">
        <v>1.4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7.4999999999999997E-2</v>
      </c>
      <c r="G32" s="201"/>
      <c r="H32" s="201"/>
      <c r="I32" s="10">
        <v>0</v>
      </c>
      <c r="J32" s="10">
        <v>0</v>
      </c>
      <c r="K32" s="11"/>
      <c r="L32" s="193">
        <v>0</v>
      </c>
      <c r="M32" s="193">
        <v>0</v>
      </c>
      <c r="N32" s="193">
        <v>0</v>
      </c>
      <c r="O32" s="193">
        <v>1.4</v>
      </c>
      <c r="P32" s="193">
        <v>0</v>
      </c>
      <c r="Q32" s="193">
        <v>0</v>
      </c>
      <c r="R32" s="193">
        <v>0</v>
      </c>
      <c r="S32" s="193">
        <v>0</v>
      </c>
      <c r="T32" s="193">
        <v>1.4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7.4999999999999997E-2</v>
      </c>
      <c r="G33" s="201"/>
      <c r="H33" s="201"/>
      <c r="I33" s="10">
        <v>0</v>
      </c>
      <c r="J33" s="10">
        <v>0</v>
      </c>
      <c r="K33" s="11"/>
      <c r="L33" s="193">
        <v>0</v>
      </c>
      <c r="M33" s="193">
        <v>0</v>
      </c>
      <c r="N33" s="193">
        <v>0</v>
      </c>
      <c r="O33" s="193">
        <v>1.4</v>
      </c>
      <c r="P33" s="193">
        <v>0</v>
      </c>
      <c r="Q33" s="193">
        <v>0</v>
      </c>
      <c r="R33" s="193">
        <v>0</v>
      </c>
      <c r="S33" s="193">
        <v>0</v>
      </c>
      <c r="T33" s="193">
        <v>1.4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7.4999999999999997E-2</v>
      </c>
      <c r="G34" s="201"/>
      <c r="H34" s="201"/>
      <c r="I34" s="10">
        <v>0</v>
      </c>
      <c r="J34" s="10">
        <v>0</v>
      </c>
      <c r="K34" s="11"/>
      <c r="L34" s="193">
        <v>0</v>
      </c>
      <c r="M34" s="193">
        <v>0</v>
      </c>
      <c r="N34" s="193">
        <v>0</v>
      </c>
      <c r="O34" s="193">
        <v>1.4</v>
      </c>
      <c r="P34" s="193">
        <v>0</v>
      </c>
      <c r="Q34" s="193">
        <v>0</v>
      </c>
      <c r="R34" s="193">
        <v>0</v>
      </c>
      <c r="S34" s="193">
        <v>0</v>
      </c>
      <c r="T34" s="193">
        <v>1.4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7.4999999999999997E-2</v>
      </c>
      <c r="G35" s="201"/>
      <c r="H35" s="201"/>
      <c r="I35" s="10">
        <v>0</v>
      </c>
      <c r="J35" s="10">
        <v>0</v>
      </c>
      <c r="K35" s="11"/>
      <c r="L35" s="193">
        <v>0</v>
      </c>
      <c r="M35" s="193">
        <v>0</v>
      </c>
      <c r="N35" s="193">
        <v>0</v>
      </c>
      <c r="O35" s="193">
        <v>1.4</v>
      </c>
      <c r="P35" s="193">
        <v>0</v>
      </c>
      <c r="Q35" s="193">
        <v>0</v>
      </c>
      <c r="R35" s="193">
        <v>0</v>
      </c>
      <c r="S35" s="193">
        <v>0</v>
      </c>
      <c r="T35" s="193">
        <v>1.4</v>
      </c>
    </row>
    <row r="36" spans="1:20">
      <c r="D36" s="18">
        <v>0</v>
      </c>
      <c r="E36" s="18">
        <v>0</v>
      </c>
      <c r="F36" s="18">
        <v>2.3250000000000002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4">
        <v>0</v>
      </c>
      <c r="M36" s="194">
        <v>0</v>
      </c>
      <c r="N36" s="194">
        <v>0</v>
      </c>
      <c r="O36" s="194">
        <v>43.48</v>
      </c>
      <c r="P36" s="194">
        <v>0</v>
      </c>
      <c r="Q36" s="194">
        <v>0</v>
      </c>
      <c r="R36" s="194">
        <v>0</v>
      </c>
      <c r="S36" s="194">
        <v>0</v>
      </c>
      <c r="T36" s="194">
        <v>43.48</v>
      </c>
    </row>
    <row r="37" spans="1:20">
      <c r="R37" s="21"/>
      <c r="S37" s="21"/>
      <c r="T37" s="195">
        <v>53.04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7F07-6F0E-4D57-BE2E-239C814770AD}">
  <sheetPr codeName="Лист42">
    <pageSetUpPr fitToPage="1"/>
  </sheetPr>
  <dimension ref="A1:T37"/>
  <sheetViews>
    <sheetView topLeftCell="A22" workbookViewId="0">
      <selection activeCell="T37" sqref="T37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299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300</v>
      </c>
      <c r="H3" s="209" t="s">
        <v>301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302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 ht="27" customHeight="1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32.86</v>
      </c>
      <c r="G5" s="201">
        <v>0</v>
      </c>
      <c r="H5" s="201">
        <v>0</v>
      </c>
      <c r="I5" s="10">
        <v>0</v>
      </c>
      <c r="J5" s="10">
        <v>0</v>
      </c>
      <c r="K5" s="11">
        <v>0</v>
      </c>
      <c r="L5" s="193">
        <v>0</v>
      </c>
      <c r="M5" s="193">
        <v>0</v>
      </c>
      <c r="N5" s="193">
        <v>0</v>
      </c>
      <c r="O5" s="193">
        <v>0</v>
      </c>
      <c r="P5" s="193">
        <v>0</v>
      </c>
      <c r="Q5" s="193">
        <v>0</v>
      </c>
      <c r="R5" s="193">
        <v>0</v>
      </c>
      <c r="S5" s="193">
        <v>0</v>
      </c>
      <c r="T5" s="193">
        <v>0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32.86</v>
      </c>
      <c r="G6" s="201">
        <v>0</v>
      </c>
      <c r="H6" s="201">
        <v>0</v>
      </c>
      <c r="I6" s="10">
        <v>0</v>
      </c>
      <c r="J6" s="10">
        <v>0</v>
      </c>
      <c r="K6" s="11">
        <v>0</v>
      </c>
      <c r="L6" s="193">
        <v>0</v>
      </c>
      <c r="M6" s="193">
        <v>0</v>
      </c>
      <c r="N6" s="193">
        <v>0</v>
      </c>
      <c r="O6" s="193">
        <v>0</v>
      </c>
      <c r="P6" s="193">
        <v>0</v>
      </c>
      <c r="Q6" s="193">
        <v>0</v>
      </c>
      <c r="R6" s="193">
        <v>0</v>
      </c>
      <c r="S6" s="193">
        <v>0</v>
      </c>
      <c r="T6" s="193">
        <v>0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32.86</v>
      </c>
      <c r="G7" s="201">
        <v>0</v>
      </c>
      <c r="H7" s="201">
        <v>0</v>
      </c>
      <c r="I7" s="10">
        <v>0</v>
      </c>
      <c r="J7" s="10">
        <v>0</v>
      </c>
      <c r="K7" s="11">
        <v>0</v>
      </c>
      <c r="L7" s="193">
        <v>0</v>
      </c>
      <c r="M7" s="193">
        <v>0</v>
      </c>
      <c r="N7" s="193">
        <v>0</v>
      </c>
      <c r="O7" s="193">
        <v>0</v>
      </c>
      <c r="P7" s="193">
        <v>0</v>
      </c>
      <c r="Q7" s="193">
        <v>0</v>
      </c>
      <c r="R7" s="193">
        <v>0</v>
      </c>
      <c r="S7" s="193">
        <v>0</v>
      </c>
      <c r="T7" s="193">
        <v>0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32.86</v>
      </c>
      <c r="G8" s="201">
        <v>0</v>
      </c>
      <c r="H8" s="201">
        <v>0</v>
      </c>
      <c r="I8" s="10">
        <v>0</v>
      </c>
      <c r="J8" s="10">
        <v>0</v>
      </c>
      <c r="K8" s="11">
        <v>0</v>
      </c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32.86</v>
      </c>
      <c r="G9" s="201">
        <v>0</v>
      </c>
      <c r="H9" s="201">
        <v>0</v>
      </c>
      <c r="I9" s="10">
        <v>0</v>
      </c>
      <c r="J9" s="10">
        <v>0</v>
      </c>
      <c r="K9" s="11">
        <v>0</v>
      </c>
      <c r="L9" s="193">
        <v>0</v>
      </c>
      <c r="M9" s="193">
        <v>0</v>
      </c>
      <c r="N9" s="193">
        <v>0</v>
      </c>
      <c r="O9" s="193">
        <v>0</v>
      </c>
      <c r="P9" s="193">
        <v>0</v>
      </c>
      <c r="Q9" s="193">
        <v>0</v>
      </c>
      <c r="R9" s="193">
        <v>0</v>
      </c>
      <c r="S9" s="193">
        <v>0</v>
      </c>
      <c r="T9" s="193">
        <v>0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32.86</v>
      </c>
      <c r="G10" s="201">
        <v>0</v>
      </c>
      <c r="H10" s="201">
        <v>0</v>
      </c>
      <c r="I10" s="10">
        <v>0</v>
      </c>
      <c r="J10" s="10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0</v>
      </c>
      <c r="P10" s="193">
        <v>0</v>
      </c>
      <c r="Q10" s="193">
        <v>0</v>
      </c>
      <c r="R10" s="193">
        <v>0</v>
      </c>
      <c r="S10" s="193">
        <v>0</v>
      </c>
      <c r="T10" s="193">
        <v>0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32.86</v>
      </c>
      <c r="G11" s="201">
        <v>0</v>
      </c>
      <c r="H11" s="201">
        <v>0</v>
      </c>
      <c r="I11" s="10">
        <v>0</v>
      </c>
      <c r="J11" s="10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32.86</v>
      </c>
      <c r="G12" s="201">
        <v>0</v>
      </c>
      <c r="H12" s="201">
        <v>0</v>
      </c>
      <c r="I12" s="10">
        <v>0</v>
      </c>
      <c r="J12" s="10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32.86</v>
      </c>
      <c r="G13" s="201">
        <v>0</v>
      </c>
      <c r="H13" s="201">
        <v>0</v>
      </c>
      <c r="I13" s="10">
        <v>0</v>
      </c>
      <c r="J13" s="10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32.86</v>
      </c>
      <c r="G14" s="201">
        <v>0</v>
      </c>
      <c r="H14" s="201">
        <v>0</v>
      </c>
      <c r="I14" s="10">
        <v>0</v>
      </c>
      <c r="J14" s="10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32.86</v>
      </c>
      <c r="G15" s="201">
        <v>0</v>
      </c>
      <c r="H15" s="201">
        <v>0</v>
      </c>
      <c r="I15" s="10">
        <v>0</v>
      </c>
      <c r="J15" s="10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32.86</v>
      </c>
      <c r="G16" s="201">
        <v>0</v>
      </c>
      <c r="H16" s="201">
        <v>0</v>
      </c>
      <c r="I16" s="10">
        <v>0</v>
      </c>
      <c r="J16" s="10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32.86</v>
      </c>
      <c r="G17" s="201">
        <v>0</v>
      </c>
      <c r="H17" s="201">
        <v>0</v>
      </c>
      <c r="I17" s="10">
        <v>0</v>
      </c>
      <c r="J17" s="10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32.86</v>
      </c>
      <c r="G18" s="201">
        <v>0</v>
      </c>
      <c r="H18" s="201">
        <v>0</v>
      </c>
      <c r="I18" s="10">
        <v>0</v>
      </c>
      <c r="J18" s="10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32.86</v>
      </c>
      <c r="G19" s="201">
        <v>0</v>
      </c>
      <c r="H19" s="201">
        <v>0</v>
      </c>
      <c r="I19" s="10">
        <v>0</v>
      </c>
      <c r="J19" s="10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32.86</v>
      </c>
      <c r="G20" s="201">
        <v>0</v>
      </c>
      <c r="H20" s="201">
        <v>0</v>
      </c>
      <c r="I20" s="10">
        <v>0</v>
      </c>
      <c r="J20" s="10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32.86</v>
      </c>
      <c r="G21" s="201">
        <v>0</v>
      </c>
      <c r="H21" s="201">
        <v>0</v>
      </c>
      <c r="I21" s="10">
        <v>0</v>
      </c>
      <c r="J21" s="10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32.86</v>
      </c>
      <c r="G22" s="201">
        <v>0</v>
      </c>
      <c r="H22" s="201">
        <v>0</v>
      </c>
      <c r="I22" s="10">
        <v>0</v>
      </c>
      <c r="J22" s="10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32.86</v>
      </c>
      <c r="G23" s="201">
        <v>0</v>
      </c>
      <c r="H23" s="201">
        <v>0</v>
      </c>
      <c r="I23" s="10">
        <v>0</v>
      </c>
      <c r="J23" s="10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</v>
      </c>
      <c r="F24" s="200">
        <v>32.86</v>
      </c>
      <c r="G24" s="201">
        <v>0</v>
      </c>
      <c r="H24" s="201">
        <v>0</v>
      </c>
      <c r="I24" s="10">
        <v>0</v>
      </c>
      <c r="J24" s="10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32.86</v>
      </c>
      <c r="G25" s="201">
        <v>0</v>
      </c>
      <c r="H25" s="201">
        <v>0</v>
      </c>
      <c r="I25" s="10">
        <v>0</v>
      </c>
      <c r="J25" s="10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0</v>
      </c>
      <c r="F26" s="200">
        <v>32.86</v>
      </c>
      <c r="G26" s="201">
        <v>0</v>
      </c>
      <c r="H26" s="201">
        <v>0</v>
      </c>
      <c r="I26" s="10">
        <v>0</v>
      </c>
      <c r="J26" s="10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32.86</v>
      </c>
      <c r="G27" s="201">
        <v>0</v>
      </c>
      <c r="H27" s="201">
        <v>0</v>
      </c>
      <c r="I27" s="10">
        <v>0</v>
      </c>
      <c r="J27" s="10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32.86</v>
      </c>
      <c r="G28" s="201">
        <v>0</v>
      </c>
      <c r="H28" s="201">
        <v>0</v>
      </c>
      <c r="I28" s="10">
        <v>0</v>
      </c>
      <c r="J28" s="10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32.86</v>
      </c>
      <c r="G29" s="201">
        <v>0</v>
      </c>
      <c r="H29" s="201">
        <v>0</v>
      </c>
      <c r="I29" s="10">
        <v>0</v>
      </c>
      <c r="J29" s="10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32.86</v>
      </c>
      <c r="G30" s="201">
        <v>0</v>
      </c>
      <c r="H30" s="201">
        <v>0</v>
      </c>
      <c r="I30" s="10">
        <v>0</v>
      </c>
      <c r="J30" s="10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32.86</v>
      </c>
      <c r="G31" s="201">
        <v>0</v>
      </c>
      <c r="H31" s="201">
        <v>0</v>
      </c>
      <c r="I31" s="10">
        <v>0</v>
      </c>
      <c r="J31" s="10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32.86</v>
      </c>
      <c r="G32" s="201">
        <v>0</v>
      </c>
      <c r="H32" s="201">
        <v>0</v>
      </c>
      <c r="I32" s="10">
        <v>0</v>
      </c>
      <c r="J32" s="10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32.86</v>
      </c>
      <c r="G33" s="201">
        <v>0</v>
      </c>
      <c r="H33" s="201">
        <v>0</v>
      </c>
      <c r="I33" s="10">
        <v>0</v>
      </c>
      <c r="J33" s="10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32.86</v>
      </c>
      <c r="G34" s="201">
        <v>0</v>
      </c>
      <c r="H34" s="201">
        <v>0</v>
      </c>
      <c r="I34" s="10">
        <v>0</v>
      </c>
      <c r="J34" s="10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32.86</v>
      </c>
      <c r="G35" s="201">
        <v>0</v>
      </c>
      <c r="H35" s="201">
        <v>0</v>
      </c>
      <c r="I35" s="10">
        <v>0</v>
      </c>
      <c r="J35" s="10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</row>
    <row r="36" spans="1:20">
      <c r="D36" s="18">
        <v>0</v>
      </c>
      <c r="E36" s="18">
        <v>0</v>
      </c>
      <c r="F36" s="18">
        <v>1018.6600000000003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4">
        <v>0</v>
      </c>
      <c r="M36" s="194">
        <v>0</v>
      </c>
      <c r="N36" s="194">
        <v>0</v>
      </c>
      <c r="O36" s="194">
        <v>44611.41</v>
      </c>
      <c r="P36" s="194">
        <v>0</v>
      </c>
      <c r="Q36" s="194">
        <v>0</v>
      </c>
      <c r="R36" s="194">
        <v>0</v>
      </c>
      <c r="S36" s="194">
        <v>0</v>
      </c>
      <c r="T36" s="194">
        <v>44611.41</v>
      </c>
    </row>
    <row r="37" spans="1:20">
      <c r="R37" s="21"/>
      <c r="S37" s="21"/>
      <c r="T37" s="195">
        <v>54425.919999999998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3AC4-6551-4FCF-894B-58DCD3C6888D}">
  <sheetPr codeName="Лист43">
    <pageSetUpPr fitToPage="1"/>
  </sheetPr>
  <dimension ref="A1:T37"/>
  <sheetViews>
    <sheetView topLeftCell="A22" workbookViewId="0">
      <selection activeCell="T37" sqref="T37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303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300</v>
      </c>
      <c r="H3" s="209" t="s">
        <v>301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302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 ht="27" customHeight="1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2570.5140000000001</v>
      </c>
      <c r="G5" s="201">
        <v>0</v>
      </c>
      <c r="H5" s="201">
        <v>400</v>
      </c>
      <c r="I5" s="10">
        <v>0</v>
      </c>
      <c r="J5" s="10">
        <v>0</v>
      </c>
      <c r="K5" s="11">
        <v>0</v>
      </c>
      <c r="L5" s="193">
        <v>0</v>
      </c>
      <c r="M5" s="193">
        <v>0</v>
      </c>
      <c r="N5" s="193">
        <v>0</v>
      </c>
      <c r="O5" s="193">
        <v>0</v>
      </c>
      <c r="P5" s="193">
        <v>0</v>
      </c>
      <c r="Q5" s="193">
        <v>60000</v>
      </c>
      <c r="R5" s="193">
        <v>0</v>
      </c>
      <c r="S5" s="193">
        <v>0</v>
      </c>
      <c r="T5" s="193">
        <v>60000</v>
      </c>
    </row>
    <row r="6" spans="1:20">
      <c r="A6" s="13">
        <v>2</v>
      </c>
      <c r="B6" s="216" t="s">
        <v>200</v>
      </c>
      <c r="C6" s="217"/>
      <c r="D6" s="200">
        <v>199</v>
      </c>
      <c r="E6" s="200">
        <v>0</v>
      </c>
      <c r="F6" s="200">
        <v>2769.5140000000001</v>
      </c>
      <c r="G6" s="201">
        <v>0</v>
      </c>
      <c r="H6" s="201">
        <v>201</v>
      </c>
      <c r="I6" s="10">
        <v>0</v>
      </c>
      <c r="J6" s="10">
        <v>0</v>
      </c>
      <c r="K6" s="11">
        <v>0</v>
      </c>
      <c r="L6" s="193">
        <v>0</v>
      </c>
      <c r="M6" s="193">
        <v>29850</v>
      </c>
      <c r="N6" s="193">
        <v>0</v>
      </c>
      <c r="O6" s="193">
        <v>0</v>
      </c>
      <c r="P6" s="193">
        <v>0</v>
      </c>
      <c r="Q6" s="193">
        <v>30150</v>
      </c>
      <c r="R6" s="193">
        <v>0</v>
      </c>
      <c r="S6" s="193">
        <v>0</v>
      </c>
      <c r="T6" s="193">
        <v>60000</v>
      </c>
    </row>
    <row r="7" spans="1:20">
      <c r="A7" s="13">
        <v>3</v>
      </c>
      <c r="B7" s="216" t="s">
        <v>201</v>
      </c>
      <c r="C7" s="217"/>
      <c r="D7" s="200">
        <v>67</v>
      </c>
      <c r="E7" s="200">
        <v>4.125</v>
      </c>
      <c r="F7" s="200">
        <v>2832.3890000000001</v>
      </c>
      <c r="G7" s="201">
        <v>0</v>
      </c>
      <c r="H7" s="201">
        <v>328.875</v>
      </c>
      <c r="I7" s="10">
        <v>0</v>
      </c>
      <c r="J7" s="10">
        <v>0</v>
      </c>
      <c r="K7" s="11">
        <v>0</v>
      </c>
      <c r="L7" s="193">
        <v>0</v>
      </c>
      <c r="M7" s="193">
        <v>10050</v>
      </c>
      <c r="N7" s="193">
        <v>618.75</v>
      </c>
      <c r="O7" s="193">
        <v>0</v>
      </c>
      <c r="P7" s="193">
        <v>0</v>
      </c>
      <c r="Q7" s="193">
        <v>49331.25</v>
      </c>
      <c r="R7" s="193">
        <v>0</v>
      </c>
      <c r="S7" s="193">
        <v>0</v>
      </c>
      <c r="T7" s="193">
        <v>60000</v>
      </c>
    </row>
    <row r="8" spans="1:20">
      <c r="A8" s="13">
        <v>4</v>
      </c>
      <c r="B8" s="216" t="s">
        <v>202</v>
      </c>
      <c r="C8" s="217"/>
      <c r="D8" s="200">
        <v>66.5</v>
      </c>
      <c r="E8" s="200">
        <v>0</v>
      </c>
      <c r="F8" s="200">
        <v>2898.8890000000001</v>
      </c>
      <c r="G8" s="201">
        <v>0</v>
      </c>
      <c r="H8" s="201">
        <v>333.5</v>
      </c>
      <c r="I8" s="10">
        <v>0</v>
      </c>
      <c r="J8" s="10">
        <v>0</v>
      </c>
      <c r="K8" s="11">
        <v>0</v>
      </c>
      <c r="L8" s="193">
        <v>0</v>
      </c>
      <c r="M8" s="193">
        <v>9975</v>
      </c>
      <c r="N8" s="193">
        <v>0</v>
      </c>
      <c r="O8" s="193">
        <v>0</v>
      </c>
      <c r="P8" s="193">
        <v>0</v>
      </c>
      <c r="Q8" s="193">
        <v>50025</v>
      </c>
      <c r="R8" s="193">
        <v>0</v>
      </c>
      <c r="S8" s="193">
        <v>0</v>
      </c>
      <c r="T8" s="193">
        <v>60000</v>
      </c>
    </row>
    <row r="9" spans="1:20">
      <c r="A9" s="13">
        <v>5</v>
      </c>
      <c r="B9" s="216" t="s">
        <v>203</v>
      </c>
      <c r="C9" s="217"/>
      <c r="D9" s="200">
        <v>90</v>
      </c>
      <c r="E9" s="200">
        <v>0</v>
      </c>
      <c r="F9" s="200">
        <v>2988.8890000000001</v>
      </c>
      <c r="G9" s="201">
        <v>0</v>
      </c>
      <c r="H9" s="201">
        <v>310</v>
      </c>
      <c r="I9" s="10">
        <v>0</v>
      </c>
      <c r="J9" s="10">
        <v>0</v>
      </c>
      <c r="K9" s="11">
        <v>0</v>
      </c>
      <c r="L9" s="193">
        <v>0</v>
      </c>
      <c r="M9" s="193">
        <v>13500</v>
      </c>
      <c r="N9" s="193">
        <v>0</v>
      </c>
      <c r="O9" s="193">
        <v>0</v>
      </c>
      <c r="P9" s="193">
        <v>0</v>
      </c>
      <c r="Q9" s="193">
        <v>46500</v>
      </c>
      <c r="R9" s="193">
        <v>0</v>
      </c>
      <c r="S9" s="193">
        <v>0</v>
      </c>
      <c r="T9" s="193">
        <v>60000</v>
      </c>
    </row>
    <row r="10" spans="1:20">
      <c r="A10" s="13">
        <v>6</v>
      </c>
      <c r="B10" s="216" t="s">
        <v>204</v>
      </c>
      <c r="C10" s="217"/>
      <c r="D10" s="200">
        <v>155.5</v>
      </c>
      <c r="E10" s="200">
        <v>0</v>
      </c>
      <c r="F10" s="200">
        <v>3144.3890000000001</v>
      </c>
      <c r="G10" s="201">
        <v>0</v>
      </c>
      <c r="H10" s="201">
        <v>244.5</v>
      </c>
      <c r="I10" s="10">
        <v>0</v>
      </c>
      <c r="J10" s="10">
        <v>0</v>
      </c>
      <c r="K10" s="11">
        <v>0</v>
      </c>
      <c r="L10" s="193">
        <v>0</v>
      </c>
      <c r="M10" s="193">
        <v>23325</v>
      </c>
      <c r="N10" s="193">
        <v>0</v>
      </c>
      <c r="O10" s="193">
        <v>0</v>
      </c>
      <c r="P10" s="193">
        <v>0</v>
      </c>
      <c r="Q10" s="193">
        <v>36675</v>
      </c>
      <c r="R10" s="193">
        <v>0</v>
      </c>
      <c r="S10" s="193">
        <v>0</v>
      </c>
      <c r="T10" s="193">
        <v>60000</v>
      </c>
    </row>
    <row r="11" spans="1:20">
      <c r="A11" s="13">
        <v>7</v>
      </c>
      <c r="B11" s="216" t="s">
        <v>205</v>
      </c>
      <c r="C11" s="217"/>
      <c r="D11" s="200">
        <v>111</v>
      </c>
      <c r="E11" s="200">
        <v>0</v>
      </c>
      <c r="F11" s="200">
        <v>3255.3890000000001</v>
      </c>
      <c r="G11" s="201">
        <v>0</v>
      </c>
      <c r="H11" s="201">
        <v>289</v>
      </c>
      <c r="I11" s="10">
        <v>0</v>
      </c>
      <c r="J11" s="10">
        <v>0</v>
      </c>
      <c r="K11" s="11">
        <v>0</v>
      </c>
      <c r="L11" s="193">
        <v>0</v>
      </c>
      <c r="M11" s="193">
        <v>16650</v>
      </c>
      <c r="N11" s="193">
        <v>0</v>
      </c>
      <c r="O11" s="193">
        <v>0</v>
      </c>
      <c r="P11" s="193">
        <v>0</v>
      </c>
      <c r="Q11" s="193">
        <v>43350</v>
      </c>
      <c r="R11" s="193">
        <v>0</v>
      </c>
      <c r="S11" s="193">
        <v>0</v>
      </c>
      <c r="T11" s="193">
        <v>60000</v>
      </c>
    </row>
    <row r="12" spans="1:20">
      <c r="A12" s="13">
        <v>8</v>
      </c>
      <c r="B12" s="216" t="s">
        <v>206</v>
      </c>
      <c r="C12" s="217"/>
      <c r="D12" s="200">
        <v>132</v>
      </c>
      <c r="E12" s="200">
        <v>0</v>
      </c>
      <c r="F12" s="200">
        <v>3387.3890000000001</v>
      </c>
      <c r="G12" s="201">
        <v>0</v>
      </c>
      <c r="H12" s="201">
        <v>268</v>
      </c>
      <c r="I12" s="10">
        <v>0</v>
      </c>
      <c r="J12" s="10">
        <v>0</v>
      </c>
      <c r="K12" s="11">
        <v>0</v>
      </c>
      <c r="L12" s="193">
        <v>0</v>
      </c>
      <c r="M12" s="193">
        <v>19800</v>
      </c>
      <c r="N12" s="193">
        <v>0</v>
      </c>
      <c r="O12" s="193">
        <v>0</v>
      </c>
      <c r="P12" s="193">
        <v>0</v>
      </c>
      <c r="Q12" s="193">
        <v>40200</v>
      </c>
      <c r="R12" s="193">
        <v>0</v>
      </c>
      <c r="S12" s="193">
        <v>0</v>
      </c>
      <c r="T12" s="193">
        <v>60000</v>
      </c>
    </row>
    <row r="13" spans="1:20">
      <c r="A13" s="13">
        <v>9</v>
      </c>
      <c r="B13" s="216" t="s">
        <v>207</v>
      </c>
      <c r="C13" s="217"/>
      <c r="D13" s="200">
        <v>727</v>
      </c>
      <c r="E13" s="200">
        <v>0</v>
      </c>
      <c r="F13" s="200">
        <v>4114.3890000000001</v>
      </c>
      <c r="G13" s="201">
        <v>0</v>
      </c>
      <c r="H13" s="201">
        <v>0</v>
      </c>
      <c r="I13" s="10">
        <v>0</v>
      </c>
      <c r="J13" s="10">
        <v>0</v>
      </c>
      <c r="K13" s="11">
        <v>0</v>
      </c>
      <c r="L13" s="193">
        <v>0</v>
      </c>
      <c r="M13" s="193">
        <v>109050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109050</v>
      </c>
    </row>
    <row r="14" spans="1:20">
      <c r="A14" s="13">
        <v>10</v>
      </c>
      <c r="B14" s="216" t="s">
        <v>208</v>
      </c>
      <c r="C14" s="217"/>
      <c r="D14" s="200">
        <v>618</v>
      </c>
      <c r="E14" s="200">
        <v>22</v>
      </c>
      <c r="F14" s="200">
        <v>4710.3890000000001</v>
      </c>
      <c r="G14" s="201">
        <v>0</v>
      </c>
      <c r="H14" s="201">
        <v>0</v>
      </c>
      <c r="I14" s="10">
        <v>0</v>
      </c>
      <c r="J14" s="10">
        <v>0</v>
      </c>
      <c r="K14" s="11">
        <v>0</v>
      </c>
      <c r="L14" s="193">
        <v>0</v>
      </c>
      <c r="M14" s="193">
        <v>92700</v>
      </c>
      <c r="N14" s="193">
        <v>3300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96000</v>
      </c>
    </row>
    <row r="15" spans="1:20">
      <c r="A15" s="13">
        <v>11</v>
      </c>
      <c r="B15" s="216" t="s">
        <v>209</v>
      </c>
      <c r="C15" s="217"/>
      <c r="D15" s="200">
        <v>286.5</v>
      </c>
      <c r="E15" s="200">
        <v>0</v>
      </c>
      <c r="F15" s="200">
        <v>4996.8890000000001</v>
      </c>
      <c r="G15" s="201">
        <v>0</v>
      </c>
      <c r="H15" s="201">
        <v>113.5</v>
      </c>
      <c r="I15" s="10">
        <v>0</v>
      </c>
      <c r="J15" s="10">
        <v>0</v>
      </c>
      <c r="K15" s="11">
        <v>0</v>
      </c>
      <c r="L15" s="193">
        <v>0</v>
      </c>
      <c r="M15" s="193">
        <v>42975</v>
      </c>
      <c r="N15" s="193">
        <v>0</v>
      </c>
      <c r="O15" s="193">
        <v>0</v>
      </c>
      <c r="P15" s="193">
        <v>0</v>
      </c>
      <c r="Q15" s="193">
        <v>17025</v>
      </c>
      <c r="R15" s="193">
        <v>0</v>
      </c>
      <c r="S15" s="193">
        <v>0</v>
      </c>
      <c r="T15" s="193">
        <v>60000</v>
      </c>
    </row>
    <row r="16" spans="1:20">
      <c r="A16" s="13">
        <v>12</v>
      </c>
      <c r="B16" s="216" t="s">
        <v>210</v>
      </c>
      <c r="C16" s="217"/>
      <c r="D16" s="200">
        <v>155</v>
      </c>
      <c r="E16" s="200">
        <v>0</v>
      </c>
      <c r="F16" s="200">
        <v>5151.8890000000001</v>
      </c>
      <c r="G16" s="201">
        <v>0</v>
      </c>
      <c r="H16" s="201">
        <v>245</v>
      </c>
      <c r="I16" s="10">
        <v>0</v>
      </c>
      <c r="J16" s="10">
        <v>0</v>
      </c>
      <c r="K16" s="11">
        <v>0</v>
      </c>
      <c r="L16" s="193">
        <v>0</v>
      </c>
      <c r="M16" s="193">
        <v>23250</v>
      </c>
      <c r="N16" s="193">
        <v>0</v>
      </c>
      <c r="O16" s="193">
        <v>0</v>
      </c>
      <c r="P16" s="193">
        <v>0</v>
      </c>
      <c r="Q16" s="193">
        <v>36750</v>
      </c>
      <c r="R16" s="193">
        <v>0</v>
      </c>
      <c r="S16" s="193">
        <v>0</v>
      </c>
      <c r="T16" s="193">
        <v>60000</v>
      </c>
    </row>
    <row r="17" spans="1:20">
      <c r="A17" s="13">
        <v>13</v>
      </c>
      <c r="B17" s="216" t="s">
        <v>211</v>
      </c>
      <c r="C17" s="217"/>
      <c r="D17" s="200">
        <v>221.5</v>
      </c>
      <c r="E17" s="200">
        <v>77.5</v>
      </c>
      <c r="F17" s="200">
        <v>5295.8890000000001</v>
      </c>
      <c r="G17" s="201">
        <v>0</v>
      </c>
      <c r="H17" s="201">
        <v>101</v>
      </c>
      <c r="I17" s="10">
        <v>0</v>
      </c>
      <c r="J17" s="10">
        <v>0</v>
      </c>
      <c r="K17" s="11">
        <v>0</v>
      </c>
      <c r="L17" s="193">
        <v>0</v>
      </c>
      <c r="M17" s="193">
        <v>33225</v>
      </c>
      <c r="N17" s="193">
        <v>11625</v>
      </c>
      <c r="O17" s="193">
        <v>0</v>
      </c>
      <c r="P17" s="193">
        <v>0</v>
      </c>
      <c r="Q17" s="193">
        <v>15150</v>
      </c>
      <c r="R17" s="193">
        <v>0</v>
      </c>
      <c r="S17" s="193">
        <v>0</v>
      </c>
      <c r="T17" s="193">
        <v>60000</v>
      </c>
    </row>
    <row r="18" spans="1:20">
      <c r="A18" s="13">
        <v>14</v>
      </c>
      <c r="B18" s="216" t="s">
        <v>212</v>
      </c>
      <c r="C18" s="217"/>
      <c r="D18" s="200">
        <v>133</v>
      </c>
      <c r="E18" s="200">
        <v>21.375</v>
      </c>
      <c r="F18" s="200">
        <v>5407.5140000000001</v>
      </c>
      <c r="G18" s="201">
        <v>0</v>
      </c>
      <c r="H18" s="201">
        <v>245.625</v>
      </c>
      <c r="I18" s="10">
        <v>0</v>
      </c>
      <c r="J18" s="10">
        <v>0</v>
      </c>
      <c r="K18" s="11">
        <v>0</v>
      </c>
      <c r="L18" s="193">
        <v>0</v>
      </c>
      <c r="M18" s="193">
        <v>19950</v>
      </c>
      <c r="N18" s="193">
        <v>3206.25</v>
      </c>
      <c r="O18" s="193">
        <v>0</v>
      </c>
      <c r="P18" s="193">
        <v>0</v>
      </c>
      <c r="Q18" s="193">
        <v>36843.75</v>
      </c>
      <c r="R18" s="193">
        <v>0</v>
      </c>
      <c r="S18" s="193">
        <v>0</v>
      </c>
      <c r="T18" s="193">
        <v>60000</v>
      </c>
    </row>
    <row r="19" spans="1:20">
      <c r="A19" s="13">
        <v>15</v>
      </c>
      <c r="B19" s="216" t="s">
        <v>213</v>
      </c>
      <c r="C19" s="217"/>
      <c r="D19" s="200">
        <v>111.52500000000001</v>
      </c>
      <c r="E19" s="200">
        <v>66</v>
      </c>
      <c r="F19" s="200">
        <v>5453.0389999999998</v>
      </c>
      <c r="G19" s="201">
        <v>0</v>
      </c>
      <c r="H19" s="201">
        <v>222.47499999999999</v>
      </c>
      <c r="I19" s="10">
        <v>0</v>
      </c>
      <c r="J19" s="10">
        <v>0</v>
      </c>
      <c r="K19" s="11">
        <v>0</v>
      </c>
      <c r="L19" s="193">
        <v>0</v>
      </c>
      <c r="M19" s="193">
        <v>16728.75</v>
      </c>
      <c r="N19" s="193">
        <v>9900</v>
      </c>
      <c r="O19" s="193">
        <v>0</v>
      </c>
      <c r="P19" s="193">
        <v>0</v>
      </c>
      <c r="Q19" s="193">
        <v>33371.25</v>
      </c>
      <c r="R19" s="193">
        <v>0</v>
      </c>
      <c r="S19" s="193">
        <v>0</v>
      </c>
      <c r="T19" s="193">
        <v>60000</v>
      </c>
    </row>
    <row r="20" spans="1:20">
      <c r="A20" s="13">
        <v>16</v>
      </c>
      <c r="B20" s="216" t="s">
        <v>214</v>
      </c>
      <c r="C20" s="217"/>
      <c r="D20" s="200">
        <v>198.5</v>
      </c>
      <c r="E20" s="200">
        <v>15.125</v>
      </c>
      <c r="F20" s="200">
        <v>5636.4139999999998</v>
      </c>
      <c r="G20" s="201">
        <v>0</v>
      </c>
      <c r="H20" s="201">
        <v>186.375</v>
      </c>
      <c r="I20" s="10">
        <v>0</v>
      </c>
      <c r="J20" s="10">
        <v>0</v>
      </c>
      <c r="K20" s="11">
        <v>0</v>
      </c>
      <c r="L20" s="193">
        <v>0</v>
      </c>
      <c r="M20" s="193">
        <v>29775</v>
      </c>
      <c r="N20" s="193">
        <v>2268.75</v>
      </c>
      <c r="O20" s="193">
        <v>0</v>
      </c>
      <c r="P20" s="193">
        <v>0</v>
      </c>
      <c r="Q20" s="193">
        <v>27956.25</v>
      </c>
      <c r="R20" s="193">
        <v>0</v>
      </c>
      <c r="S20" s="193">
        <v>0</v>
      </c>
      <c r="T20" s="193">
        <v>60000</v>
      </c>
    </row>
    <row r="21" spans="1:20">
      <c r="A21" s="13">
        <v>17</v>
      </c>
      <c r="B21" s="216" t="s">
        <v>215</v>
      </c>
      <c r="C21" s="217"/>
      <c r="D21" s="200">
        <v>176</v>
      </c>
      <c r="E21" s="200">
        <v>44</v>
      </c>
      <c r="F21" s="200">
        <v>5768.4139999999998</v>
      </c>
      <c r="G21" s="201">
        <v>0</v>
      </c>
      <c r="H21" s="201">
        <v>180</v>
      </c>
      <c r="I21" s="10">
        <v>0</v>
      </c>
      <c r="J21" s="10">
        <v>0</v>
      </c>
      <c r="K21" s="11">
        <v>0</v>
      </c>
      <c r="L21" s="193">
        <v>0</v>
      </c>
      <c r="M21" s="193">
        <v>26400</v>
      </c>
      <c r="N21" s="193">
        <v>6600</v>
      </c>
      <c r="O21" s="193">
        <v>0</v>
      </c>
      <c r="P21" s="193">
        <v>0</v>
      </c>
      <c r="Q21" s="193">
        <v>27000</v>
      </c>
      <c r="R21" s="193">
        <v>0</v>
      </c>
      <c r="S21" s="193">
        <v>0</v>
      </c>
      <c r="T21" s="193">
        <v>60000</v>
      </c>
    </row>
    <row r="22" spans="1:20">
      <c r="A22" s="13">
        <v>18</v>
      </c>
      <c r="B22" s="216" t="s">
        <v>216</v>
      </c>
      <c r="C22" s="217"/>
      <c r="D22" s="200">
        <v>220</v>
      </c>
      <c r="E22" s="200">
        <v>111.5</v>
      </c>
      <c r="F22" s="200">
        <v>5876.9139999999998</v>
      </c>
      <c r="G22" s="201">
        <v>0</v>
      </c>
      <c r="H22" s="201">
        <v>68.5</v>
      </c>
      <c r="I22" s="10">
        <v>0</v>
      </c>
      <c r="J22" s="10">
        <v>0</v>
      </c>
      <c r="K22" s="11">
        <v>0</v>
      </c>
      <c r="L22" s="193">
        <v>0</v>
      </c>
      <c r="M22" s="193">
        <v>33000</v>
      </c>
      <c r="N22" s="193">
        <v>16725</v>
      </c>
      <c r="O22" s="193">
        <v>0</v>
      </c>
      <c r="P22" s="193">
        <v>0</v>
      </c>
      <c r="Q22" s="193">
        <v>10275</v>
      </c>
      <c r="R22" s="193">
        <v>0</v>
      </c>
      <c r="S22" s="193">
        <v>0</v>
      </c>
      <c r="T22" s="193">
        <v>60000</v>
      </c>
    </row>
    <row r="23" spans="1:20">
      <c r="A23" s="13">
        <v>19</v>
      </c>
      <c r="B23" s="216" t="s">
        <v>217</v>
      </c>
      <c r="C23" s="217"/>
      <c r="D23" s="200">
        <v>176</v>
      </c>
      <c r="E23" s="200">
        <v>66.625</v>
      </c>
      <c r="F23" s="200">
        <v>5986.2889999999998</v>
      </c>
      <c r="G23" s="201">
        <v>0</v>
      </c>
      <c r="H23" s="201">
        <v>157.375</v>
      </c>
      <c r="I23" s="10">
        <v>0</v>
      </c>
      <c r="J23" s="10">
        <v>0</v>
      </c>
      <c r="K23" s="11">
        <v>0</v>
      </c>
      <c r="L23" s="193">
        <v>0</v>
      </c>
      <c r="M23" s="193">
        <v>26400</v>
      </c>
      <c r="N23" s="193">
        <v>9993.75</v>
      </c>
      <c r="O23" s="193">
        <v>0</v>
      </c>
      <c r="P23" s="193">
        <v>0</v>
      </c>
      <c r="Q23" s="193">
        <v>23606.25</v>
      </c>
      <c r="R23" s="193">
        <v>0</v>
      </c>
      <c r="S23" s="193">
        <v>0</v>
      </c>
      <c r="T23" s="193">
        <v>60000</v>
      </c>
    </row>
    <row r="24" spans="1:20">
      <c r="A24" s="13">
        <v>20</v>
      </c>
      <c r="B24" s="216" t="s">
        <v>218</v>
      </c>
      <c r="C24" s="217"/>
      <c r="D24" s="200">
        <v>283.5</v>
      </c>
      <c r="E24" s="200">
        <v>44</v>
      </c>
      <c r="F24" s="200">
        <v>6225.7889999999998</v>
      </c>
      <c r="G24" s="201">
        <v>0</v>
      </c>
      <c r="H24" s="201">
        <v>72.5</v>
      </c>
      <c r="I24" s="10">
        <v>0</v>
      </c>
      <c r="J24" s="10">
        <v>0</v>
      </c>
      <c r="K24" s="11">
        <v>0</v>
      </c>
      <c r="L24" s="193">
        <v>0</v>
      </c>
      <c r="M24" s="193">
        <v>42525</v>
      </c>
      <c r="N24" s="193">
        <v>6600</v>
      </c>
      <c r="O24" s="193">
        <v>0</v>
      </c>
      <c r="P24" s="193">
        <v>0</v>
      </c>
      <c r="Q24" s="193">
        <v>10875</v>
      </c>
      <c r="R24" s="193">
        <v>0</v>
      </c>
      <c r="S24" s="193">
        <v>0</v>
      </c>
      <c r="T24" s="193">
        <v>60000</v>
      </c>
    </row>
    <row r="25" spans="1:20">
      <c r="A25" s="13">
        <v>21</v>
      </c>
      <c r="B25" s="216" t="s">
        <v>219</v>
      </c>
      <c r="C25" s="217"/>
      <c r="D25" s="200">
        <v>110</v>
      </c>
      <c r="E25" s="200">
        <v>85.2</v>
      </c>
      <c r="F25" s="200">
        <v>6250.5889999999999</v>
      </c>
      <c r="G25" s="201">
        <v>0</v>
      </c>
      <c r="H25" s="201">
        <v>204.8</v>
      </c>
      <c r="I25" s="10">
        <v>0</v>
      </c>
      <c r="J25" s="10">
        <v>0</v>
      </c>
      <c r="K25" s="11">
        <v>0</v>
      </c>
      <c r="L25" s="193">
        <v>0</v>
      </c>
      <c r="M25" s="193">
        <v>16500</v>
      </c>
      <c r="N25" s="193">
        <v>12780</v>
      </c>
      <c r="O25" s="193">
        <v>0</v>
      </c>
      <c r="P25" s="193">
        <v>0</v>
      </c>
      <c r="Q25" s="193">
        <v>30720</v>
      </c>
      <c r="R25" s="193">
        <v>0</v>
      </c>
      <c r="S25" s="193">
        <v>0</v>
      </c>
      <c r="T25" s="193">
        <v>60000</v>
      </c>
    </row>
    <row r="26" spans="1:20">
      <c r="A26" s="13">
        <v>22</v>
      </c>
      <c r="B26" s="216" t="s">
        <v>220</v>
      </c>
      <c r="C26" s="217"/>
      <c r="D26" s="200">
        <v>22</v>
      </c>
      <c r="E26" s="200">
        <v>134.75</v>
      </c>
      <c r="F26" s="200">
        <v>6137.8389999999999</v>
      </c>
      <c r="G26" s="201">
        <v>0</v>
      </c>
      <c r="H26" s="201">
        <v>243.25</v>
      </c>
      <c r="I26" s="10">
        <v>0</v>
      </c>
      <c r="J26" s="10">
        <v>0</v>
      </c>
      <c r="K26" s="11">
        <v>0</v>
      </c>
      <c r="L26" s="193">
        <v>0</v>
      </c>
      <c r="M26" s="193">
        <v>3300</v>
      </c>
      <c r="N26" s="193">
        <v>20212.5</v>
      </c>
      <c r="O26" s="193">
        <v>0</v>
      </c>
      <c r="P26" s="193">
        <v>0</v>
      </c>
      <c r="Q26" s="193">
        <v>36487.5</v>
      </c>
      <c r="R26" s="193">
        <v>0</v>
      </c>
      <c r="S26" s="193">
        <v>0</v>
      </c>
      <c r="T26" s="193">
        <v>60000</v>
      </c>
    </row>
    <row r="27" spans="1:20">
      <c r="A27" s="13">
        <v>23</v>
      </c>
      <c r="B27" s="216" t="s">
        <v>221</v>
      </c>
      <c r="C27" s="217"/>
      <c r="D27" s="200">
        <v>220</v>
      </c>
      <c r="E27" s="200">
        <v>110</v>
      </c>
      <c r="F27" s="200">
        <v>6247.8389999999999</v>
      </c>
      <c r="G27" s="201">
        <v>0</v>
      </c>
      <c r="H27" s="201">
        <v>70</v>
      </c>
      <c r="I27" s="10">
        <v>0</v>
      </c>
      <c r="J27" s="10">
        <v>0</v>
      </c>
      <c r="K27" s="11">
        <v>0</v>
      </c>
      <c r="L27" s="193">
        <v>0</v>
      </c>
      <c r="M27" s="193">
        <v>33000</v>
      </c>
      <c r="N27" s="193">
        <v>16500</v>
      </c>
      <c r="O27" s="193">
        <v>0</v>
      </c>
      <c r="P27" s="193">
        <v>0</v>
      </c>
      <c r="Q27" s="193">
        <v>10500</v>
      </c>
      <c r="R27" s="193">
        <v>0</v>
      </c>
      <c r="S27" s="193">
        <v>0</v>
      </c>
      <c r="T27" s="193">
        <v>60000</v>
      </c>
    </row>
    <row r="28" spans="1:20">
      <c r="A28" s="13">
        <v>24</v>
      </c>
      <c r="B28" s="216" t="s">
        <v>222</v>
      </c>
      <c r="C28" s="217"/>
      <c r="D28" s="200">
        <v>66</v>
      </c>
      <c r="E28" s="200">
        <v>44</v>
      </c>
      <c r="F28" s="200">
        <v>6269.8389999999999</v>
      </c>
      <c r="G28" s="201">
        <v>0</v>
      </c>
      <c r="H28" s="201">
        <v>290</v>
      </c>
      <c r="I28" s="10">
        <v>0</v>
      </c>
      <c r="J28" s="10">
        <v>0</v>
      </c>
      <c r="K28" s="11">
        <v>0</v>
      </c>
      <c r="L28" s="193">
        <v>0</v>
      </c>
      <c r="M28" s="193">
        <v>9900</v>
      </c>
      <c r="N28" s="193">
        <v>6600</v>
      </c>
      <c r="O28" s="193">
        <v>0</v>
      </c>
      <c r="P28" s="193">
        <v>0</v>
      </c>
      <c r="Q28" s="193">
        <v>43500</v>
      </c>
      <c r="R28" s="193">
        <v>0</v>
      </c>
      <c r="S28" s="193">
        <v>0</v>
      </c>
      <c r="T28" s="193">
        <v>60000</v>
      </c>
    </row>
    <row r="29" spans="1:20">
      <c r="A29" s="13">
        <v>25</v>
      </c>
      <c r="B29" s="216" t="s">
        <v>223</v>
      </c>
      <c r="C29" s="217"/>
      <c r="D29" s="200">
        <v>220</v>
      </c>
      <c r="E29" s="200">
        <v>174.125</v>
      </c>
      <c r="F29" s="200">
        <v>6315.7139999999999</v>
      </c>
      <c r="G29" s="201">
        <v>0</v>
      </c>
      <c r="H29" s="201">
        <v>5.875</v>
      </c>
      <c r="I29" s="10">
        <v>0</v>
      </c>
      <c r="J29" s="10">
        <v>0</v>
      </c>
      <c r="K29" s="11">
        <v>0</v>
      </c>
      <c r="L29" s="193">
        <v>0</v>
      </c>
      <c r="M29" s="193">
        <v>33000</v>
      </c>
      <c r="N29" s="193">
        <v>26118.75</v>
      </c>
      <c r="O29" s="193">
        <v>0</v>
      </c>
      <c r="P29" s="193">
        <v>0</v>
      </c>
      <c r="Q29" s="193">
        <v>881.25</v>
      </c>
      <c r="R29" s="193">
        <v>0</v>
      </c>
      <c r="S29" s="193">
        <v>0</v>
      </c>
      <c r="T29" s="193">
        <v>60000</v>
      </c>
    </row>
    <row r="30" spans="1:20">
      <c r="A30" s="13">
        <v>26</v>
      </c>
      <c r="B30" s="216" t="s">
        <v>224</v>
      </c>
      <c r="C30" s="217"/>
      <c r="D30" s="200">
        <v>132</v>
      </c>
      <c r="E30" s="200">
        <v>447.375</v>
      </c>
      <c r="F30" s="200">
        <v>6000.3389999999999</v>
      </c>
      <c r="G30" s="201">
        <v>0</v>
      </c>
      <c r="H30" s="201">
        <v>0</v>
      </c>
      <c r="I30" s="10">
        <v>0</v>
      </c>
      <c r="J30" s="10">
        <v>0</v>
      </c>
      <c r="K30" s="11">
        <v>0</v>
      </c>
      <c r="L30" s="193">
        <v>0</v>
      </c>
      <c r="M30" s="193">
        <v>19800</v>
      </c>
      <c r="N30" s="193">
        <v>67106.25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86906.25</v>
      </c>
    </row>
    <row r="31" spans="1:20">
      <c r="A31" s="13">
        <v>27</v>
      </c>
      <c r="B31" s="216" t="s">
        <v>225</v>
      </c>
      <c r="C31" s="217"/>
      <c r="D31" s="200">
        <v>22</v>
      </c>
      <c r="E31" s="200">
        <v>152.69999999999999</v>
      </c>
      <c r="F31" s="200">
        <v>5869.6390000000001</v>
      </c>
      <c r="G31" s="201">
        <v>0</v>
      </c>
      <c r="H31" s="201">
        <v>225.3</v>
      </c>
      <c r="I31" s="10">
        <v>0</v>
      </c>
      <c r="J31" s="10">
        <v>0</v>
      </c>
      <c r="K31" s="11">
        <v>0</v>
      </c>
      <c r="L31" s="193">
        <v>0</v>
      </c>
      <c r="M31" s="193">
        <v>3300</v>
      </c>
      <c r="N31" s="193">
        <v>22905</v>
      </c>
      <c r="O31" s="193">
        <v>0</v>
      </c>
      <c r="P31" s="193">
        <v>0</v>
      </c>
      <c r="Q31" s="193">
        <v>33795</v>
      </c>
      <c r="R31" s="193">
        <v>0</v>
      </c>
      <c r="S31" s="193">
        <v>0</v>
      </c>
      <c r="T31" s="193">
        <v>60000</v>
      </c>
    </row>
    <row r="32" spans="1:20">
      <c r="A32" s="13">
        <v>28</v>
      </c>
      <c r="B32" s="216" t="s">
        <v>226</v>
      </c>
      <c r="C32" s="217"/>
      <c r="D32" s="200">
        <v>22.5</v>
      </c>
      <c r="E32" s="200">
        <v>90.9</v>
      </c>
      <c r="F32" s="200">
        <v>5801.2389999999996</v>
      </c>
      <c r="G32" s="201">
        <v>0</v>
      </c>
      <c r="H32" s="201">
        <v>286.60000000000002</v>
      </c>
      <c r="I32" s="10">
        <v>0</v>
      </c>
      <c r="J32" s="10">
        <v>0</v>
      </c>
      <c r="K32" s="11">
        <v>0</v>
      </c>
      <c r="L32" s="193">
        <v>0</v>
      </c>
      <c r="M32" s="193">
        <v>3375</v>
      </c>
      <c r="N32" s="193">
        <v>13635</v>
      </c>
      <c r="O32" s="193">
        <v>0</v>
      </c>
      <c r="P32" s="193">
        <v>0</v>
      </c>
      <c r="Q32" s="193">
        <v>42990</v>
      </c>
      <c r="R32" s="193">
        <v>0</v>
      </c>
      <c r="S32" s="193">
        <v>0</v>
      </c>
      <c r="T32" s="193">
        <v>60000</v>
      </c>
    </row>
    <row r="33" spans="1:20">
      <c r="A33" s="13">
        <v>29</v>
      </c>
      <c r="B33" s="216" t="s">
        <v>227</v>
      </c>
      <c r="C33" s="217"/>
      <c r="D33" s="200">
        <v>88</v>
      </c>
      <c r="E33" s="200">
        <v>89.5</v>
      </c>
      <c r="F33" s="200">
        <v>5799.7389999999996</v>
      </c>
      <c r="G33" s="201">
        <v>0</v>
      </c>
      <c r="H33" s="201">
        <v>222.5</v>
      </c>
      <c r="I33" s="10">
        <v>0</v>
      </c>
      <c r="J33" s="10">
        <v>0</v>
      </c>
      <c r="K33" s="11">
        <v>0</v>
      </c>
      <c r="L33" s="193">
        <v>0</v>
      </c>
      <c r="M33" s="193">
        <v>13200</v>
      </c>
      <c r="N33" s="193">
        <v>13425</v>
      </c>
      <c r="O33" s="193">
        <v>0</v>
      </c>
      <c r="P33" s="193">
        <v>0</v>
      </c>
      <c r="Q33" s="193">
        <v>33375</v>
      </c>
      <c r="R33" s="193">
        <v>0</v>
      </c>
      <c r="S33" s="193">
        <v>0</v>
      </c>
      <c r="T33" s="193">
        <v>60000</v>
      </c>
    </row>
    <row r="34" spans="1:20">
      <c r="A34" s="13">
        <v>30</v>
      </c>
      <c r="B34" s="216" t="s">
        <v>228</v>
      </c>
      <c r="C34" s="217"/>
      <c r="D34" s="200">
        <v>22</v>
      </c>
      <c r="E34" s="200">
        <v>25.25</v>
      </c>
      <c r="F34" s="200">
        <v>5796.4889999999996</v>
      </c>
      <c r="G34" s="201">
        <v>0</v>
      </c>
      <c r="H34" s="201">
        <v>352.75</v>
      </c>
      <c r="I34" s="10">
        <v>0</v>
      </c>
      <c r="J34" s="10">
        <v>0</v>
      </c>
      <c r="K34" s="11">
        <v>0</v>
      </c>
      <c r="L34" s="193">
        <v>0</v>
      </c>
      <c r="M34" s="193">
        <v>3300</v>
      </c>
      <c r="N34" s="193">
        <v>3787.5</v>
      </c>
      <c r="O34" s="193">
        <v>0</v>
      </c>
      <c r="P34" s="193">
        <v>0</v>
      </c>
      <c r="Q34" s="193">
        <v>52912.5</v>
      </c>
      <c r="R34" s="193">
        <v>0</v>
      </c>
      <c r="S34" s="193">
        <v>0</v>
      </c>
      <c r="T34" s="193">
        <v>60000</v>
      </c>
    </row>
    <row r="35" spans="1:20">
      <c r="A35" s="13">
        <v>31</v>
      </c>
      <c r="B35" s="216" t="s">
        <v>229</v>
      </c>
      <c r="C35" s="217"/>
      <c r="D35" s="200">
        <v>67.5</v>
      </c>
      <c r="E35" s="200">
        <v>154.5</v>
      </c>
      <c r="F35" s="200">
        <v>5709.4889999999996</v>
      </c>
      <c r="G35" s="201">
        <v>0</v>
      </c>
      <c r="H35" s="201">
        <v>178</v>
      </c>
      <c r="I35" s="10">
        <v>0</v>
      </c>
      <c r="J35" s="10">
        <v>0</v>
      </c>
      <c r="K35" s="11">
        <v>0</v>
      </c>
      <c r="L35" s="193">
        <v>0</v>
      </c>
      <c r="M35" s="193">
        <v>10125</v>
      </c>
      <c r="N35" s="193">
        <v>23175</v>
      </c>
      <c r="O35" s="193">
        <v>0</v>
      </c>
      <c r="P35" s="193">
        <v>0</v>
      </c>
      <c r="Q35" s="193">
        <v>26700</v>
      </c>
      <c r="R35" s="193">
        <v>0</v>
      </c>
      <c r="S35" s="193">
        <v>0</v>
      </c>
      <c r="T35" s="193">
        <v>60000</v>
      </c>
    </row>
    <row r="36" spans="1:20">
      <c r="D36" s="18">
        <v>5119.5249999999996</v>
      </c>
      <c r="E36" s="18">
        <v>1980.5500000000002</v>
      </c>
      <c r="F36" s="18">
        <v>154669.93400000004</v>
      </c>
      <c r="G36" s="18">
        <v>0</v>
      </c>
      <c r="H36" s="18">
        <v>6046.3</v>
      </c>
      <c r="I36" s="18">
        <v>0</v>
      </c>
      <c r="J36" s="18">
        <v>0</v>
      </c>
      <c r="K36" s="18">
        <v>0</v>
      </c>
      <c r="L36" s="194">
        <v>0</v>
      </c>
      <c r="M36" s="194">
        <v>767928.75</v>
      </c>
      <c r="N36" s="194">
        <v>297082.5</v>
      </c>
      <c r="O36" s="194">
        <v>6773646.96</v>
      </c>
      <c r="P36" s="194">
        <v>0</v>
      </c>
      <c r="Q36" s="194">
        <v>906945</v>
      </c>
      <c r="R36" s="194">
        <v>0</v>
      </c>
      <c r="S36" s="194">
        <v>0</v>
      </c>
      <c r="T36" s="194">
        <v>8745603.2100000009</v>
      </c>
    </row>
    <row r="37" spans="1:20">
      <c r="R37" s="21"/>
      <c r="S37" s="21"/>
      <c r="T37" s="195">
        <v>10669635.92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B258-9687-4A8F-81CE-901DB3C988F9}">
  <sheetPr codeName="Лист44">
    <pageSetUpPr fitToPage="1"/>
  </sheetPr>
  <dimension ref="A1:T37"/>
  <sheetViews>
    <sheetView topLeftCell="A22" workbookViewId="0">
      <selection activeCell="T37" sqref="T37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304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300</v>
      </c>
      <c r="H3" s="209" t="s">
        <v>301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302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 ht="27" customHeight="1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16.45</v>
      </c>
      <c r="G5" s="201">
        <v>0</v>
      </c>
      <c r="H5" s="201">
        <v>0</v>
      </c>
      <c r="I5" s="10">
        <v>0</v>
      </c>
      <c r="J5" s="10">
        <v>0</v>
      </c>
      <c r="K5" s="11">
        <v>0</v>
      </c>
      <c r="L5" s="193">
        <v>0</v>
      </c>
      <c r="M5" s="193">
        <v>0</v>
      </c>
      <c r="N5" s="193">
        <v>0</v>
      </c>
      <c r="O5" s="193">
        <v>0</v>
      </c>
      <c r="P5" s="193">
        <v>0</v>
      </c>
      <c r="Q5" s="193">
        <v>0</v>
      </c>
      <c r="R5" s="193">
        <v>0</v>
      </c>
      <c r="S5" s="193">
        <v>0</v>
      </c>
      <c r="T5" s="193">
        <v>0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16.45</v>
      </c>
      <c r="G6" s="201">
        <v>0</v>
      </c>
      <c r="H6" s="201">
        <v>0</v>
      </c>
      <c r="I6" s="10">
        <v>0</v>
      </c>
      <c r="J6" s="10">
        <v>0</v>
      </c>
      <c r="K6" s="11">
        <v>0</v>
      </c>
      <c r="L6" s="193">
        <v>0</v>
      </c>
      <c r="M6" s="193">
        <v>0</v>
      </c>
      <c r="N6" s="193">
        <v>0</v>
      </c>
      <c r="O6" s="193">
        <v>0</v>
      </c>
      <c r="P6" s="193">
        <v>0</v>
      </c>
      <c r="Q6" s="193">
        <v>0</v>
      </c>
      <c r="R6" s="193">
        <v>0</v>
      </c>
      <c r="S6" s="193">
        <v>0</v>
      </c>
      <c r="T6" s="193">
        <v>0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16.45</v>
      </c>
      <c r="G7" s="201">
        <v>0</v>
      </c>
      <c r="H7" s="201">
        <v>0</v>
      </c>
      <c r="I7" s="10">
        <v>0</v>
      </c>
      <c r="J7" s="10">
        <v>0</v>
      </c>
      <c r="K7" s="11">
        <v>0</v>
      </c>
      <c r="L7" s="193">
        <v>0</v>
      </c>
      <c r="M7" s="193">
        <v>0</v>
      </c>
      <c r="N7" s="193">
        <v>0</v>
      </c>
      <c r="O7" s="193">
        <v>0</v>
      </c>
      <c r="P7" s="193">
        <v>0</v>
      </c>
      <c r="Q7" s="193">
        <v>0</v>
      </c>
      <c r="R7" s="193">
        <v>0</v>
      </c>
      <c r="S7" s="193">
        <v>0</v>
      </c>
      <c r="T7" s="193">
        <v>0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16.45</v>
      </c>
      <c r="G8" s="201">
        <v>0</v>
      </c>
      <c r="H8" s="201">
        <v>0</v>
      </c>
      <c r="I8" s="10">
        <v>0</v>
      </c>
      <c r="J8" s="10">
        <v>0</v>
      </c>
      <c r="K8" s="11">
        <v>0</v>
      </c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16.45</v>
      </c>
      <c r="G9" s="201">
        <v>0</v>
      </c>
      <c r="H9" s="201">
        <v>0</v>
      </c>
      <c r="I9" s="10">
        <v>0</v>
      </c>
      <c r="J9" s="10">
        <v>0</v>
      </c>
      <c r="K9" s="11">
        <v>0</v>
      </c>
      <c r="L9" s="193">
        <v>0</v>
      </c>
      <c r="M9" s="193">
        <v>0</v>
      </c>
      <c r="N9" s="193">
        <v>0</v>
      </c>
      <c r="O9" s="193">
        <v>0</v>
      </c>
      <c r="P9" s="193">
        <v>0</v>
      </c>
      <c r="Q9" s="193">
        <v>0</v>
      </c>
      <c r="R9" s="193">
        <v>0</v>
      </c>
      <c r="S9" s="193">
        <v>0</v>
      </c>
      <c r="T9" s="193">
        <v>0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16.45</v>
      </c>
      <c r="G10" s="201">
        <v>0</v>
      </c>
      <c r="H10" s="201">
        <v>0</v>
      </c>
      <c r="I10" s="10">
        <v>0</v>
      </c>
      <c r="J10" s="10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0</v>
      </c>
      <c r="P10" s="193">
        <v>0</v>
      </c>
      <c r="Q10" s="193">
        <v>0</v>
      </c>
      <c r="R10" s="193">
        <v>0</v>
      </c>
      <c r="S10" s="193">
        <v>0</v>
      </c>
      <c r="T10" s="193">
        <v>0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16.45</v>
      </c>
      <c r="G11" s="201">
        <v>0</v>
      </c>
      <c r="H11" s="201">
        <v>0</v>
      </c>
      <c r="I11" s="10">
        <v>0</v>
      </c>
      <c r="J11" s="10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16.45</v>
      </c>
      <c r="G12" s="201">
        <v>0</v>
      </c>
      <c r="H12" s="201">
        <v>0</v>
      </c>
      <c r="I12" s="10">
        <v>0</v>
      </c>
      <c r="J12" s="10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16.45</v>
      </c>
      <c r="G13" s="201">
        <v>0</v>
      </c>
      <c r="H13" s="201">
        <v>0</v>
      </c>
      <c r="I13" s="10">
        <v>0</v>
      </c>
      <c r="J13" s="10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16.45</v>
      </c>
      <c r="G14" s="201">
        <v>0</v>
      </c>
      <c r="H14" s="201">
        <v>0</v>
      </c>
      <c r="I14" s="10">
        <v>0</v>
      </c>
      <c r="J14" s="10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16.45</v>
      </c>
      <c r="G15" s="201">
        <v>0</v>
      </c>
      <c r="H15" s="201">
        <v>0</v>
      </c>
      <c r="I15" s="10">
        <v>0</v>
      </c>
      <c r="J15" s="10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16.45</v>
      </c>
      <c r="G16" s="201">
        <v>0</v>
      </c>
      <c r="H16" s="201">
        <v>0</v>
      </c>
      <c r="I16" s="10">
        <v>0</v>
      </c>
      <c r="J16" s="10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16.45</v>
      </c>
      <c r="G17" s="201">
        <v>0</v>
      </c>
      <c r="H17" s="201">
        <v>0</v>
      </c>
      <c r="I17" s="10">
        <v>0</v>
      </c>
      <c r="J17" s="10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16.45</v>
      </c>
      <c r="G18" s="201">
        <v>0</v>
      </c>
      <c r="H18" s="201">
        <v>0</v>
      </c>
      <c r="I18" s="10">
        <v>0</v>
      </c>
      <c r="J18" s="10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16.45</v>
      </c>
      <c r="G19" s="201">
        <v>0</v>
      </c>
      <c r="H19" s="201">
        <v>0</v>
      </c>
      <c r="I19" s="10">
        <v>0</v>
      </c>
      <c r="J19" s="10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16.45</v>
      </c>
      <c r="G20" s="201">
        <v>0</v>
      </c>
      <c r="H20" s="201">
        <v>0</v>
      </c>
      <c r="I20" s="10">
        <v>0</v>
      </c>
      <c r="J20" s="10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16.45</v>
      </c>
      <c r="G21" s="201">
        <v>0</v>
      </c>
      <c r="H21" s="201">
        <v>0</v>
      </c>
      <c r="I21" s="10">
        <v>0</v>
      </c>
      <c r="J21" s="10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16.45</v>
      </c>
      <c r="G22" s="201">
        <v>0</v>
      </c>
      <c r="H22" s="201">
        <v>0</v>
      </c>
      <c r="I22" s="10">
        <v>0</v>
      </c>
      <c r="J22" s="10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16.45</v>
      </c>
      <c r="G23" s="201">
        <v>0</v>
      </c>
      <c r="H23" s="201">
        <v>0</v>
      </c>
      <c r="I23" s="10">
        <v>0</v>
      </c>
      <c r="J23" s="10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</v>
      </c>
      <c r="F24" s="200">
        <v>16.45</v>
      </c>
      <c r="G24" s="201">
        <v>0</v>
      </c>
      <c r="H24" s="201">
        <v>0</v>
      </c>
      <c r="I24" s="10">
        <v>0</v>
      </c>
      <c r="J24" s="10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16.45</v>
      </c>
      <c r="G25" s="201">
        <v>0</v>
      </c>
      <c r="H25" s="201">
        <v>0</v>
      </c>
      <c r="I25" s="10">
        <v>0</v>
      </c>
      <c r="J25" s="10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1.35</v>
      </c>
      <c r="F26" s="200">
        <v>15.1</v>
      </c>
      <c r="G26" s="201">
        <v>0</v>
      </c>
      <c r="H26" s="201">
        <v>0</v>
      </c>
      <c r="I26" s="10">
        <v>0</v>
      </c>
      <c r="J26" s="10">
        <v>0</v>
      </c>
      <c r="K26" s="11">
        <v>0</v>
      </c>
      <c r="L26" s="193">
        <v>0</v>
      </c>
      <c r="M26" s="193">
        <v>0</v>
      </c>
      <c r="N26" s="193">
        <v>202.5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202.5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15.1</v>
      </c>
      <c r="G27" s="201">
        <v>0</v>
      </c>
      <c r="H27" s="201">
        <v>0</v>
      </c>
      <c r="I27" s="10">
        <v>0</v>
      </c>
      <c r="J27" s="10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15.1</v>
      </c>
      <c r="G28" s="201">
        <v>0</v>
      </c>
      <c r="H28" s="201">
        <v>0</v>
      </c>
      <c r="I28" s="10">
        <v>0</v>
      </c>
      <c r="J28" s="10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15.1</v>
      </c>
      <c r="G29" s="201">
        <v>0</v>
      </c>
      <c r="H29" s="201">
        <v>0</v>
      </c>
      <c r="I29" s="10">
        <v>0</v>
      </c>
      <c r="J29" s="10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15.1</v>
      </c>
      <c r="G30" s="201">
        <v>0</v>
      </c>
      <c r="H30" s="201">
        <v>0</v>
      </c>
      <c r="I30" s="10">
        <v>0</v>
      </c>
      <c r="J30" s="10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15.1</v>
      </c>
      <c r="G31" s="201">
        <v>0</v>
      </c>
      <c r="H31" s="201">
        <v>0</v>
      </c>
      <c r="I31" s="10">
        <v>0</v>
      </c>
      <c r="J31" s="10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15.1</v>
      </c>
      <c r="G32" s="201">
        <v>0</v>
      </c>
      <c r="H32" s="201">
        <v>0</v>
      </c>
      <c r="I32" s="10">
        <v>0</v>
      </c>
      <c r="J32" s="10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15.1</v>
      </c>
      <c r="G33" s="201">
        <v>0</v>
      </c>
      <c r="H33" s="201">
        <v>0</v>
      </c>
      <c r="I33" s="10">
        <v>0</v>
      </c>
      <c r="J33" s="10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15.1</v>
      </c>
      <c r="G34" s="201">
        <v>0</v>
      </c>
      <c r="H34" s="201">
        <v>0</v>
      </c>
      <c r="I34" s="10">
        <v>0</v>
      </c>
      <c r="J34" s="10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15.1</v>
      </c>
      <c r="G35" s="201">
        <v>0</v>
      </c>
      <c r="H35" s="201">
        <v>0</v>
      </c>
      <c r="I35" s="10">
        <v>0</v>
      </c>
      <c r="J35" s="10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</row>
    <row r="36" spans="1:20">
      <c r="D36" s="18">
        <v>0</v>
      </c>
      <c r="E36" s="18">
        <v>1.35</v>
      </c>
      <c r="F36" s="18">
        <v>496.4500000000001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4">
        <v>0</v>
      </c>
      <c r="M36" s="194">
        <v>0</v>
      </c>
      <c r="N36" s="194">
        <v>202.5</v>
      </c>
      <c r="O36" s="194">
        <v>21741.63</v>
      </c>
      <c r="P36" s="194">
        <v>0</v>
      </c>
      <c r="Q36" s="194">
        <v>0</v>
      </c>
      <c r="R36" s="194">
        <v>0</v>
      </c>
      <c r="S36" s="194">
        <v>0</v>
      </c>
      <c r="T36" s="194">
        <v>21944.13</v>
      </c>
    </row>
    <row r="37" spans="1:20">
      <c r="R37" s="21"/>
      <c r="S37" s="21"/>
      <c r="T37" s="195">
        <v>26771.84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45E3-93AF-4886-9045-171219EBE3D3}">
  <sheetPr codeName="Лист45">
    <pageSetUpPr fitToPage="1"/>
  </sheetPr>
  <dimension ref="A1:T37"/>
  <sheetViews>
    <sheetView workbookViewId="0">
      <selection activeCell="H5" sqref="H5:H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305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306</v>
      </c>
      <c r="H3" s="209" t="s">
        <v>234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21.91</v>
      </c>
      <c r="G5" s="201">
        <v>0</v>
      </c>
      <c r="H5" s="201">
        <v>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468.87</v>
      </c>
      <c r="P5" s="193">
        <v>0</v>
      </c>
      <c r="Q5" s="193">
        <v>0</v>
      </c>
      <c r="R5" s="193">
        <v>0</v>
      </c>
      <c r="S5" s="193">
        <v>0</v>
      </c>
      <c r="T5" s="193">
        <v>468.87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21.91</v>
      </c>
      <c r="G6" s="201">
        <v>0</v>
      </c>
      <c r="H6" s="201">
        <v>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468.87</v>
      </c>
      <c r="P6" s="193">
        <v>0</v>
      </c>
      <c r="Q6" s="193">
        <v>0</v>
      </c>
      <c r="R6" s="193">
        <v>0</v>
      </c>
      <c r="S6" s="193">
        <v>0</v>
      </c>
      <c r="T6" s="193">
        <v>468.87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21.91</v>
      </c>
      <c r="G7" s="201">
        <v>0</v>
      </c>
      <c r="H7" s="201">
        <v>0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468.87</v>
      </c>
      <c r="P7" s="193">
        <v>0</v>
      </c>
      <c r="Q7" s="193">
        <v>0</v>
      </c>
      <c r="R7" s="193">
        <v>0</v>
      </c>
      <c r="S7" s="193">
        <v>0</v>
      </c>
      <c r="T7" s="193">
        <v>468.87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21.91</v>
      </c>
      <c r="G8" s="201">
        <v>0</v>
      </c>
      <c r="H8" s="201">
        <v>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468.87</v>
      </c>
      <c r="P8" s="193">
        <v>0</v>
      </c>
      <c r="Q8" s="193">
        <v>0</v>
      </c>
      <c r="R8" s="193">
        <v>0</v>
      </c>
      <c r="S8" s="193">
        <v>0</v>
      </c>
      <c r="T8" s="193">
        <v>468.87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21.91</v>
      </c>
      <c r="G9" s="201">
        <v>0</v>
      </c>
      <c r="H9" s="201">
        <v>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468.87</v>
      </c>
      <c r="P9" s="193">
        <v>0</v>
      </c>
      <c r="Q9" s="193">
        <v>0</v>
      </c>
      <c r="R9" s="193">
        <v>0</v>
      </c>
      <c r="S9" s="193">
        <v>0</v>
      </c>
      <c r="T9" s="193">
        <v>468.87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21.91</v>
      </c>
      <c r="G10" s="201">
        <v>0</v>
      </c>
      <c r="H10" s="201">
        <v>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468.87</v>
      </c>
      <c r="P10" s="193">
        <v>0</v>
      </c>
      <c r="Q10" s="193">
        <v>0</v>
      </c>
      <c r="R10" s="193">
        <v>0</v>
      </c>
      <c r="S10" s="193">
        <v>0</v>
      </c>
      <c r="T10" s="193">
        <v>468.87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21.91</v>
      </c>
      <c r="G11" s="201">
        <v>0</v>
      </c>
      <c r="H11" s="201">
        <v>0</v>
      </c>
      <c r="I11" s="10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468.87</v>
      </c>
      <c r="P11" s="193">
        <v>0</v>
      </c>
      <c r="Q11" s="193">
        <v>0</v>
      </c>
      <c r="R11" s="193">
        <v>0</v>
      </c>
      <c r="S11" s="193">
        <v>0</v>
      </c>
      <c r="T11" s="193">
        <v>468.87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21.91</v>
      </c>
      <c r="G12" s="201">
        <v>0</v>
      </c>
      <c r="H12" s="201">
        <v>0</v>
      </c>
      <c r="I12" s="10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468.87</v>
      </c>
      <c r="P12" s="193">
        <v>0</v>
      </c>
      <c r="Q12" s="193">
        <v>0</v>
      </c>
      <c r="R12" s="193">
        <v>0</v>
      </c>
      <c r="S12" s="193">
        <v>0</v>
      </c>
      <c r="T12" s="193">
        <v>468.87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21.91</v>
      </c>
      <c r="G13" s="201">
        <v>0</v>
      </c>
      <c r="H13" s="201">
        <v>0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468.87</v>
      </c>
      <c r="P13" s="193">
        <v>0</v>
      </c>
      <c r="Q13" s="193">
        <v>0</v>
      </c>
      <c r="R13" s="193">
        <v>0</v>
      </c>
      <c r="S13" s="193">
        <v>0</v>
      </c>
      <c r="T13" s="193">
        <v>468.87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21.91</v>
      </c>
      <c r="G14" s="201">
        <v>0</v>
      </c>
      <c r="H14" s="201">
        <v>0</v>
      </c>
      <c r="I14" s="10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468.87</v>
      </c>
      <c r="P14" s="193">
        <v>0</v>
      </c>
      <c r="Q14" s="193">
        <v>0</v>
      </c>
      <c r="R14" s="193">
        <v>0</v>
      </c>
      <c r="S14" s="193">
        <v>0</v>
      </c>
      <c r="T14" s="193">
        <v>468.87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21.91</v>
      </c>
      <c r="G15" s="201">
        <v>0</v>
      </c>
      <c r="H15" s="201">
        <v>0</v>
      </c>
      <c r="I15" s="10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468.87</v>
      </c>
      <c r="P15" s="193">
        <v>0</v>
      </c>
      <c r="Q15" s="193">
        <v>0</v>
      </c>
      <c r="R15" s="193">
        <v>0</v>
      </c>
      <c r="S15" s="193">
        <v>0</v>
      </c>
      <c r="T15" s="193">
        <v>468.87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21.91</v>
      </c>
      <c r="G16" s="201">
        <v>0</v>
      </c>
      <c r="H16" s="201">
        <v>0</v>
      </c>
      <c r="I16" s="10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468.87</v>
      </c>
      <c r="P16" s="193">
        <v>0</v>
      </c>
      <c r="Q16" s="193">
        <v>0</v>
      </c>
      <c r="R16" s="193">
        <v>0</v>
      </c>
      <c r="S16" s="193">
        <v>0</v>
      </c>
      <c r="T16" s="193">
        <v>468.87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21.91</v>
      </c>
      <c r="G17" s="201">
        <v>0</v>
      </c>
      <c r="H17" s="201">
        <v>0</v>
      </c>
      <c r="I17" s="10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468.87</v>
      </c>
      <c r="P17" s="193">
        <v>0</v>
      </c>
      <c r="Q17" s="193">
        <v>0</v>
      </c>
      <c r="R17" s="193">
        <v>0</v>
      </c>
      <c r="S17" s="193">
        <v>0</v>
      </c>
      <c r="T17" s="193">
        <v>468.87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21.91</v>
      </c>
      <c r="G18" s="201">
        <v>0</v>
      </c>
      <c r="H18" s="201">
        <v>0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468.87</v>
      </c>
      <c r="P18" s="193">
        <v>0</v>
      </c>
      <c r="Q18" s="193">
        <v>0</v>
      </c>
      <c r="R18" s="193">
        <v>0</v>
      </c>
      <c r="S18" s="193">
        <v>0</v>
      </c>
      <c r="T18" s="193">
        <v>468.87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21.91</v>
      </c>
      <c r="G19" s="201">
        <v>0</v>
      </c>
      <c r="H19" s="201">
        <v>0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468.87</v>
      </c>
      <c r="P19" s="193">
        <v>0</v>
      </c>
      <c r="Q19" s="193">
        <v>0</v>
      </c>
      <c r="R19" s="193">
        <v>0</v>
      </c>
      <c r="S19" s="193">
        <v>0</v>
      </c>
      <c r="T19" s="193">
        <v>468.87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21.91</v>
      </c>
      <c r="G20" s="201">
        <v>0</v>
      </c>
      <c r="H20" s="201">
        <v>0</v>
      </c>
      <c r="I20" s="10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468.87</v>
      </c>
      <c r="P20" s="193">
        <v>0</v>
      </c>
      <c r="Q20" s="193">
        <v>0</v>
      </c>
      <c r="R20" s="193">
        <v>0</v>
      </c>
      <c r="S20" s="193">
        <v>0</v>
      </c>
      <c r="T20" s="193">
        <v>468.87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21.91</v>
      </c>
      <c r="G21" s="201">
        <v>0</v>
      </c>
      <c r="H21" s="201">
        <v>0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468.87</v>
      </c>
      <c r="P21" s="193">
        <v>0</v>
      </c>
      <c r="Q21" s="193">
        <v>0</v>
      </c>
      <c r="R21" s="193">
        <v>0</v>
      </c>
      <c r="S21" s="193">
        <v>0</v>
      </c>
      <c r="T21" s="193">
        <v>468.87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21.91</v>
      </c>
      <c r="G22" s="201">
        <v>0</v>
      </c>
      <c r="H22" s="201">
        <v>0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468.87</v>
      </c>
      <c r="P22" s="193">
        <v>0</v>
      </c>
      <c r="Q22" s="193">
        <v>0</v>
      </c>
      <c r="R22" s="193">
        <v>0</v>
      </c>
      <c r="S22" s="193">
        <v>0</v>
      </c>
      <c r="T22" s="193">
        <v>468.87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21.91</v>
      </c>
      <c r="G23" s="201">
        <v>0</v>
      </c>
      <c r="H23" s="201">
        <v>0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468.87</v>
      </c>
      <c r="P23" s="193">
        <v>0</v>
      </c>
      <c r="Q23" s="193">
        <v>0</v>
      </c>
      <c r="R23" s="193">
        <v>0</v>
      </c>
      <c r="S23" s="193">
        <v>0</v>
      </c>
      <c r="T23" s="193">
        <v>468.87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</v>
      </c>
      <c r="F24" s="200">
        <v>21.91</v>
      </c>
      <c r="G24" s="201">
        <v>0</v>
      </c>
      <c r="H24" s="201">
        <v>0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468.87</v>
      </c>
      <c r="P24" s="193">
        <v>0</v>
      </c>
      <c r="Q24" s="193">
        <v>0</v>
      </c>
      <c r="R24" s="193">
        <v>0</v>
      </c>
      <c r="S24" s="193">
        <v>0</v>
      </c>
      <c r="T24" s="193">
        <v>468.87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21.91</v>
      </c>
      <c r="G25" s="201">
        <v>0</v>
      </c>
      <c r="H25" s="201">
        <v>0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468.87</v>
      </c>
      <c r="P25" s="193">
        <v>0</v>
      </c>
      <c r="Q25" s="193">
        <v>0</v>
      </c>
      <c r="R25" s="193">
        <v>0</v>
      </c>
      <c r="S25" s="193">
        <v>0</v>
      </c>
      <c r="T25" s="193">
        <v>468.87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0</v>
      </c>
      <c r="F26" s="200">
        <v>21.91</v>
      </c>
      <c r="G26" s="201">
        <v>0</v>
      </c>
      <c r="H26" s="201">
        <v>0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468.87</v>
      </c>
      <c r="P26" s="193">
        <v>0</v>
      </c>
      <c r="Q26" s="193">
        <v>0</v>
      </c>
      <c r="R26" s="193">
        <v>0</v>
      </c>
      <c r="S26" s="193">
        <v>0</v>
      </c>
      <c r="T26" s="193">
        <v>468.87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21.91</v>
      </c>
      <c r="G27" s="201">
        <v>0</v>
      </c>
      <c r="H27" s="201">
        <v>0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468.87</v>
      </c>
      <c r="P27" s="193">
        <v>0</v>
      </c>
      <c r="Q27" s="193">
        <v>0</v>
      </c>
      <c r="R27" s="193">
        <v>0</v>
      </c>
      <c r="S27" s="193">
        <v>0</v>
      </c>
      <c r="T27" s="193">
        <v>468.87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21.91</v>
      </c>
      <c r="G28" s="201">
        <v>0</v>
      </c>
      <c r="H28" s="201">
        <v>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468.87</v>
      </c>
      <c r="P28" s="193">
        <v>0</v>
      </c>
      <c r="Q28" s="193">
        <v>0</v>
      </c>
      <c r="R28" s="193">
        <v>0</v>
      </c>
      <c r="S28" s="193">
        <v>0</v>
      </c>
      <c r="T28" s="193">
        <v>468.87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21.91</v>
      </c>
      <c r="G29" s="201">
        <v>0</v>
      </c>
      <c r="H29" s="201">
        <v>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468.87</v>
      </c>
      <c r="P29" s="193">
        <v>0</v>
      </c>
      <c r="Q29" s="193">
        <v>0</v>
      </c>
      <c r="R29" s="193">
        <v>0</v>
      </c>
      <c r="S29" s="193">
        <v>0</v>
      </c>
      <c r="T29" s="193">
        <v>468.87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21.91</v>
      </c>
      <c r="G30" s="201">
        <v>0</v>
      </c>
      <c r="H30" s="201">
        <v>0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468.87</v>
      </c>
      <c r="P30" s="193">
        <v>0</v>
      </c>
      <c r="Q30" s="193">
        <v>0</v>
      </c>
      <c r="R30" s="193">
        <v>0</v>
      </c>
      <c r="S30" s="193">
        <v>0</v>
      </c>
      <c r="T30" s="193">
        <v>468.87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21.91</v>
      </c>
      <c r="G31" s="201">
        <v>0</v>
      </c>
      <c r="H31" s="201">
        <v>0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468.87</v>
      </c>
      <c r="P31" s="193">
        <v>0</v>
      </c>
      <c r="Q31" s="193">
        <v>0</v>
      </c>
      <c r="R31" s="193">
        <v>0</v>
      </c>
      <c r="S31" s="193">
        <v>0</v>
      </c>
      <c r="T31" s="193">
        <v>468.87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21.91</v>
      </c>
      <c r="G32" s="201">
        <v>0</v>
      </c>
      <c r="H32" s="201">
        <v>0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468.87</v>
      </c>
      <c r="P32" s="193">
        <v>0</v>
      </c>
      <c r="Q32" s="193">
        <v>0</v>
      </c>
      <c r="R32" s="193">
        <v>0</v>
      </c>
      <c r="S32" s="193">
        <v>0</v>
      </c>
      <c r="T32" s="193">
        <v>468.87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21.91</v>
      </c>
      <c r="G33" s="201">
        <v>0</v>
      </c>
      <c r="H33" s="201">
        <v>0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468.87</v>
      </c>
      <c r="P33" s="193">
        <v>0</v>
      </c>
      <c r="Q33" s="193">
        <v>0</v>
      </c>
      <c r="R33" s="193">
        <v>0</v>
      </c>
      <c r="S33" s="193">
        <v>0</v>
      </c>
      <c r="T33" s="193">
        <v>468.87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21.91</v>
      </c>
      <c r="G34" s="201">
        <v>0</v>
      </c>
      <c r="H34" s="201">
        <v>0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468.87</v>
      </c>
      <c r="P34" s="193">
        <v>0</v>
      </c>
      <c r="Q34" s="193">
        <v>0</v>
      </c>
      <c r="R34" s="193">
        <v>0</v>
      </c>
      <c r="S34" s="193">
        <v>0</v>
      </c>
      <c r="T34" s="193">
        <v>468.87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21.91</v>
      </c>
      <c r="G35" s="201">
        <v>0</v>
      </c>
      <c r="H35" s="201">
        <v>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468.87</v>
      </c>
      <c r="P35" s="193">
        <v>0</v>
      </c>
      <c r="Q35" s="193">
        <v>0</v>
      </c>
      <c r="R35" s="193">
        <v>0</v>
      </c>
      <c r="S35" s="193">
        <v>0</v>
      </c>
      <c r="T35" s="193">
        <v>468.87</v>
      </c>
    </row>
    <row r="36" spans="1:20">
      <c r="D36" s="18">
        <v>0</v>
      </c>
      <c r="E36" s="18">
        <v>0</v>
      </c>
      <c r="F36" s="18">
        <v>679.21</v>
      </c>
      <c r="G36" s="18">
        <v>0</v>
      </c>
      <c r="H36" s="18">
        <v>0</v>
      </c>
      <c r="I36" s="18">
        <v>0</v>
      </c>
      <c r="J36" s="19">
        <v>0</v>
      </c>
      <c r="K36" s="19">
        <v>0</v>
      </c>
      <c r="L36" s="194">
        <v>0</v>
      </c>
      <c r="M36" s="194">
        <v>0</v>
      </c>
      <c r="N36" s="194">
        <v>0</v>
      </c>
      <c r="O36" s="194">
        <v>14535.09</v>
      </c>
      <c r="P36" s="194">
        <v>0</v>
      </c>
      <c r="Q36" s="194">
        <v>0</v>
      </c>
      <c r="R36" s="194">
        <v>0</v>
      </c>
      <c r="S36" s="194">
        <v>0</v>
      </c>
      <c r="T36" s="194">
        <v>14535.09</v>
      </c>
    </row>
    <row r="37" spans="1:20">
      <c r="R37" s="21"/>
      <c r="S37" s="21"/>
      <c r="T37" s="195">
        <v>17732.810000000001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9144-5078-43E8-94AB-7681BD64269E}">
  <sheetPr codeName="Лист46">
    <pageSetUpPr fitToPage="1"/>
  </sheetPr>
  <dimension ref="A1:T37"/>
  <sheetViews>
    <sheetView topLeftCell="A9" workbookViewId="0">
      <selection activeCell="H5" sqref="H5:H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307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306</v>
      </c>
      <c r="H3" s="209" t="s">
        <v>234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1460.114</v>
      </c>
      <c r="G5" s="201">
        <v>2539.886</v>
      </c>
      <c r="H5" s="201">
        <v>600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31246.44</v>
      </c>
      <c r="P5" s="193">
        <v>54353.56</v>
      </c>
      <c r="Q5" s="193">
        <v>68220</v>
      </c>
      <c r="R5" s="193">
        <v>0</v>
      </c>
      <c r="S5" s="193">
        <v>0</v>
      </c>
      <c r="T5" s="193">
        <v>153820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1460.114</v>
      </c>
      <c r="G6" s="201">
        <v>2539.886</v>
      </c>
      <c r="H6" s="201">
        <v>600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31246.44</v>
      </c>
      <c r="P6" s="193">
        <v>54353.56</v>
      </c>
      <c r="Q6" s="193">
        <v>68220</v>
      </c>
      <c r="R6" s="193">
        <v>0</v>
      </c>
      <c r="S6" s="193">
        <v>0</v>
      </c>
      <c r="T6" s="193">
        <v>153820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1460.114</v>
      </c>
      <c r="G7" s="201">
        <v>2539.886</v>
      </c>
      <c r="H7" s="201">
        <v>600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31246.44</v>
      </c>
      <c r="P7" s="193">
        <v>54353.56</v>
      </c>
      <c r="Q7" s="193">
        <v>68220</v>
      </c>
      <c r="R7" s="193">
        <v>0</v>
      </c>
      <c r="S7" s="193">
        <v>0</v>
      </c>
      <c r="T7" s="193">
        <v>153820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1460.114</v>
      </c>
      <c r="G8" s="201">
        <v>2539.886</v>
      </c>
      <c r="H8" s="201">
        <v>600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31246.44</v>
      </c>
      <c r="P8" s="193">
        <v>54353.56</v>
      </c>
      <c r="Q8" s="193">
        <v>68220</v>
      </c>
      <c r="R8" s="193">
        <v>0</v>
      </c>
      <c r="S8" s="193">
        <v>0</v>
      </c>
      <c r="T8" s="193">
        <v>153820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1460.114</v>
      </c>
      <c r="G9" s="201">
        <v>2539.886</v>
      </c>
      <c r="H9" s="201">
        <v>600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31246.44</v>
      </c>
      <c r="P9" s="193">
        <v>54353.56</v>
      </c>
      <c r="Q9" s="193">
        <v>68220</v>
      </c>
      <c r="R9" s="193">
        <v>0</v>
      </c>
      <c r="S9" s="193">
        <v>0</v>
      </c>
      <c r="T9" s="193">
        <v>153820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1460.114</v>
      </c>
      <c r="G10" s="201">
        <v>2539.886</v>
      </c>
      <c r="H10" s="201">
        <v>600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31246.44</v>
      </c>
      <c r="P10" s="193">
        <v>54353.56</v>
      </c>
      <c r="Q10" s="193">
        <v>68220</v>
      </c>
      <c r="R10" s="193">
        <v>0</v>
      </c>
      <c r="S10" s="193">
        <v>0</v>
      </c>
      <c r="T10" s="193">
        <v>153820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1460.114</v>
      </c>
      <c r="G11" s="201">
        <v>2539.886</v>
      </c>
      <c r="H11" s="201">
        <v>600</v>
      </c>
      <c r="I11" s="10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31246.44</v>
      </c>
      <c r="P11" s="193">
        <v>54353.56</v>
      </c>
      <c r="Q11" s="193">
        <v>68220</v>
      </c>
      <c r="R11" s="193">
        <v>0</v>
      </c>
      <c r="S11" s="193">
        <v>0</v>
      </c>
      <c r="T11" s="193">
        <v>153820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1460.114</v>
      </c>
      <c r="G12" s="201">
        <v>2539.886</v>
      </c>
      <c r="H12" s="201">
        <v>600</v>
      </c>
      <c r="I12" s="10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31246.44</v>
      </c>
      <c r="P12" s="193">
        <v>54353.56</v>
      </c>
      <c r="Q12" s="193">
        <v>68220</v>
      </c>
      <c r="R12" s="193">
        <v>0</v>
      </c>
      <c r="S12" s="193">
        <v>0</v>
      </c>
      <c r="T12" s="193">
        <v>153820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1460.114</v>
      </c>
      <c r="G13" s="201">
        <v>2539.886</v>
      </c>
      <c r="H13" s="201">
        <v>600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31246.44</v>
      </c>
      <c r="P13" s="193">
        <v>54353.56</v>
      </c>
      <c r="Q13" s="193">
        <v>68220</v>
      </c>
      <c r="R13" s="193">
        <v>0</v>
      </c>
      <c r="S13" s="193">
        <v>0</v>
      </c>
      <c r="T13" s="193">
        <v>153820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44</v>
      </c>
      <c r="F14" s="200">
        <v>1416.114</v>
      </c>
      <c r="G14" s="201">
        <v>2583.886</v>
      </c>
      <c r="H14" s="201">
        <v>556</v>
      </c>
      <c r="I14" s="10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5002.8</v>
      </c>
      <c r="O14" s="193">
        <v>30304.84</v>
      </c>
      <c r="P14" s="193">
        <v>55295.16</v>
      </c>
      <c r="Q14" s="193">
        <v>63217.2</v>
      </c>
      <c r="R14" s="193">
        <v>0</v>
      </c>
      <c r="S14" s="193">
        <v>0</v>
      </c>
      <c r="T14" s="193">
        <v>153820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1416.114</v>
      </c>
      <c r="G15" s="201">
        <v>2583.886</v>
      </c>
      <c r="H15" s="201">
        <v>600</v>
      </c>
      <c r="I15" s="10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30304.84</v>
      </c>
      <c r="P15" s="193">
        <v>55295.16</v>
      </c>
      <c r="Q15" s="193">
        <v>68220</v>
      </c>
      <c r="R15" s="193">
        <v>0</v>
      </c>
      <c r="S15" s="193">
        <v>0</v>
      </c>
      <c r="T15" s="193">
        <v>153820</v>
      </c>
    </row>
    <row r="16" spans="1:20">
      <c r="A16" s="13">
        <v>12</v>
      </c>
      <c r="B16" s="216" t="s">
        <v>210</v>
      </c>
      <c r="C16" s="217"/>
      <c r="D16" s="200">
        <v>135</v>
      </c>
      <c r="E16" s="200">
        <v>44</v>
      </c>
      <c r="F16" s="200">
        <v>1507.114</v>
      </c>
      <c r="G16" s="201">
        <v>2492.886</v>
      </c>
      <c r="H16" s="201">
        <v>421</v>
      </c>
      <c r="I16" s="10">
        <v>0</v>
      </c>
      <c r="J16" s="11">
        <v>0</v>
      </c>
      <c r="K16" s="11">
        <v>0</v>
      </c>
      <c r="L16" s="193">
        <v>0</v>
      </c>
      <c r="M16" s="193">
        <v>15349.5</v>
      </c>
      <c r="N16" s="193">
        <v>5002.8</v>
      </c>
      <c r="O16" s="193">
        <v>32252.240000000002</v>
      </c>
      <c r="P16" s="193">
        <v>53347.76</v>
      </c>
      <c r="Q16" s="193">
        <v>47867.7</v>
      </c>
      <c r="R16" s="193">
        <v>0</v>
      </c>
      <c r="S16" s="193">
        <v>0</v>
      </c>
      <c r="T16" s="193">
        <v>153820</v>
      </c>
    </row>
    <row r="17" spans="1:20">
      <c r="A17" s="13">
        <v>13</v>
      </c>
      <c r="B17" s="216" t="s">
        <v>211</v>
      </c>
      <c r="C17" s="217"/>
      <c r="D17" s="200">
        <v>180</v>
      </c>
      <c r="E17" s="200">
        <v>22</v>
      </c>
      <c r="F17" s="200">
        <v>1665.114</v>
      </c>
      <c r="G17" s="201">
        <v>2334.886</v>
      </c>
      <c r="H17" s="201">
        <v>398</v>
      </c>
      <c r="I17" s="10">
        <v>0</v>
      </c>
      <c r="J17" s="11">
        <v>0</v>
      </c>
      <c r="K17" s="11">
        <v>0</v>
      </c>
      <c r="L17" s="193">
        <v>0</v>
      </c>
      <c r="M17" s="193">
        <v>20466</v>
      </c>
      <c r="N17" s="193">
        <v>2501.4</v>
      </c>
      <c r="O17" s="193">
        <v>35633.440000000002</v>
      </c>
      <c r="P17" s="193">
        <v>49966.559999999998</v>
      </c>
      <c r="Q17" s="193">
        <v>45252.6</v>
      </c>
      <c r="R17" s="193">
        <v>0</v>
      </c>
      <c r="S17" s="193">
        <v>0</v>
      </c>
      <c r="T17" s="193">
        <v>153820</v>
      </c>
    </row>
    <row r="18" spans="1:20">
      <c r="A18" s="13">
        <v>14</v>
      </c>
      <c r="B18" s="216" t="s">
        <v>212</v>
      </c>
      <c r="C18" s="217"/>
      <c r="D18" s="200">
        <v>270</v>
      </c>
      <c r="E18" s="200">
        <v>22</v>
      </c>
      <c r="F18" s="200">
        <v>1913.114</v>
      </c>
      <c r="G18" s="201">
        <v>2086.886</v>
      </c>
      <c r="H18" s="201">
        <v>308</v>
      </c>
      <c r="I18" s="10">
        <v>0</v>
      </c>
      <c r="J18" s="11">
        <v>0</v>
      </c>
      <c r="K18" s="11">
        <v>0</v>
      </c>
      <c r="L18" s="193">
        <v>0</v>
      </c>
      <c r="M18" s="193">
        <v>30699</v>
      </c>
      <c r="N18" s="193">
        <v>2501.4</v>
      </c>
      <c r="O18" s="193">
        <v>40940.639999999999</v>
      </c>
      <c r="P18" s="193">
        <v>44659.360000000001</v>
      </c>
      <c r="Q18" s="193">
        <v>35019.599999999999</v>
      </c>
      <c r="R18" s="193">
        <v>0</v>
      </c>
      <c r="S18" s="193">
        <v>0</v>
      </c>
      <c r="T18" s="193">
        <v>153820</v>
      </c>
    </row>
    <row r="19" spans="1:20">
      <c r="A19" s="13">
        <v>15</v>
      </c>
      <c r="B19" s="216" t="s">
        <v>213</v>
      </c>
      <c r="C19" s="217"/>
      <c r="D19" s="200">
        <v>225</v>
      </c>
      <c r="E19" s="200">
        <v>67.375</v>
      </c>
      <c r="F19" s="200">
        <v>2070.739</v>
      </c>
      <c r="G19" s="201">
        <v>1929.261</v>
      </c>
      <c r="H19" s="201">
        <v>307.625</v>
      </c>
      <c r="I19" s="10">
        <v>0</v>
      </c>
      <c r="J19" s="11">
        <v>0</v>
      </c>
      <c r="K19" s="11">
        <v>0</v>
      </c>
      <c r="L19" s="193">
        <v>0</v>
      </c>
      <c r="M19" s="193">
        <v>25582.5</v>
      </c>
      <c r="N19" s="193">
        <v>7660.54</v>
      </c>
      <c r="O19" s="193">
        <v>44313.81</v>
      </c>
      <c r="P19" s="193">
        <v>41286.19</v>
      </c>
      <c r="Q19" s="193">
        <v>34976.959999999999</v>
      </c>
      <c r="R19" s="193">
        <v>0</v>
      </c>
      <c r="S19" s="193">
        <v>0</v>
      </c>
      <c r="T19" s="193">
        <v>153820</v>
      </c>
    </row>
    <row r="20" spans="1:20">
      <c r="A20" s="13">
        <v>16</v>
      </c>
      <c r="B20" s="216" t="s">
        <v>214</v>
      </c>
      <c r="C20" s="217"/>
      <c r="D20" s="200">
        <v>202.5</v>
      </c>
      <c r="E20" s="200">
        <v>4.25</v>
      </c>
      <c r="F20" s="200">
        <v>2268.989</v>
      </c>
      <c r="G20" s="201">
        <v>1731.011</v>
      </c>
      <c r="H20" s="201">
        <v>393.25</v>
      </c>
      <c r="I20" s="10">
        <v>0</v>
      </c>
      <c r="J20" s="11">
        <v>0</v>
      </c>
      <c r="K20" s="11">
        <v>0</v>
      </c>
      <c r="L20" s="193">
        <v>0</v>
      </c>
      <c r="M20" s="193">
        <v>23024.25</v>
      </c>
      <c r="N20" s="193">
        <v>483.23</v>
      </c>
      <c r="O20" s="193">
        <v>48556.36</v>
      </c>
      <c r="P20" s="193">
        <v>37043.64</v>
      </c>
      <c r="Q20" s="193">
        <v>44712.53</v>
      </c>
      <c r="R20" s="193">
        <v>0</v>
      </c>
      <c r="S20" s="193">
        <v>0</v>
      </c>
      <c r="T20" s="193">
        <v>153820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2268.989</v>
      </c>
      <c r="G21" s="201">
        <v>1731.011</v>
      </c>
      <c r="H21" s="201">
        <v>600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48556.36</v>
      </c>
      <c r="P21" s="193">
        <v>37043.64</v>
      </c>
      <c r="Q21" s="193">
        <v>68220</v>
      </c>
      <c r="R21" s="193">
        <v>0</v>
      </c>
      <c r="S21" s="193">
        <v>0</v>
      </c>
      <c r="T21" s="193">
        <v>153820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2268.989</v>
      </c>
      <c r="G22" s="201">
        <v>1731.011</v>
      </c>
      <c r="H22" s="201">
        <v>600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48556.36</v>
      </c>
      <c r="P22" s="193">
        <v>37043.64</v>
      </c>
      <c r="Q22" s="193">
        <v>68220</v>
      </c>
      <c r="R22" s="193">
        <v>0</v>
      </c>
      <c r="S22" s="193">
        <v>0</v>
      </c>
      <c r="T22" s="193">
        <v>153820</v>
      </c>
    </row>
    <row r="23" spans="1:20">
      <c r="A23" s="13">
        <v>19</v>
      </c>
      <c r="B23" s="216" t="s">
        <v>217</v>
      </c>
      <c r="C23" s="217"/>
      <c r="D23" s="200">
        <v>67.5</v>
      </c>
      <c r="E23" s="200">
        <v>0</v>
      </c>
      <c r="F23" s="200">
        <v>2336.489</v>
      </c>
      <c r="G23" s="201">
        <v>1663.511</v>
      </c>
      <c r="H23" s="201">
        <v>532.5</v>
      </c>
      <c r="I23" s="10">
        <v>0</v>
      </c>
      <c r="J23" s="11">
        <v>0</v>
      </c>
      <c r="K23" s="11">
        <v>0</v>
      </c>
      <c r="L23" s="193">
        <v>0</v>
      </c>
      <c r="M23" s="193">
        <v>7674.75</v>
      </c>
      <c r="N23" s="193">
        <v>0</v>
      </c>
      <c r="O23" s="193">
        <v>50000.86</v>
      </c>
      <c r="P23" s="193">
        <v>35599.14</v>
      </c>
      <c r="Q23" s="193">
        <v>60545.25</v>
      </c>
      <c r="R23" s="193">
        <v>0</v>
      </c>
      <c r="S23" s="193">
        <v>0</v>
      </c>
      <c r="T23" s="193">
        <v>153820</v>
      </c>
    </row>
    <row r="24" spans="1:20">
      <c r="A24" s="13">
        <v>20</v>
      </c>
      <c r="B24" s="216" t="s">
        <v>218</v>
      </c>
      <c r="C24" s="217"/>
      <c r="D24" s="200">
        <v>111.5</v>
      </c>
      <c r="E24" s="200">
        <v>0</v>
      </c>
      <c r="F24" s="200">
        <v>2447.989</v>
      </c>
      <c r="G24" s="201">
        <v>1552.011</v>
      </c>
      <c r="H24" s="201">
        <v>488.5</v>
      </c>
      <c r="I24" s="10">
        <v>0</v>
      </c>
      <c r="J24" s="11">
        <v>0</v>
      </c>
      <c r="K24" s="11">
        <v>0</v>
      </c>
      <c r="L24" s="193">
        <v>0</v>
      </c>
      <c r="M24" s="193">
        <v>12677.55</v>
      </c>
      <c r="N24" s="193">
        <v>0</v>
      </c>
      <c r="O24" s="193">
        <v>52386.96</v>
      </c>
      <c r="P24" s="193">
        <v>33213.040000000001</v>
      </c>
      <c r="Q24" s="193">
        <v>55542.45</v>
      </c>
      <c r="R24" s="193">
        <v>0</v>
      </c>
      <c r="S24" s="193">
        <v>0</v>
      </c>
      <c r="T24" s="193">
        <v>153820</v>
      </c>
    </row>
    <row r="25" spans="1:20">
      <c r="A25" s="13">
        <v>21</v>
      </c>
      <c r="B25" s="216" t="s">
        <v>219</v>
      </c>
      <c r="C25" s="217"/>
      <c r="D25" s="200">
        <v>225</v>
      </c>
      <c r="E25" s="200">
        <v>66.5</v>
      </c>
      <c r="F25" s="200">
        <v>2606.489</v>
      </c>
      <c r="G25" s="201">
        <v>1393.511</v>
      </c>
      <c r="H25" s="201">
        <v>308.5</v>
      </c>
      <c r="I25" s="10">
        <v>0</v>
      </c>
      <c r="J25" s="11">
        <v>0</v>
      </c>
      <c r="K25" s="11">
        <v>0</v>
      </c>
      <c r="L25" s="193">
        <v>0</v>
      </c>
      <c r="M25" s="193">
        <v>25582.5</v>
      </c>
      <c r="N25" s="193">
        <v>7561.05</v>
      </c>
      <c r="O25" s="193">
        <v>55778.86</v>
      </c>
      <c r="P25" s="193">
        <v>29821.14</v>
      </c>
      <c r="Q25" s="193">
        <v>35076.449999999997</v>
      </c>
      <c r="R25" s="193">
        <v>0</v>
      </c>
      <c r="S25" s="193">
        <v>0</v>
      </c>
      <c r="T25" s="193">
        <v>153820</v>
      </c>
    </row>
    <row r="26" spans="1:20">
      <c r="A26" s="13">
        <v>22</v>
      </c>
      <c r="B26" s="216" t="s">
        <v>220</v>
      </c>
      <c r="C26" s="217"/>
      <c r="D26" s="200">
        <v>90</v>
      </c>
      <c r="E26" s="200">
        <v>0</v>
      </c>
      <c r="F26" s="200">
        <v>2696.489</v>
      </c>
      <c r="G26" s="201">
        <v>1303.511</v>
      </c>
      <c r="H26" s="201">
        <v>510</v>
      </c>
      <c r="I26" s="10">
        <v>0</v>
      </c>
      <c r="J26" s="11">
        <v>0</v>
      </c>
      <c r="K26" s="11">
        <v>0</v>
      </c>
      <c r="L26" s="193">
        <v>0</v>
      </c>
      <c r="M26" s="193">
        <v>10233</v>
      </c>
      <c r="N26" s="193">
        <v>0</v>
      </c>
      <c r="O26" s="193">
        <v>57704.86</v>
      </c>
      <c r="P26" s="193">
        <v>27895.14</v>
      </c>
      <c r="Q26" s="193">
        <v>57987</v>
      </c>
      <c r="R26" s="193">
        <v>0</v>
      </c>
      <c r="S26" s="193">
        <v>0</v>
      </c>
      <c r="T26" s="193">
        <v>153820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22</v>
      </c>
      <c r="F27" s="200">
        <v>2674.489</v>
      </c>
      <c r="G27" s="201">
        <v>1325.511</v>
      </c>
      <c r="H27" s="201">
        <v>578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2501.4</v>
      </c>
      <c r="O27" s="193">
        <v>57234.06</v>
      </c>
      <c r="P27" s="193">
        <v>28365.94</v>
      </c>
      <c r="Q27" s="193">
        <v>65718.600000000006</v>
      </c>
      <c r="R27" s="193">
        <v>0</v>
      </c>
      <c r="S27" s="193">
        <v>0</v>
      </c>
      <c r="T27" s="193">
        <v>153820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2674.489</v>
      </c>
      <c r="G28" s="201">
        <v>1325.511</v>
      </c>
      <c r="H28" s="201">
        <v>600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57234.06</v>
      </c>
      <c r="P28" s="193">
        <v>28365.94</v>
      </c>
      <c r="Q28" s="193">
        <v>68220</v>
      </c>
      <c r="R28" s="193">
        <v>0</v>
      </c>
      <c r="S28" s="193">
        <v>0</v>
      </c>
      <c r="T28" s="193">
        <v>153820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2674.489</v>
      </c>
      <c r="G29" s="201">
        <v>1325.511</v>
      </c>
      <c r="H29" s="201">
        <v>600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57234.06</v>
      </c>
      <c r="P29" s="193">
        <v>28365.94</v>
      </c>
      <c r="Q29" s="193">
        <v>68220</v>
      </c>
      <c r="R29" s="193">
        <v>0</v>
      </c>
      <c r="S29" s="193">
        <v>0</v>
      </c>
      <c r="T29" s="193">
        <v>153820</v>
      </c>
    </row>
    <row r="30" spans="1:20">
      <c r="A30" s="13">
        <v>26</v>
      </c>
      <c r="B30" s="216" t="s">
        <v>224</v>
      </c>
      <c r="C30" s="217"/>
      <c r="D30" s="200">
        <v>67.5</v>
      </c>
      <c r="E30" s="200">
        <v>136.375</v>
      </c>
      <c r="F30" s="200">
        <v>2605.614</v>
      </c>
      <c r="G30" s="201">
        <v>1394.386</v>
      </c>
      <c r="H30" s="201">
        <v>396.125</v>
      </c>
      <c r="I30" s="10">
        <v>0</v>
      </c>
      <c r="J30" s="11">
        <v>0</v>
      </c>
      <c r="K30" s="11">
        <v>0</v>
      </c>
      <c r="L30" s="193">
        <v>0</v>
      </c>
      <c r="M30" s="193">
        <v>7674.75</v>
      </c>
      <c r="N30" s="193">
        <v>15505.84</v>
      </c>
      <c r="O30" s="193">
        <v>55760.14</v>
      </c>
      <c r="P30" s="193">
        <v>29839.86</v>
      </c>
      <c r="Q30" s="193">
        <v>45039.41</v>
      </c>
      <c r="R30" s="193">
        <v>0</v>
      </c>
      <c r="S30" s="193">
        <v>0</v>
      </c>
      <c r="T30" s="193">
        <v>153820</v>
      </c>
    </row>
    <row r="31" spans="1:20">
      <c r="A31" s="13">
        <v>27</v>
      </c>
      <c r="B31" s="216" t="s">
        <v>225</v>
      </c>
      <c r="C31" s="217"/>
      <c r="D31" s="200">
        <v>45</v>
      </c>
      <c r="E31" s="200">
        <v>113.875</v>
      </c>
      <c r="F31" s="200">
        <v>2536.739</v>
      </c>
      <c r="G31" s="201">
        <v>1463.261</v>
      </c>
      <c r="H31" s="201">
        <v>441.125</v>
      </c>
      <c r="I31" s="10">
        <v>0</v>
      </c>
      <c r="J31" s="11">
        <v>0</v>
      </c>
      <c r="K31" s="11">
        <v>0</v>
      </c>
      <c r="L31" s="193">
        <v>0</v>
      </c>
      <c r="M31" s="193">
        <v>5116.5</v>
      </c>
      <c r="N31" s="193">
        <v>12947.59</v>
      </c>
      <c r="O31" s="193">
        <v>54286.21</v>
      </c>
      <c r="P31" s="193">
        <v>31313.79</v>
      </c>
      <c r="Q31" s="193">
        <v>50155.91</v>
      </c>
      <c r="R31" s="193">
        <v>0</v>
      </c>
      <c r="S31" s="193">
        <v>0</v>
      </c>
      <c r="T31" s="193">
        <v>153820</v>
      </c>
    </row>
    <row r="32" spans="1:20">
      <c r="A32" s="13">
        <v>28</v>
      </c>
      <c r="B32" s="216" t="s">
        <v>226</v>
      </c>
      <c r="C32" s="217"/>
      <c r="D32" s="200">
        <v>22.5</v>
      </c>
      <c r="E32" s="200">
        <v>65.5</v>
      </c>
      <c r="F32" s="200">
        <v>2493.739</v>
      </c>
      <c r="G32" s="201">
        <v>1506.261</v>
      </c>
      <c r="H32" s="201">
        <v>512</v>
      </c>
      <c r="I32" s="10">
        <v>0</v>
      </c>
      <c r="J32" s="11">
        <v>0</v>
      </c>
      <c r="K32" s="11">
        <v>0</v>
      </c>
      <c r="L32" s="193">
        <v>0</v>
      </c>
      <c r="M32" s="193">
        <v>2558.25</v>
      </c>
      <c r="N32" s="193">
        <v>7447.35</v>
      </c>
      <c r="O32" s="193">
        <v>53366.01</v>
      </c>
      <c r="P32" s="193">
        <v>32233.99</v>
      </c>
      <c r="Q32" s="193">
        <v>58214.400000000001</v>
      </c>
      <c r="R32" s="193">
        <v>0</v>
      </c>
      <c r="S32" s="193">
        <v>0</v>
      </c>
      <c r="T32" s="193">
        <v>153820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118.375</v>
      </c>
      <c r="F33" s="200">
        <v>2375.364</v>
      </c>
      <c r="G33" s="201">
        <v>1624.636</v>
      </c>
      <c r="H33" s="201">
        <v>481.625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13459.24</v>
      </c>
      <c r="O33" s="193">
        <v>50832.79</v>
      </c>
      <c r="P33" s="193">
        <v>34767.21</v>
      </c>
      <c r="Q33" s="193">
        <v>54760.76</v>
      </c>
      <c r="R33" s="193">
        <v>0</v>
      </c>
      <c r="S33" s="193">
        <v>0</v>
      </c>
      <c r="T33" s="193">
        <v>153820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22.5</v>
      </c>
      <c r="F34" s="200">
        <v>2352.864</v>
      </c>
      <c r="G34" s="201">
        <v>1647.136</v>
      </c>
      <c r="H34" s="201">
        <v>577.5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2558.25</v>
      </c>
      <c r="O34" s="193">
        <v>50351.29</v>
      </c>
      <c r="P34" s="193">
        <v>35248.71</v>
      </c>
      <c r="Q34" s="193">
        <v>65661.75</v>
      </c>
      <c r="R34" s="193">
        <v>0</v>
      </c>
      <c r="S34" s="193">
        <v>0</v>
      </c>
      <c r="T34" s="193">
        <v>153820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2352.864</v>
      </c>
      <c r="G35" s="201">
        <v>1647.136</v>
      </c>
      <c r="H35" s="201">
        <v>600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50351.29</v>
      </c>
      <c r="P35" s="193">
        <v>35248.71</v>
      </c>
      <c r="Q35" s="193">
        <v>68220</v>
      </c>
      <c r="R35" s="193">
        <v>0</v>
      </c>
      <c r="S35" s="193">
        <v>0</v>
      </c>
      <c r="T35" s="193">
        <v>153820</v>
      </c>
    </row>
    <row r="36" spans="1:20">
      <c r="D36" s="18">
        <v>1641.5</v>
      </c>
      <c r="E36" s="18">
        <v>748.75</v>
      </c>
      <c r="F36" s="18">
        <v>62764.409000000021</v>
      </c>
      <c r="G36" s="18">
        <v>61235.590999999971</v>
      </c>
      <c r="H36" s="18">
        <v>16209.75</v>
      </c>
      <c r="I36" s="18">
        <v>0</v>
      </c>
      <c r="J36" s="19">
        <v>0</v>
      </c>
      <c r="K36" s="19">
        <v>0</v>
      </c>
      <c r="L36" s="194">
        <v>0</v>
      </c>
      <c r="M36" s="194">
        <v>186638.55</v>
      </c>
      <c r="N36" s="194">
        <v>85132.88</v>
      </c>
      <c r="O36" s="194">
        <v>1343158.35</v>
      </c>
      <c r="P36" s="194">
        <v>1310441.6499999999</v>
      </c>
      <c r="Q36" s="194">
        <v>1843048.58</v>
      </c>
      <c r="R36" s="194">
        <v>0</v>
      </c>
      <c r="S36" s="194">
        <v>0</v>
      </c>
      <c r="T36" s="194">
        <v>4768420</v>
      </c>
    </row>
    <row r="37" spans="1:20">
      <c r="R37" s="21"/>
      <c r="S37" s="21"/>
      <c r="T37" s="195">
        <v>5817472.4000000004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7993-B13E-468D-A4DD-04555FA7B67D}">
  <sheetPr codeName="Лист47">
    <pageSetUpPr fitToPage="1"/>
  </sheetPr>
  <dimension ref="A1:T37"/>
  <sheetViews>
    <sheetView topLeftCell="A9" workbookViewId="0">
      <selection activeCell="H5" sqref="H5:H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308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306</v>
      </c>
      <c r="H3" s="209" t="s">
        <v>234</v>
      </c>
      <c r="I3" s="209" t="s">
        <v>7</v>
      </c>
      <c r="J3" s="209" t="s">
        <v>8</v>
      </c>
      <c r="K3" s="209" t="s">
        <v>197</v>
      </c>
      <c r="L3" s="209" t="s">
        <v>271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29.15</v>
      </c>
      <c r="G5" s="201">
        <v>0</v>
      </c>
      <c r="H5" s="201">
        <v>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623.80999999999995</v>
      </c>
      <c r="P5" s="193">
        <v>0</v>
      </c>
      <c r="Q5" s="193">
        <v>0</v>
      </c>
      <c r="R5" s="193">
        <v>0</v>
      </c>
      <c r="S5" s="193">
        <v>0</v>
      </c>
      <c r="T5" s="193">
        <v>623.80999999999995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29.15</v>
      </c>
      <c r="G6" s="201">
        <v>0</v>
      </c>
      <c r="H6" s="201">
        <v>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623.80999999999995</v>
      </c>
      <c r="P6" s="193">
        <v>0</v>
      </c>
      <c r="Q6" s="193">
        <v>0</v>
      </c>
      <c r="R6" s="193">
        <v>0</v>
      </c>
      <c r="S6" s="193">
        <v>0</v>
      </c>
      <c r="T6" s="193">
        <v>623.80999999999995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29.15</v>
      </c>
      <c r="G7" s="201">
        <v>0</v>
      </c>
      <c r="H7" s="201">
        <v>0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623.80999999999995</v>
      </c>
      <c r="P7" s="193">
        <v>0</v>
      </c>
      <c r="Q7" s="193">
        <v>0</v>
      </c>
      <c r="R7" s="193">
        <v>0</v>
      </c>
      <c r="S7" s="193">
        <v>0</v>
      </c>
      <c r="T7" s="193">
        <v>623.80999999999995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29.15</v>
      </c>
      <c r="G8" s="201">
        <v>0</v>
      </c>
      <c r="H8" s="201">
        <v>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623.80999999999995</v>
      </c>
      <c r="P8" s="193">
        <v>0</v>
      </c>
      <c r="Q8" s="193">
        <v>0</v>
      </c>
      <c r="R8" s="193">
        <v>0</v>
      </c>
      <c r="S8" s="193">
        <v>0</v>
      </c>
      <c r="T8" s="193">
        <v>623.80999999999995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29.15</v>
      </c>
      <c r="G9" s="201">
        <v>0</v>
      </c>
      <c r="H9" s="201">
        <v>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623.80999999999995</v>
      </c>
      <c r="P9" s="193">
        <v>0</v>
      </c>
      <c r="Q9" s="193">
        <v>0</v>
      </c>
      <c r="R9" s="193">
        <v>0</v>
      </c>
      <c r="S9" s="193">
        <v>0</v>
      </c>
      <c r="T9" s="193">
        <v>623.80999999999995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29.15</v>
      </c>
      <c r="G10" s="201">
        <v>0</v>
      </c>
      <c r="H10" s="201">
        <v>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623.80999999999995</v>
      </c>
      <c r="P10" s="193">
        <v>0</v>
      </c>
      <c r="Q10" s="193">
        <v>0</v>
      </c>
      <c r="R10" s="193">
        <v>0</v>
      </c>
      <c r="S10" s="193">
        <v>0</v>
      </c>
      <c r="T10" s="193">
        <v>623.80999999999995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29.15</v>
      </c>
      <c r="G11" s="201">
        <v>0</v>
      </c>
      <c r="H11" s="201">
        <v>0</v>
      </c>
      <c r="I11" s="10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623.80999999999995</v>
      </c>
      <c r="P11" s="193">
        <v>0</v>
      </c>
      <c r="Q11" s="193">
        <v>0</v>
      </c>
      <c r="R11" s="193">
        <v>0</v>
      </c>
      <c r="S11" s="193">
        <v>0</v>
      </c>
      <c r="T11" s="193">
        <v>623.80999999999995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29.15</v>
      </c>
      <c r="G12" s="201">
        <v>0</v>
      </c>
      <c r="H12" s="201">
        <v>0</v>
      </c>
      <c r="I12" s="10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623.80999999999995</v>
      </c>
      <c r="P12" s="193">
        <v>0</v>
      </c>
      <c r="Q12" s="193">
        <v>0</v>
      </c>
      <c r="R12" s="193">
        <v>0</v>
      </c>
      <c r="S12" s="193">
        <v>0</v>
      </c>
      <c r="T12" s="193">
        <v>623.80999999999995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29.15</v>
      </c>
      <c r="G13" s="201">
        <v>0</v>
      </c>
      <c r="H13" s="201">
        <v>0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623.80999999999995</v>
      </c>
      <c r="P13" s="193">
        <v>0</v>
      </c>
      <c r="Q13" s="193">
        <v>0</v>
      </c>
      <c r="R13" s="193">
        <v>0</v>
      </c>
      <c r="S13" s="193">
        <v>0</v>
      </c>
      <c r="T13" s="193">
        <v>623.80999999999995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29.15</v>
      </c>
      <c r="G14" s="201">
        <v>0</v>
      </c>
      <c r="H14" s="201">
        <v>0</v>
      </c>
      <c r="I14" s="10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623.80999999999995</v>
      </c>
      <c r="P14" s="193">
        <v>0</v>
      </c>
      <c r="Q14" s="193">
        <v>0</v>
      </c>
      <c r="R14" s="193">
        <v>0</v>
      </c>
      <c r="S14" s="193">
        <v>0</v>
      </c>
      <c r="T14" s="193">
        <v>623.80999999999995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29.15</v>
      </c>
      <c r="G15" s="201">
        <v>0</v>
      </c>
      <c r="H15" s="201">
        <v>0</v>
      </c>
      <c r="I15" s="10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623.80999999999995</v>
      </c>
      <c r="P15" s="193">
        <v>0</v>
      </c>
      <c r="Q15" s="193">
        <v>0</v>
      </c>
      <c r="R15" s="193">
        <v>0</v>
      </c>
      <c r="S15" s="193">
        <v>0</v>
      </c>
      <c r="T15" s="193">
        <v>623.80999999999995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29.15</v>
      </c>
      <c r="G16" s="201">
        <v>0</v>
      </c>
      <c r="H16" s="201">
        <v>0</v>
      </c>
      <c r="I16" s="10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623.80999999999995</v>
      </c>
      <c r="P16" s="193">
        <v>0</v>
      </c>
      <c r="Q16" s="193">
        <v>0</v>
      </c>
      <c r="R16" s="193">
        <v>0</v>
      </c>
      <c r="S16" s="193">
        <v>0</v>
      </c>
      <c r="T16" s="193">
        <v>623.80999999999995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29.15</v>
      </c>
      <c r="G17" s="201">
        <v>0</v>
      </c>
      <c r="H17" s="201">
        <v>0</v>
      </c>
      <c r="I17" s="10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623.80999999999995</v>
      </c>
      <c r="P17" s="193">
        <v>0</v>
      </c>
      <c r="Q17" s="193">
        <v>0</v>
      </c>
      <c r="R17" s="193">
        <v>0</v>
      </c>
      <c r="S17" s="193">
        <v>0</v>
      </c>
      <c r="T17" s="193">
        <v>623.80999999999995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29.15</v>
      </c>
      <c r="G18" s="201">
        <v>0</v>
      </c>
      <c r="H18" s="201">
        <v>0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623.80999999999995</v>
      </c>
      <c r="P18" s="193">
        <v>0</v>
      </c>
      <c r="Q18" s="193">
        <v>0</v>
      </c>
      <c r="R18" s="193">
        <v>0</v>
      </c>
      <c r="S18" s="193">
        <v>0</v>
      </c>
      <c r="T18" s="193">
        <v>623.80999999999995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29.15</v>
      </c>
      <c r="G19" s="201">
        <v>0</v>
      </c>
      <c r="H19" s="201">
        <v>0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623.80999999999995</v>
      </c>
      <c r="P19" s="193">
        <v>0</v>
      </c>
      <c r="Q19" s="193">
        <v>0</v>
      </c>
      <c r="R19" s="193">
        <v>0</v>
      </c>
      <c r="S19" s="193">
        <v>0</v>
      </c>
      <c r="T19" s="193">
        <v>623.80999999999995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29.15</v>
      </c>
      <c r="G20" s="201">
        <v>0</v>
      </c>
      <c r="H20" s="201">
        <v>0</v>
      </c>
      <c r="I20" s="10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623.80999999999995</v>
      </c>
      <c r="P20" s="193">
        <v>0</v>
      </c>
      <c r="Q20" s="193">
        <v>0</v>
      </c>
      <c r="R20" s="193">
        <v>0</v>
      </c>
      <c r="S20" s="193">
        <v>0</v>
      </c>
      <c r="T20" s="193">
        <v>623.80999999999995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29.15</v>
      </c>
      <c r="G21" s="201">
        <v>0</v>
      </c>
      <c r="H21" s="201">
        <v>0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623.80999999999995</v>
      </c>
      <c r="P21" s="193">
        <v>0</v>
      </c>
      <c r="Q21" s="193">
        <v>0</v>
      </c>
      <c r="R21" s="193">
        <v>0</v>
      </c>
      <c r="S21" s="193">
        <v>0</v>
      </c>
      <c r="T21" s="193">
        <v>623.80999999999995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29.15</v>
      </c>
      <c r="G22" s="201">
        <v>0</v>
      </c>
      <c r="H22" s="201">
        <v>0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623.80999999999995</v>
      </c>
      <c r="P22" s="193">
        <v>0</v>
      </c>
      <c r="Q22" s="193">
        <v>0</v>
      </c>
      <c r="R22" s="193">
        <v>0</v>
      </c>
      <c r="S22" s="193">
        <v>0</v>
      </c>
      <c r="T22" s="193">
        <v>623.80999999999995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29.15</v>
      </c>
      <c r="G23" s="201">
        <v>0</v>
      </c>
      <c r="H23" s="201">
        <v>0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623.80999999999995</v>
      </c>
      <c r="P23" s="193">
        <v>0</v>
      </c>
      <c r="Q23" s="193">
        <v>0</v>
      </c>
      <c r="R23" s="193">
        <v>0</v>
      </c>
      <c r="S23" s="193">
        <v>0</v>
      </c>
      <c r="T23" s="193">
        <v>623.80999999999995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0.05</v>
      </c>
      <c r="F24" s="200">
        <v>29.1</v>
      </c>
      <c r="G24" s="201">
        <v>0</v>
      </c>
      <c r="H24" s="201">
        <v>0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5.69</v>
      </c>
      <c r="O24" s="193">
        <v>622.74</v>
      </c>
      <c r="P24" s="193">
        <v>0</v>
      </c>
      <c r="Q24" s="193">
        <v>0</v>
      </c>
      <c r="R24" s="193">
        <v>0</v>
      </c>
      <c r="S24" s="193">
        <v>0</v>
      </c>
      <c r="T24" s="193">
        <v>628.42999999999995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29.1</v>
      </c>
      <c r="G25" s="201">
        <v>0</v>
      </c>
      <c r="H25" s="201">
        <v>0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622.74</v>
      </c>
      <c r="P25" s="193">
        <v>0</v>
      </c>
      <c r="Q25" s="193">
        <v>0</v>
      </c>
      <c r="R25" s="193">
        <v>0</v>
      </c>
      <c r="S25" s="193">
        <v>0</v>
      </c>
      <c r="T25" s="193">
        <v>622.74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0</v>
      </c>
      <c r="F26" s="200">
        <v>29.1</v>
      </c>
      <c r="G26" s="201">
        <v>0</v>
      </c>
      <c r="H26" s="201">
        <v>0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622.74</v>
      </c>
      <c r="P26" s="193">
        <v>0</v>
      </c>
      <c r="Q26" s="193">
        <v>0</v>
      </c>
      <c r="R26" s="193">
        <v>0</v>
      </c>
      <c r="S26" s="193">
        <v>0</v>
      </c>
      <c r="T26" s="193">
        <v>622.74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29.1</v>
      </c>
      <c r="G27" s="201">
        <v>0</v>
      </c>
      <c r="H27" s="201">
        <v>0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622.74</v>
      </c>
      <c r="P27" s="193">
        <v>0</v>
      </c>
      <c r="Q27" s="193">
        <v>0</v>
      </c>
      <c r="R27" s="193">
        <v>0</v>
      </c>
      <c r="S27" s="193">
        <v>0</v>
      </c>
      <c r="T27" s="193">
        <v>622.74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29.1</v>
      </c>
      <c r="G28" s="201">
        <v>0</v>
      </c>
      <c r="H28" s="201">
        <v>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622.74</v>
      </c>
      <c r="P28" s="193">
        <v>0</v>
      </c>
      <c r="Q28" s="193">
        <v>0</v>
      </c>
      <c r="R28" s="193">
        <v>0</v>
      </c>
      <c r="S28" s="193">
        <v>0</v>
      </c>
      <c r="T28" s="193">
        <v>622.74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29.1</v>
      </c>
      <c r="G29" s="201">
        <v>0</v>
      </c>
      <c r="H29" s="201">
        <v>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622.74</v>
      </c>
      <c r="P29" s="193">
        <v>0</v>
      </c>
      <c r="Q29" s="193">
        <v>0</v>
      </c>
      <c r="R29" s="193">
        <v>0</v>
      </c>
      <c r="S29" s="193">
        <v>0</v>
      </c>
      <c r="T29" s="193">
        <v>622.74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29.1</v>
      </c>
      <c r="G30" s="201">
        <v>0</v>
      </c>
      <c r="H30" s="201">
        <v>0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622.74</v>
      </c>
      <c r="P30" s="193">
        <v>0</v>
      </c>
      <c r="Q30" s="193">
        <v>0</v>
      </c>
      <c r="R30" s="193">
        <v>0</v>
      </c>
      <c r="S30" s="193">
        <v>0</v>
      </c>
      <c r="T30" s="193">
        <v>622.74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29.1</v>
      </c>
      <c r="G31" s="201">
        <v>0</v>
      </c>
      <c r="H31" s="201">
        <v>0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622.74</v>
      </c>
      <c r="P31" s="193">
        <v>0</v>
      </c>
      <c r="Q31" s="193">
        <v>0</v>
      </c>
      <c r="R31" s="193">
        <v>0</v>
      </c>
      <c r="S31" s="193">
        <v>0</v>
      </c>
      <c r="T31" s="193">
        <v>622.74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29.1</v>
      </c>
      <c r="G32" s="201">
        <v>0</v>
      </c>
      <c r="H32" s="201">
        <v>0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622.74</v>
      </c>
      <c r="P32" s="193">
        <v>0</v>
      </c>
      <c r="Q32" s="193">
        <v>0</v>
      </c>
      <c r="R32" s="193">
        <v>0</v>
      </c>
      <c r="S32" s="193">
        <v>0</v>
      </c>
      <c r="T32" s="193">
        <v>622.74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29.1</v>
      </c>
      <c r="G33" s="201">
        <v>0</v>
      </c>
      <c r="H33" s="201">
        <v>0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622.74</v>
      </c>
      <c r="P33" s="193">
        <v>0</v>
      </c>
      <c r="Q33" s="193">
        <v>0</v>
      </c>
      <c r="R33" s="193">
        <v>0</v>
      </c>
      <c r="S33" s="193">
        <v>0</v>
      </c>
      <c r="T33" s="193">
        <v>622.74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29.1</v>
      </c>
      <c r="G34" s="201">
        <v>0</v>
      </c>
      <c r="H34" s="201">
        <v>0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622.74</v>
      </c>
      <c r="P34" s="193">
        <v>0</v>
      </c>
      <c r="Q34" s="193">
        <v>0</v>
      </c>
      <c r="R34" s="193">
        <v>0</v>
      </c>
      <c r="S34" s="193">
        <v>0</v>
      </c>
      <c r="T34" s="193">
        <v>622.74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29.1</v>
      </c>
      <c r="G35" s="201">
        <v>0</v>
      </c>
      <c r="H35" s="201">
        <v>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622.74</v>
      </c>
      <c r="P35" s="193">
        <v>0</v>
      </c>
      <c r="Q35" s="193">
        <v>0</v>
      </c>
      <c r="R35" s="193">
        <v>0</v>
      </c>
      <c r="S35" s="193">
        <v>0</v>
      </c>
      <c r="T35" s="193">
        <v>622.74</v>
      </c>
    </row>
    <row r="36" spans="1:20">
      <c r="D36" s="18">
        <v>0</v>
      </c>
      <c r="E36" s="18">
        <v>0.05</v>
      </c>
      <c r="F36" s="18">
        <v>903.05000000000007</v>
      </c>
      <c r="G36" s="18">
        <v>0</v>
      </c>
      <c r="H36" s="18">
        <v>0</v>
      </c>
      <c r="I36" s="18">
        <v>0</v>
      </c>
      <c r="J36" s="19">
        <v>0</v>
      </c>
      <c r="K36" s="19">
        <v>0</v>
      </c>
      <c r="L36" s="194">
        <v>0</v>
      </c>
      <c r="M36" s="194">
        <v>0</v>
      </c>
      <c r="N36" s="194">
        <v>5.69</v>
      </c>
      <c r="O36" s="194">
        <v>19325.27</v>
      </c>
      <c r="P36" s="194">
        <v>0</v>
      </c>
      <c r="Q36" s="194">
        <v>0</v>
      </c>
      <c r="R36" s="194">
        <v>0</v>
      </c>
      <c r="S36" s="194">
        <v>0</v>
      </c>
      <c r="T36" s="194">
        <v>19330.96</v>
      </c>
    </row>
    <row r="37" spans="1:20">
      <c r="R37" s="21"/>
      <c r="S37" s="21"/>
      <c r="T37" s="195">
        <v>23583.77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C83B-7437-4E47-9D20-6384809AE176}">
  <sheetPr codeName="Лист48">
    <pageSetUpPr fitToPage="1"/>
  </sheetPr>
  <dimension ref="A1:T37"/>
  <sheetViews>
    <sheetView topLeftCell="A19" workbookViewId="0">
      <selection activeCell="T38" sqref="T38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309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310</v>
      </c>
      <c r="H3" s="209" t="s">
        <v>297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927.84299999999996</v>
      </c>
      <c r="G5" s="201">
        <v>0</v>
      </c>
      <c r="H5" s="201">
        <v>0</v>
      </c>
      <c r="I5" s="10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60309.8</v>
      </c>
      <c r="P5" s="193">
        <v>0</v>
      </c>
      <c r="Q5" s="193">
        <v>0</v>
      </c>
      <c r="R5" s="193">
        <v>0</v>
      </c>
      <c r="S5" s="193">
        <v>0</v>
      </c>
      <c r="T5" s="193">
        <v>60309.8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927.84299999999996</v>
      </c>
      <c r="G6" s="201">
        <v>0</v>
      </c>
      <c r="H6" s="201">
        <v>0</v>
      </c>
      <c r="I6" s="10">
        <v>0</v>
      </c>
      <c r="J6" s="11">
        <v>0</v>
      </c>
      <c r="K6" s="11"/>
      <c r="L6" s="193">
        <v>0</v>
      </c>
      <c r="M6" s="193">
        <v>0</v>
      </c>
      <c r="N6" s="193">
        <v>0</v>
      </c>
      <c r="O6" s="193">
        <v>60309.8</v>
      </c>
      <c r="P6" s="193">
        <v>0</v>
      </c>
      <c r="Q6" s="193">
        <v>0</v>
      </c>
      <c r="R6" s="193">
        <v>0</v>
      </c>
      <c r="S6" s="193">
        <v>0</v>
      </c>
      <c r="T6" s="193">
        <v>60309.8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927.84299999999996</v>
      </c>
      <c r="G7" s="201">
        <v>0</v>
      </c>
      <c r="H7" s="201">
        <v>0</v>
      </c>
      <c r="I7" s="10">
        <v>0</v>
      </c>
      <c r="J7" s="11">
        <v>0</v>
      </c>
      <c r="K7" s="11"/>
      <c r="L7" s="193">
        <v>0</v>
      </c>
      <c r="M7" s="193">
        <v>0</v>
      </c>
      <c r="N7" s="193">
        <v>0</v>
      </c>
      <c r="O7" s="193">
        <v>60309.8</v>
      </c>
      <c r="P7" s="193">
        <v>0</v>
      </c>
      <c r="Q7" s="193">
        <v>0</v>
      </c>
      <c r="R7" s="193">
        <v>0</v>
      </c>
      <c r="S7" s="193">
        <v>0</v>
      </c>
      <c r="T7" s="193">
        <v>60309.8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927.84299999999996</v>
      </c>
      <c r="G8" s="201">
        <v>0</v>
      </c>
      <c r="H8" s="201">
        <v>0</v>
      </c>
      <c r="I8" s="10">
        <v>0</v>
      </c>
      <c r="J8" s="11">
        <v>0</v>
      </c>
      <c r="K8" s="11"/>
      <c r="L8" s="193">
        <v>0</v>
      </c>
      <c r="M8" s="193">
        <v>0</v>
      </c>
      <c r="N8" s="193">
        <v>0</v>
      </c>
      <c r="O8" s="193">
        <v>60309.8</v>
      </c>
      <c r="P8" s="193">
        <v>0</v>
      </c>
      <c r="Q8" s="193">
        <v>0</v>
      </c>
      <c r="R8" s="193">
        <v>0</v>
      </c>
      <c r="S8" s="193">
        <v>0</v>
      </c>
      <c r="T8" s="193">
        <v>60309.8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927.84299999999996</v>
      </c>
      <c r="G9" s="201">
        <v>0</v>
      </c>
      <c r="H9" s="201">
        <v>0</v>
      </c>
      <c r="I9" s="10">
        <v>0</v>
      </c>
      <c r="J9" s="11">
        <v>0</v>
      </c>
      <c r="K9" s="11"/>
      <c r="L9" s="193">
        <v>0</v>
      </c>
      <c r="M9" s="193">
        <v>0</v>
      </c>
      <c r="N9" s="193">
        <v>0</v>
      </c>
      <c r="O9" s="193">
        <v>60309.8</v>
      </c>
      <c r="P9" s="193">
        <v>0</v>
      </c>
      <c r="Q9" s="193">
        <v>0</v>
      </c>
      <c r="R9" s="193">
        <v>0</v>
      </c>
      <c r="S9" s="193">
        <v>0</v>
      </c>
      <c r="T9" s="193">
        <v>60309.8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927.84299999999996</v>
      </c>
      <c r="G10" s="201">
        <v>0</v>
      </c>
      <c r="H10" s="201">
        <v>0</v>
      </c>
      <c r="I10" s="10">
        <v>0</v>
      </c>
      <c r="J10" s="11">
        <v>0</v>
      </c>
      <c r="K10" s="11"/>
      <c r="L10" s="193">
        <v>0</v>
      </c>
      <c r="M10" s="193">
        <v>0</v>
      </c>
      <c r="N10" s="193">
        <v>0</v>
      </c>
      <c r="O10" s="193">
        <v>60309.8</v>
      </c>
      <c r="P10" s="193">
        <v>0</v>
      </c>
      <c r="Q10" s="193">
        <v>0</v>
      </c>
      <c r="R10" s="193">
        <v>0</v>
      </c>
      <c r="S10" s="193">
        <v>0</v>
      </c>
      <c r="T10" s="193">
        <v>60309.8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927.84299999999996</v>
      </c>
      <c r="G11" s="201">
        <v>0</v>
      </c>
      <c r="H11" s="201">
        <v>0</v>
      </c>
      <c r="I11" s="10">
        <v>0</v>
      </c>
      <c r="J11" s="11">
        <v>0</v>
      </c>
      <c r="K11" s="11"/>
      <c r="L11" s="193">
        <v>0</v>
      </c>
      <c r="M11" s="193">
        <v>0</v>
      </c>
      <c r="N11" s="193">
        <v>0</v>
      </c>
      <c r="O11" s="193">
        <v>60309.8</v>
      </c>
      <c r="P11" s="193">
        <v>0</v>
      </c>
      <c r="Q11" s="193">
        <v>0</v>
      </c>
      <c r="R11" s="193">
        <v>0</v>
      </c>
      <c r="S11" s="193">
        <v>0</v>
      </c>
      <c r="T11" s="193">
        <v>60309.8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927.84299999999996</v>
      </c>
      <c r="G12" s="201">
        <v>0</v>
      </c>
      <c r="H12" s="201">
        <v>0</v>
      </c>
      <c r="I12" s="10">
        <v>0</v>
      </c>
      <c r="J12" s="11">
        <v>0</v>
      </c>
      <c r="K12" s="11"/>
      <c r="L12" s="193">
        <v>0</v>
      </c>
      <c r="M12" s="193">
        <v>0</v>
      </c>
      <c r="N12" s="193">
        <v>0</v>
      </c>
      <c r="O12" s="193">
        <v>60309.8</v>
      </c>
      <c r="P12" s="193">
        <v>0</v>
      </c>
      <c r="Q12" s="193">
        <v>0</v>
      </c>
      <c r="R12" s="193">
        <v>0</v>
      </c>
      <c r="S12" s="193">
        <v>0</v>
      </c>
      <c r="T12" s="193">
        <v>60309.8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927.84299999999996</v>
      </c>
      <c r="G13" s="201">
        <v>0</v>
      </c>
      <c r="H13" s="201">
        <v>0</v>
      </c>
      <c r="I13" s="10">
        <v>0</v>
      </c>
      <c r="J13" s="11">
        <v>0</v>
      </c>
      <c r="K13" s="11"/>
      <c r="L13" s="193">
        <v>0</v>
      </c>
      <c r="M13" s="193">
        <v>0</v>
      </c>
      <c r="N13" s="193">
        <v>0</v>
      </c>
      <c r="O13" s="193">
        <v>60309.8</v>
      </c>
      <c r="P13" s="193">
        <v>0</v>
      </c>
      <c r="Q13" s="193">
        <v>0</v>
      </c>
      <c r="R13" s="193">
        <v>0</v>
      </c>
      <c r="S13" s="193">
        <v>0</v>
      </c>
      <c r="T13" s="193">
        <v>60309.8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927.84299999999996</v>
      </c>
      <c r="G14" s="201">
        <v>0</v>
      </c>
      <c r="H14" s="201">
        <v>0</v>
      </c>
      <c r="I14" s="10">
        <v>0</v>
      </c>
      <c r="J14" s="11">
        <v>0</v>
      </c>
      <c r="K14" s="11"/>
      <c r="L14" s="193">
        <v>0</v>
      </c>
      <c r="M14" s="193">
        <v>0</v>
      </c>
      <c r="N14" s="193">
        <v>0</v>
      </c>
      <c r="O14" s="193">
        <v>60309.8</v>
      </c>
      <c r="P14" s="193">
        <v>0</v>
      </c>
      <c r="Q14" s="193">
        <v>0</v>
      </c>
      <c r="R14" s="193">
        <v>0</v>
      </c>
      <c r="S14" s="193">
        <v>0</v>
      </c>
      <c r="T14" s="193">
        <v>60309.8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927.84299999999996</v>
      </c>
      <c r="G15" s="201">
        <v>0</v>
      </c>
      <c r="H15" s="201">
        <v>0</v>
      </c>
      <c r="I15" s="10">
        <v>0</v>
      </c>
      <c r="J15" s="11">
        <v>0</v>
      </c>
      <c r="K15" s="11"/>
      <c r="L15" s="193">
        <v>0</v>
      </c>
      <c r="M15" s="193">
        <v>0</v>
      </c>
      <c r="N15" s="193">
        <v>0</v>
      </c>
      <c r="O15" s="193">
        <v>60309.8</v>
      </c>
      <c r="P15" s="193">
        <v>0</v>
      </c>
      <c r="Q15" s="193">
        <v>0</v>
      </c>
      <c r="R15" s="193">
        <v>0</v>
      </c>
      <c r="S15" s="193">
        <v>0</v>
      </c>
      <c r="T15" s="193">
        <v>60309.8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927.84299999999996</v>
      </c>
      <c r="G16" s="201">
        <v>0</v>
      </c>
      <c r="H16" s="201">
        <v>0</v>
      </c>
      <c r="I16" s="10">
        <v>0</v>
      </c>
      <c r="J16" s="11">
        <v>0</v>
      </c>
      <c r="K16" s="16"/>
      <c r="L16" s="193">
        <v>0</v>
      </c>
      <c r="M16" s="193">
        <v>0</v>
      </c>
      <c r="N16" s="193">
        <v>0</v>
      </c>
      <c r="O16" s="193">
        <v>60309.8</v>
      </c>
      <c r="P16" s="193">
        <v>0</v>
      </c>
      <c r="Q16" s="193">
        <v>0</v>
      </c>
      <c r="R16" s="193">
        <v>0</v>
      </c>
      <c r="S16" s="193">
        <v>0</v>
      </c>
      <c r="T16" s="193">
        <v>60309.8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927.84299999999996</v>
      </c>
      <c r="G17" s="201">
        <v>0</v>
      </c>
      <c r="H17" s="201">
        <v>0</v>
      </c>
      <c r="I17" s="10">
        <v>0</v>
      </c>
      <c r="J17" s="11">
        <v>0</v>
      </c>
      <c r="K17" s="11"/>
      <c r="L17" s="193">
        <v>0</v>
      </c>
      <c r="M17" s="193">
        <v>0</v>
      </c>
      <c r="N17" s="193">
        <v>0</v>
      </c>
      <c r="O17" s="193">
        <v>60309.8</v>
      </c>
      <c r="P17" s="193">
        <v>0</v>
      </c>
      <c r="Q17" s="193">
        <v>0</v>
      </c>
      <c r="R17" s="193">
        <v>0</v>
      </c>
      <c r="S17" s="193">
        <v>0</v>
      </c>
      <c r="T17" s="193">
        <v>60309.8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927.84299999999996</v>
      </c>
      <c r="G18" s="201">
        <v>0</v>
      </c>
      <c r="H18" s="201">
        <v>0</v>
      </c>
      <c r="I18" s="10">
        <v>0</v>
      </c>
      <c r="J18" s="11">
        <v>0</v>
      </c>
      <c r="K18" s="11"/>
      <c r="L18" s="193">
        <v>0</v>
      </c>
      <c r="M18" s="193">
        <v>0</v>
      </c>
      <c r="N18" s="193">
        <v>0</v>
      </c>
      <c r="O18" s="193">
        <v>60309.8</v>
      </c>
      <c r="P18" s="193">
        <v>0</v>
      </c>
      <c r="Q18" s="193">
        <v>0</v>
      </c>
      <c r="R18" s="193">
        <v>0</v>
      </c>
      <c r="S18" s="193">
        <v>0</v>
      </c>
      <c r="T18" s="193">
        <v>60309.8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927.84299999999996</v>
      </c>
      <c r="G19" s="201">
        <v>0</v>
      </c>
      <c r="H19" s="201">
        <v>0</v>
      </c>
      <c r="I19" s="10">
        <v>0</v>
      </c>
      <c r="J19" s="11">
        <v>0</v>
      </c>
      <c r="K19" s="11"/>
      <c r="L19" s="193">
        <v>0</v>
      </c>
      <c r="M19" s="193">
        <v>0</v>
      </c>
      <c r="N19" s="193">
        <v>0</v>
      </c>
      <c r="O19" s="193">
        <v>60309.8</v>
      </c>
      <c r="P19" s="193">
        <v>0</v>
      </c>
      <c r="Q19" s="193">
        <v>0</v>
      </c>
      <c r="R19" s="193">
        <v>0</v>
      </c>
      <c r="S19" s="193">
        <v>0</v>
      </c>
      <c r="T19" s="193">
        <v>60309.8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927.84299999999996</v>
      </c>
      <c r="G20" s="201">
        <v>0</v>
      </c>
      <c r="H20" s="201">
        <v>0</v>
      </c>
      <c r="I20" s="10">
        <v>0</v>
      </c>
      <c r="J20" s="11">
        <v>0</v>
      </c>
      <c r="K20" s="11"/>
      <c r="L20" s="193">
        <v>0</v>
      </c>
      <c r="M20" s="193">
        <v>0</v>
      </c>
      <c r="N20" s="193">
        <v>0</v>
      </c>
      <c r="O20" s="193">
        <v>60309.8</v>
      </c>
      <c r="P20" s="193">
        <v>0</v>
      </c>
      <c r="Q20" s="193">
        <v>0</v>
      </c>
      <c r="R20" s="193">
        <v>0</v>
      </c>
      <c r="S20" s="193">
        <v>0</v>
      </c>
      <c r="T20" s="193">
        <v>60309.8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927.84299999999996</v>
      </c>
      <c r="G21" s="201">
        <v>0</v>
      </c>
      <c r="H21" s="201">
        <v>0</v>
      </c>
      <c r="I21" s="10">
        <v>0</v>
      </c>
      <c r="J21" s="11">
        <v>0</v>
      </c>
      <c r="K21" s="11"/>
      <c r="L21" s="193">
        <v>0</v>
      </c>
      <c r="M21" s="193">
        <v>0</v>
      </c>
      <c r="N21" s="193">
        <v>0</v>
      </c>
      <c r="O21" s="193">
        <v>60309.8</v>
      </c>
      <c r="P21" s="193">
        <v>0</v>
      </c>
      <c r="Q21" s="193">
        <v>0</v>
      </c>
      <c r="R21" s="193">
        <v>0</v>
      </c>
      <c r="S21" s="193">
        <v>0</v>
      </c>
      <c r="T21" s="193">
        <v>60309.8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927.84299999999996</v>
      </c>
      <c r="G22" s="201">
        <v>0</v>
      </c>
      <c r="H22" s="201">
        <v>0</v>
      </c>
      <c r="I22" s="10">
        <v>0</v>
      </c>
      <c r="J22" s="11">
        <v>0</v>
      </c>
      <c r="K22" s="11"/>
      <c r="L22" s="193">
        <v>0</v>
      </c>
      <c r="M22" s="193">
        <v>0</v>
      </c>
      <c r="N22" s="193">
        <v>0</v>
      </c>
      <c r="O22" s="193">
        <v>60309.8</v>
      </c>
      <c r="P22" s="193">
        <v>0</v>
      </c>
      <c r="Q22" s="193">
        <v>0</v>
      </c>
      <c r="R22" s="193">
        <v>0</v>
      </c>
      <c r="S22" s="193">
        <v>0</v>
      </c>
      <c r="T22" s="193">
        <v>60309.8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927.84299999999996</v>
      </c>
      <c r="G23" s="201">
        <v>0</v>
      </c>
      <c r="H23" s="201">
        <v>0</v>
      </c>
      <c r="I23" s="10">
        <v>0</v>
      </c>
      <c r="J23" s="11">
        <v>0</v>
      </c>
      <c r="K23" s="11"/>
      <c r="L23" s="193">
        <v>0</v>
      </c>
      <c r="M23" s="193">
        <v>0</v>
      </c>
      <c r="N23" s="193">
        <v>0</v>
      </c>
      <c r="O23" s="193">
        <v>60309.8</v>
      </c>
      <c r="P23" s="193">
        <v>0</v>
      </c>
      <c r="Q23" s="193">
        <v>0</v>
      </c>
      <c r="R23" s="193">
        <v>0</v>
      </c>
      <c r="S23" s="193">
        <v>0</v>
      </c>
      <c r="T23" s="193">
        <v>60309.8</v>
      </c>
    </row>
    <row r="24" spans="1:20">
      <c r="A24" s="13">
        <v>20</v>
      </c>
      <c r="B24" s="216" t="s">
        <v>218</v>
      </c>
      <c r="C24" s="217"/>
      <c r="D24" s="200">
        <v>0</v>
      </c>
      <c r="E24" s="200">
        <v>0</v>
      </c>
      <c r="F24" s="200">
        <v>927.84299999999996</v>
      </c>
      <c r="G24" s="201">
        <v>0</v>
      </c>
      <c r="H24" s="201">
        <v>0</v>
      </c>
      <c r="I24" s="10">
        <v>0</v>
      </c>
      <c r="J24" s="11">
        <v>0</v>
      </c>
      <c r="K24" s="11"/>
      <c r="L24" s="193">
        <v>0</v>
      </c>
      <c r="M24" s="193">
        <v>0</v>
      </c>
      <c r="N24" s="193">
        <v>0</v>
      </c>
      <c r="O24" s="193">
        <v>60309.8</v>
      </c>
      <c r="P24" s="193">
        <v>0</v>
      </c>
      <c r="Q24" s="193">
        <v>0</v>
      </c>
      <c r="R24" s="193">
        <v>0</v>
      </c>
      <c r="S24" s="193">
        <v>0</v>
      </c>
      <c r="T24" s="193">
        <v>60309.8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927.84299999999996</v>
      </c>
      <c r="G25" s="201">
        <v>0</v>
      </c>
      <c r="H25" s="201">
        <v>0</v>
      </c>
      <c r="I25" s="10">
        <v>0</v>
      </c>
      <c r="J25" s="11">
        <v>0</v>
      </c>
      <c r="K25" s="11"/>
      <c r="L25" s="193">
        <v>0</v>
      </c>
      <c r="M25" s="193">
        <v>0</v>
      </c>
      <c r="N25" s="193">
        <v>0</v>
      </c>
      <c r="O25" s="193">
        <v>60309.8</v>
      </c>
      <c r="P25" s="193">
        <v>0</v>
      </c>
      <c r="Q25" s="193">
        <v>0</v>
      </c>
      <c r="R25" s="193">
        <v>0</v>
      </c>
      <c r="S25" s="193">
        <v>0</v>
      </c>
      <c r="T25" s="193">
        <v>60309.8</v>
      </c>
    </row>
    <row r="26" spans="1:20">
      <c r="A26" s="13">
        <v>22</v>
      </c>
      <c r="B26" s="216" t="s">
        <v>220</v>
      </c>
      <c r="C26" s="217"/>
      <c r="D26" s="200">
        <v>0</v>
      </c>
      <c r="E26" s="200">
        <v>0</v>
      </c>
      <c r="F26" s="200">
        <v>927.84299999999996</v>
      </c>
      <c r="G26" s="201">
        <v>0</v>
      </c>
      <c r="H26" s="201">
        <v>0</v>
      </c>
      <c r="I26" s="10">
        <v>0</v>
      </c>
      <c r="J26" s="11">
        <v>0</v>
      </c>
      <c r="K26" s="11"/>
      <c r="L26" s="193">
        <v>0</v>
      </c>
      <c r="M26" s="193">
        <v>0</v>
      </c>
      <c r="N26" s="193">
        <v>0</v>
      </c>
      <c r="O26" s="193">
        <v>60309.8</v>
      </c>
      <c r="P26" s="193">
        <v>0</v>
      </c>
      <c r="Q26" s="193">
        <v>0</v>
      </c>
      <c r="R26" s="193">
        <v>0</v>
      </c>
      <c r="S26" s="193">
        <v>0</v>
      </c>
      <c r="T26" s="193">
        <v>60309.8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927.84299999999996</v>
      </c>
      <c r="G27" s="201">
        <v>0</v>
      </c>
      <c r="H27" s="201">
        <v>0</v>
      </c>
      <c r="I27" s="10">
        <v>0</v>
      </c>
      <c r="J27" s="11">
        <v>0</v>
      </c>
      <c r="K27" s="11"/>
      <c r="L27" s="193">
        <v>0</v>
      </c>
      <c r="M27" s="193">
        <v>0</v>
      </c>
      <c r="N27" s="193">
        <v>0</v>
      </c>
      <c r="O27" s="193">
        <v>60309.8</v>
      </c>
      <c r="P27" s="193">
        <v>0</v>
      </c>
      <c r="Q27" s="193">
        <v>0</v>
      </c>
      <c r="R27" s="193">
        <v>0</v>
      </c>
      <c r="S27" s="193">
        <v>0</v>
      </c>
      <c r="T27" s="193">
        <v>60309.8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927.84299999999996</v>
      </c>
      <c r="G28" s="201">
        <v>0</v>
      </c>
      <c r="H28" s="201">
        <v>0</v>
      </c>
      <c r="I28" s="10">
        <v>0</v>
      </c>
      <c r="J28" s="11">
        <v>0</v>
      </c>
      <c r="K28" s="11"/>
      <c r="L28" s="193">
        <v>0</v>
      </c>
      <c r="M28" s="193">
        <v>0</v>
      </c>
      <c r="N28" s="193">
        <v>0</v>
      </c>
      <c r="O28" s="193">
        <v>60309.8</v>
      </c>
      <c r="P28" s="193">
        <v>0</v>
      </c>
      <c r="Q28" s="193">
        <v>0</v>
      </c>
      <c r="R28" s="193">
        <v>0</v>
      </c>
      <c r="S28" s="193">
        <v>0</v>
      </c>
      <c r="T28" s="193">
        <v>60309.8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927.84299999999996</v>
      </c>
      <c r="G29" s="201">
        <v>0</v>
      </c>
      <c r="H29" s="201">
        <v>0</v>
      </c>
      <c r="I29" s="10">
        <v>0</v>
      </c>
      <c r="J29" s="11">
        <v>0</v>
      </c>
      <c r="K29" s="11"/>
      <c r="L29" s="193">
        <v>0</v>
      </c>
      <c r="M29" s="193">
        <v>0</v>
      </c>
      <c r="N29" s="193">
        <v>0</v>
      </c>
      <c r="O29" s="193">
        <v>60309.8</v>
      </c>
      <c r="P29" s="193">
        <v>0</v>
      </c>
      <c r="Q29" s="193">
        <v>0</v>
      </c>
      <c r="R29" s="193">
        <v>0</v>
      </c>
      <c r="S29" s="193">
        <v>0</v>
      </c>
      <c r="T29" s="193">
        <v>60309.8</v>
      </c>
    </row>
    <row r="30" spans="1:20">
      <c r="A30" s="13">
        <v>26</v>
      </c>
      <c r="B30" s="216" t="s">
        <v>224</v>
      </c>
      <c r="C30" s="217"/>
      <c r="D30" s="200">
        <v>0</v>
      </c>
      <c r="E30" s="200">
        <v>0</v>
      </c>
      <c r="F30" s="200">
        <v>927.84299999999996</v>
      </c>
      <c r="G30" s="201">
        <v>0</v>
      </c>
      <c r="H30" s="201">
        <v>0</v>
      </c>
      <c r="I30" s="10">
        <v>0</v>
      </c>
      <c r="J30" s="11">
        <v>0</v>
      </c>
      <c r="K30" s="11"/>
      <c r="L30" s="193">
        <v>0</v>
      </c>
      <c r="M30" s="193">
        <v>0</v>
      </c>
      <c r="N30" s="193">
        <v>0</v>
      </c>
      <c r="O30" s="193">
        <v>60309.8</v>
      </c>
      <c r="P30" s="193">
        <v>0</v>
      </c>
      <c r="Q30" s="193">
        <v>0</v>
      </c>
      <c r="R30" s="193">
        <v>0</v>
      </c>
      <c r="S30" s="193">
        <v>0</v>
      </c>
      <c r="T30" s="193">
        <v>60309.8</v>
      </c>
    </row>
    <row r="31" spans="1:20">
      <c r="A31" s="13">
        <v>27</v>
      </c>
      <c r="B31" s="216" t="s">
        <v>225</v>
      </c>
      <c r="C31" s="217"/>
      <c r="D31" s="200">
        <v>0</v>
      </c>
      <c r="E31" s="200">
        <v>0</v>
      </c>
      <c r="F31" s="200">
        <v>927.84299999999996</v>
      </c>
      <c r="G31" s="201">
        <v>0</v>
      </c>
      <c r="H31" s="201">
        <v>0</v>
      </c>
      <c r="I31" s="10">
        <v>0</v>
      </c>
      <c r="J31" s="11">
        <v>0</v>
      </c>
      <c r="K31" s="11"/>
      <c r="L31" s="193">
        <v>0</v>
      </c>
      <c r="M31" s="193">
        <v>0</v>
      </c>
      <c r="N31" s="193">
        <v>0</v>
      </c>
      <c r="O31" s="193">
        <v>60309.8</v>
      </c>
      <c r="P31" s="193">
        <v>0</v>
      </c>
      <c r="Q31" s="193">
        <v>0</v>
      </c>
      <c r="R31" s="193">
        <v>0</v>
      </c>
      <c r="S31" s="193">
        <v>0</v>
      </c>
      <c r="T31" s="193">
        <v>60309.8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927.84299999999996</v>
      </c>
      <c r="G32" s="201">
        <v>0</v>
      </c>
      <c r="H32" s="201">
        <v>0</v>
      </c>
      <c r="I32" s="10">
        <v>0</v>
      </c>
      <c r="J32" s="11">
        <v>0</v>
      </c>
      <c r="K32" s="11"/>
      <c r="L32" s="193">
        <v>0</v>
      </c>
      <c r="M32" s="193">
        <v>0</v>
      </c>
      <c r="N32" s="193">
        <v>0</v>
      </c>
      <c r="O32" s="193">
        <v>60309.8</v>
      </c>
      <c r="P32" s="193">
        <v>0</v>
      </c>
      <c r="Q32" s="193">
        <v>0</v>
      </c>
      <c r="R32" s="193">
        <v>0</v>
      </c>
      <c r="S32" s="193">
        <v>0</v>
      </c>
      <c r="T32" s="193">
        <v>60309.8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927.84299999999996</v>
      </c>
      <c r="G33" s="201">
        <v>0</v>
      </c>
      <c r="H33" s="201">
        <v>0</v>
      </c>
      <c r="I33" s="10">
        <v>0</v>
      </c>
      <c r="J33" s="11">
        <v>0</v>
      </c>
      <c r="K33" s="11"/>
      <c r="L33" s="193">
        <v>0</v>
      </c>
      <c r="M33" s="193">
        <v>0</v>
      </c>
      <c r="N33" s="193">
        <v>0</v>
      </c>
      <c r="O33" s="193">
        <v>60309.8</v>
      </c>
      <c r="P33" s="193">
        <v>0</v>
      </c>
      <c r="Q33" s="193">
        <v>0</v>
      </c>
      <c r="R33" s="193">
        <v>0</v>
      </c>
      <c r="S33" s="193">
        <v>0</v>
      </c>
      <c r="T33" s="193">
        <v>60309.8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927.84299999999996</v>
      </c>
      <c r="G34" s="201">
        <v>0</v>
      </c>
      <c r="H34" s="201">
        <v>0</v>
      </c>
      <c r="I34" s="10">
        <v>0</v>
      </c>
      <c r="J34" s="11">
        <v>0</v>
      </c>
      <c r="K34" s="11"/>
      <c r="L34" s="193">
        <v>0</v>
      </c>
      <c r="M34" s="193">
        <v>0</v>
      </c>
      <c r="N34" s="193">
        <v>0</v>
      </c>
      <c r="O34" s="193">
        <v>60309.8</v>
      </c>
      <c r="P34" s="193">
        <v>0</v>
      </c>
      <c r="Q34" s="193">
        <v>0</v>
      </c>
      <c r="R34" s="193">
        <v>0</v>
      </c>
      <c r="S34" s="193">
        <v>0</v>
      </c>
      <c r="T34" s="193">
        <v>60309.8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927.84299999999996</v>
      </c>
      <c r="G35" s="201">
        <v>0</v>
      </c>
      <c r="H35" s="201">
        <v>0</v>
      </c>
      <c r="I35" s="10">
        <v>0</v>
      </c>
      <c r="J35" s="11">
        <v>0</v>
      </c>
      <c r="K35" s="11"/>
      <c r="L35" s="193">
        <v>0</v>
      </c>
      <c r="M35" s="193">
        <v>0</v>
      </c>
      <c r="N35" s="193">
        <v>0</v>
      </c>
      <c r="O35" s="193">
        <v>60309.8</v>
      </c>
      <c r="P35" s="193">
        <v>0</v>
      </c>
      <c r="Q35" s="193">
        <v>0</v>
      </c>
      <c r="R35" s="193">
        <v>0</v>
      </c>
      <c r="S35" s="193">
        <v>0</v>
      </c>
      <c r="T35" s="193">
        <v>60309.8</v>
      </c>
    </row>
    <row r="36" spans="1:20">
      <c r="D36" s="18">
        <v>0</v>
      </c>
      <c r="E36" s="18">
        <v>0</v>
      </c>
      <c r="F36" s="18">
        <v>28763.133000000016</v>
      </c>
      <c r="G36" s="18">
        <v>0</v>
      </c>
      <c r="H36" s="18">
        <v>0</v>
      </c>
      <c r="I36" s="18">
        <v>0</v>
      </c>
      <c r="J36" s="19">
        <v>0</v>
      </c>
      <c r="K36" s="19">
        <v>0</v>
      </c>
      <c r="L36" s="194">
        <v>0</v>
      </c>
      <c r="M36" s="194">
        <v>0</v>
      </c>
      <c r="N36" s="194">
        <v>0</v>
      </c>
      <c r="O36" s="194">
        <v>1869603.65</v>
      </c>
      <c r="P36" s="194">
        <v>0</v>
      </c>
      <c r="Q36" s="194">
        <v>0</v>
      </c>
      <c r="R36" s="194">
        <v>0</v>
      </c>
      <c r="S36" s="194">
        <v>0</v>
      </c>
      <c r="T36" s="194">
        <v>1869603.65</v>
      </c>
    </row>
    <row r="37" spans="1:20">
      <c r="R37" s="21"/>
      <c r="S37" s="21"/>
      <c r="T37" s="195">
        <v>2280916.4500000002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5AA1-AA2B-44EB-A39E-A72DC407E6BD}">
  <sheetPr codeName="Лист49">
    <pageSetUpPr fitToPage="1"/>
  </sheetPr>
  <dimension ref="A1:T37"/>
  <sheetViews>
    <sheetView topLeftCell="A13" workbookViewId="0">
      <selection activeCell="T38" sqref="T38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8" t="s">
        <v>311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20" ht="28.9" customHeight="1">
      <c r="A3" s="209" t="s">
        <v>0</v>
      </c>
      <c r="B3" s="211" t="s">
        <v>1</v>
      </c>
      <c r="C3" s="212"/>
      <c r="D3" s="209" t="s">
        <v>2</v>
      </c>
      <c r="E3" s="209" t="s">
        <v>3</v>
      </c>
      <c r="F3" s="4" t="s">
        <v>4</v>
      </c>
      <c r="G3" s="209" t="s">
        <v>312</v>
      </c>
      <c r="H3" s="209" t="s">
        <v>313</v>
      </c>
      <c r="I3" s="209" t="s">
        <v>7</v>
      </c>
      <c r="J3" s="209" t="s">
        <v>8</v>
      </c>
      <c r="K3" s="209" t="s">
        <v>9</v>
      </c>
      <c r="L3" s="209" t="s">
        <v>10</v>
      </c>
      <c r="M3" s="209" t="s">
        <v>11</v>
      </c>
      <c r="N3" s="209" t="s">
        <v>12</v>
      </c>
      <c r="O3" s="209" t="s">
        <v>13</v>
      </c>
      <c r="P3" s="209" t="s">
        <v>14</v>
      </c>
      <c r="Q3" s="209" t="s">
        <v>15</v>
      </c>
      <c r="R3" s="209" t="s">
        <v>16</v>
      </c>
      <c r="S3" s="209" t="s">
        <v>17</v>
      </c>
      <c r="T3" s="209" t="s">
        <v>18</v>
      </c>
    </row>
    <row r="4" spans="1:20">
      <c r="A4" s="210"/>
      <c r="B4" s="213"/>
      <c r="C4" s="214"/>
      <c r="D4" s="210"/>
      <c r="E4" s="210"/>
      <c r="F4" s="5"/>
      <c r="G4" s="210"/>
      <c r="H4" s="210"/>
      <c r="I4" s="210"/>
      <c r="J4" s="210"/>
      <c r="K4" s="215"/>
      <c r="L4" s="215"/>
      <c r="M4" s="210"/>
      <c r="N4" s="210"/>
      <c r="O4" s="210"/>
      <c r="P4" s="210"/>
      <c r="Q4" s="210"/>
      <c r="R4" s="210"/>
      <c r="S4" s="210"/>
      <c r="T4" s="210"/>
    </row>
    <row r="5" spans="1:20">
      <c r="A5" s="13">
        <v>1</v>
      </c>
      <c r="B5" s="216" t="s">
        <v>199</v>
      </c>
      <c r="C5" s="217"/>
      <c r="D5" s="200">
        <v>0</v>
      </c>
      <c r="E5" s="200">
        <v>0</v>
      </c>
      <c r="F5" s="200">
        <v>2293.5120000000002</v>
      </c>
      <c r="G5" s="201">
        <v>0</v>
      </c>
      <c r="H5" s="201">
        <v>75</v>
      </c>
      <c r="I5" s="10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149078.28</v>
      </c>
      <c r="P5" s="193">
        <v>0</v>
      </c>
      <c r="Q5" s="193">
        <v>11250</v>
      </c>
      <c r="R5" s="193">
        <v>0</v>
      </c>
      <c r="S5" s="193">
        <v>0</v>
      </c>
      <c r="T5" s="193">
        <v>160328.28</v>
      </c>
    </row>
    <row r="6" spans="1:20">
      <c r="A6" s="13">
        <v>2</v>
      </c>
      <c r="B6" s="216" t="s">
        <v>200</v>
      </c>
      <c r="C6" s="217"/>
      <c r="D6" s="200">
        <v>0</v>
      </c>
      <c r="E6" s="200">
        <v>0</v>
      </c>
      <c r="F6" s="200">
        <v>2293.5120000000002</v>
      </c>
      <c r="G6" s="201">
        <v>0</v>
      </c>
      <c r="H6" s="201">
        <v>75</v>
      </c>
      <c r="I6" s="10">
        <v>0</v>
      </c>
      <c r="J6" s="11">
        <v>0</v>
      </c>
      <c r="K6" s="11"/>
      <c r="L6" s="193">
        <v>0</v>
      </c>
      <c r="M6" s="193">
        <v>0</v>
      </c>
      <c r="N6" s="193">
        <v>0</v>
      </c>
      <c r="O6" s="193">
        <v>149078.28</v>
      </c>
      <c r="P6" s="193">
        <v>0</v>
      </c>
      <c r="Q6" s="193">
        <v>11250</v>
      </c>
      <c r="R6" s="193">
        <v>0</v>
      </c>
      <c r="S6" s="193">
        <v>0</v>
      </c>
      <c r="T6" s="193">
        <v>160328.28</v>
      </c>
    </row>
    <row r="7" spans="1:20">
      <c r="A7" s="13">
        <v>3</v>
      </c>
      <c r="B7" s="216" t="s">
        <v>201</v>
      </c>
      <c r="C7" s="217"/>
      <c r="D7" s="200">
        <v>0</v>
      </c>
      <c r="E7" s="200">
        <v>0</v>
      </c>
      <c r="F7" s="200">
        <v>2293.5120000000002</v>
      </c>
      <c r="G7" s="201">
        <v>0</v>
      </c>
      <c r="H7" s="201">
        <v>75</v>
      </c>
      <c r="I7" s="10">
        <v>0</v>
      </c>
      <c r="J7" s="11">
        <v>0</v>
      </c>
      <c r="K7" s="11"/>
      <c r="L7" s="193">
        <v>0</v>
      </c>
      <c r="M7" s="193">
        <v>0</v>
      </c>
      <c r="N7" s="193">
        <v>0</v>
      </c>
      <c r="O7" s="193">
        <v>149078.28</v>
      </c>
      <c r="P7" s="193">
        <v>0</v>
      </c>
      <c r="Q7" s="193">
        <v>11250</v>
      </c>
      <c r="R7" s="193">
        <v>0</v>
      </c>
      <c r="S7" s="193">
        <v>0</v>
      </c>
      <c r="T7" s="193">
        <v>160328.28</v>
      </c>
    </row>
    <row r="8" spans="1:20">
      <c r="A8" s="13">
        <v>4</v>
      </c>
      <c r="B8" s="216" t="s">
        <v>202</v>
      </c>
      <c r="C8" s="217"/>
      <c r="D8" s="200">
        <v>0</v>
      </c>
      <c r="E8" s="200">
        <v>0</v>
      </c>
      <c r="F8" s="200">
        <v>2293.5120000000002</v>
      </c>
      <c r="G8" s="201">
        <v>0</v>
      </c>
      <c r="H8" s="201">
        <v>75</v>
      </c>
      <c r="I8" s="10">
        <v>0</v>
      </c>
      <c r="J8" s="11">
        <v>0</v>
      </c>
      <c r="K8" s="11"/>
      <c r="L8" s="193">
        <v>0</v>
      </c>
      <c r="M8" s="193">
        <v>0</v>
      </c>
      <c r="N8" s="193">
        <v>0</v>
      </c>
      <c r="O8" s="193">
        <v>149078.28</v>
      </c>
      <c r="P8" s="193">
        <v>0</v>
      </c>
      <c r="Q8" s="193">
        <v>11250</v>
      </c>
      <c r="R8" s="193">
        <v>0</v>
      </c>
      <c r="S8" s="193">
        <v>0</v>
      </c>
      <c r="T8" s="193">
        <v>160328.28</v>
      </c>
    </row>
    <row r="9" spans="1:20">
      <c r="A9" s="13">
        <v>5</v>
      </c>
      <c r="B9" s="216" t="s">
        <v>203</v>
      </c>
      <c r="C9" s="217"/>
      <c r="D9" s="200">
        <v>0</v>
      </c>
      <c r="E9" s="200">
        <v>0</v>
      </c>
      <c r="F9" s="200">
        <v>2293.5120000000002</v>
      </c>
      <c r="G9" s="201">
        <v>0</v>
      </c>
      <c r="H9" s="201">
        <v>75</v>
      </c>
      <c r="I9" s="10">
        <v>0</v>
      </c>
      <c r="J9" s="11">
        <v>0</v>
      </c>
      <c r="K9" s="11"/>
      <c r="L9" s="193">
        <v>0</v>
      </c>
      <c r="M9" s="193">
        <v>0</v>
      </c>
      <c r="N9" s="193">
        <v>0</v>
      </c>
      <c r="O9" s="193">
        <v>149078.28</v>
      </c>
      <c r="P9" s="193">
        <v>0</v>
      </c>
      <c r="Q9" s="193">
        <v>11250</v>
      </c>
      <c r="R9" s="193">
        <v>0</v>
      </c>
      <c r="S9" s="193">
        <v>0</v>
      </c>
      <c r="T9" s="193">
        <v>160328.28</v>
      </c>
    </row>
    <row r="10" spans="1:20">
      <c r="A10" s="13">
        <v>6</v>
      </c>
      <c r="B10" s="216" t="s">
        <v>204</v>
      </c>
      <c r="C10" s="217"/>
      <c r="D10" s="200">
        <v>0</v>
      </c>
      <c r="E10" s="200">
        <v>0</v>
      </c>
      <c r="F10" s="200">
        <v>2293.5120000000002</v>
      </c>
      <c r="G10" s="201">
        <v>0</v>
      </c>
      <c r="H10" s="201">
        <v>75</v>
      </c>
      <c r="I10" s="10">
        <v>0</v>
      </c>
      <c r="J10" s="11">
        <v>0</v>
      </c>
      <c r="K10" s="11"/>
      <c r="L10" s="193">
        <v>0</v>
      </c>
      <c r="M10" s="193">
        <v>0</v>
      </c>
      <c r="N10" s="193">
        <v>0</v>
      </c>
      <c r="O10" s="193">
        <v>149078.28</v>
      </c>
      <c r="P10" s="193">
        <v>0</v>
      </c>
      <c r="Q10" s="193">
        <v>11250</v>
      </c>
      <c r="R10" s="193">
        <v>0</v>
      </c>
      <c r="S10" s="193">
        <v>0</v>
      </c>
      <c r="T10" s="193">
        <v>160328.28</v>
      </c>
    </row>
    <row r="11" spans="1:20">
      <c r="A11" s="13">
        <v>7</v>
      </c>
      <c r="B11" s="216" t="s">
        <v>205</v>
      </c>
      <c r="C11" s="217"/>
      <c r="D11" s="200">
        <v>0</v>
      </c>
      <c r="E11" s="200">
        <v>0</v>
      </c>
      <c r="F11" s="200">
        <v>2293.5120000000002</v>
      </c>
      <c r="G11" s="201">
        <v>0</v>
      </c>
      <c r="H11" s="201">
        <v>75</v>
      </c>
      <c r="I11" s="10">
        <v>0</v>
      </c>
      <c r="J11" s="11">
        <v>0</v>
      </c>
      <c r="K11" s="11"/>
      <c r="L11" s="193">
        <v>0</v>
      </c>
      <c r="M11" s="193">
        <v>0</v>
      </c>
      <c r="N11" s="193">
        <v>0</v>
      </c>
      <c r="O11" s="193">
        <v>149078.28</v>
      </c>
      <c r="P11" s="193">
        <v>0</v>
      </c>
      <c r="Q11" s="193">
        <v>11250</v>
      </c>
      <c r="R11" s="193">
        <v>0</v>
      </c>
      <c r="S11" s="193">
        <v>0</v>
      </c>
      <c r="T11" s="193">
        <v>160328.28</v>
      </c>
    </row>
    <row r="12" spans="1:20">
      <c r="A12" s="13">
        <v>8</v>
      </c>
      <c r="B12" s="216" t="s">
        <v>206</v>
      </c>
      <c r="C12" s="217"/>
      <c r="D12" s="200">
        <v>0</v>
      </c>
      <c r="E12" s="200">
        <v>0</v>
      </c>
      <c r="F12" s="200">
        <v>2293.5120000000002</v>
      </c>
      <c r="G12" s="201">
        <v>0</v>
      </c>
      <c r="H12" s="201">
        <v>75</v>
      </c>
      <c r="I12" s="10">
        <v>0</v>
      </c>
      <c r="J12" s="11">
        <v>0</v>
      </c>
      <c r="K12" s="11"/>
      <c r="L12" s="193">
        <v>0</v>
      </c>
      <c r="M12" s="193">
        <v>0</v>
      </c>
      <c r="N12" s="193">
        <v>0</v>
      </c>
      <c r="O12" s="193">
        <v>149078.28</v>
      </c>
      <c r="P12" s="193">
        <v>0</v>
      </c>
      <c r="Q12" s="193">
        <v>11250</v>
      </c>
      <c r="R12" s="193">
        <v>0</v>
      </c>
      <c r="S12" s="193">
        <v>0</v>
      </c>
      <c r="T12" s="193">
        <v>160328.28</v>
      </c>
    </row>
    <row r="13" spans="1:20">
      <c r="A13" s="13">
        <v>9</v>
      </c>
      <c r="B13" s="216" t="s">
        <v>207</v>
      </c>
      <c r="C13" s="217"/>
      <c r="D13" s="200">
        <v>0</v>
      </c>
      <c r="E13" s="200">
        <v>0</v>
      </c>
      <c r="F13" s="200">
        <v>2293.5120000000002</v>
      </c>
      <c r="G13" s="201">
        <v>0</v>
      </c>
      <c r="H13" s="201">
        <v>75</v>
      </c>
      <c r="I13" s="10">
        <v>0</v>
      </c>
      <c r="J13" s="11">
        <v>0</v>
      </c>
      <c r="K13" s="11"/>
      <c r="L13" s="193">
        <v>0</v>
      </c>
      <c r="M13" s="193">
        <v>0</v>
      </c>
      <c r="N13" s="193">
        <v>0</v>
      </c>
      <c r="O13" s="193">
        <v>149078.28</v>
      </c>
      <c r="P13" s="193">
        <v>0</v>
      </c>
      <c r="Q13" s="193">
        <v>11250</v>
      </c>
      <c r="R13" s="193">
        <v>0</v>
      </c>
      <c r="S13" s="193">
        <v>0</v>
      </c>
      <c r="T13" s="193">
        <v>160328.28</v>
      </c>
    </row>
    <row r="14" spans="1:20">
      <c r="A14" s="13">
        <v>10</v>
      </c>
      <c r="B14" s="216" t="s">
        <v>208</v>
      </c>
      <c r="C14" s="217"/>
      <c r="D14" s="200">
        <v>0</v>
      </c>
      <c r="E14" s="200">
        <v>0</v>
      </c>
      <c r="F14" s="200">
        <v>2293.5120000000002</v>
      </c>
      <c r="G14" s="201">
        <v>0</v>
      </c>
      <c r="H14" s="201">
        <v>75</v>
      </c>
      <c r="I14" s="10">
        <v>0</v>
      </c>
      <c r="J14" s="11">
        <v>0</v>
      </c>
      <c r="K14" s="11"/>
      <c r="L14" s="193">
        <v>0</v>
      </c>
      <c r="M14" s="193">
        <v>0</v>
      </c>
      <c r="N14" s="193">
        <v>0</v>
      </c>
      <c r="O14" s="193">
        <v>149078.28</v>
      </c>
      <c r="P14" s="193">
        <v>0</v>
      </c>
      <c r="Q14" s="193">
        <v>11250</v>
      </c>
      <c r="R14" s="193">
        <v>0</v>
      </c>
      <c r="S14" s="193">
        <v>0</v>
      </c>
      <c r="T14" s="193">
        <v>160328.28</v>
      </c>
    </row>
    <row r="15" spans="1:20">
      <c r="A15" s="13">
        <v>11</v>
      </c>
      <c r="B15" s="216" t="s">
        <v>209</v>
      </c>
      <c r="C15" s="217"/>
      <c r="D15" s="200">
        <v>0</v>
      </c>
      <c r="E15" s="200">
        <v>0</v>
      </c>
      <c r="F15" s="200">
        <v>2293.5120000000002</v>
      </c>
      <c r="G15" s="201">
        <v>0</v>
      </c>
      <c r="H15" s="201">
        <v>75</v>
      </c>
      <c r="I15" s="10">
        <v>0</v>
      </c>
      <c r="J15" s="11">
        <v>0</v>
      </c>
      <c r="K15" s="11"/>
      <c r="L15" s="193">
        <v>0</v>
      </c>
      <c r="M15" s="193">
        <v>0</v>
      </c>
      <c r="N15" s="193">
        <v>0</v>
      </c>
      <c r="O15" s="193">
        <v>149078.28</v>
      </c>
      <c r="P15" s="193">
        <v>0</v>
      </c>
      <c r="Q15" s="193">
        <v>11250</v>
      </c>
      <c r="R15" s="193">
        <v>0</v>
      </c>
      <c r="S15" s="193">
        <v>0</v>
      </c>
      <c r="T15" s="193">
        <v>160328.28</v>
      </c>
    </row>
    <row r="16" spans="1:20">
      <c r="A16" s="13">
        <v>12</v>
      </c>
      <c r="B16" s="216" t="s">
        <v>210</v>
      </c>
      <c r="C16" s="217"/>
      <c r="D16" s="200">
        <v>0</v>
      </c>
      <c r="E16" s="200">
        <v>0</v>
      </c>
      <c r="F16" s="200">
        <v>2293.5120000000002</v>
      </c>
      <c r="G16" s="201">
        <v>0</v>
      </c>
      <c r="H16" s="201">
        <v>75</v>
      </c>
      <c r="I16" s="10">
        <v>0</v>
      </c>
      <c r="J16" s="11">
        <v>0</v>
      </c>
      <c r="K16" s="16"/>
      <c r="L16" s="193">
        <v>0</v>
      </c>
      <c r="M16" s="193">
        <v>0</v>
      </c>
      <c r="N16" s="193">
        <v>0</v>
      </c>
      <c r="O16" s="193">
        <v>149078.28</v>
      </c>
      <c r="P16" s="193">
        <v>0</v>
      </c>
      <c r="Q16" s="193">
        <v>11250</v>
      </c>
      <c r="R16" s="193">
        <v>0</v>
      </c>
      <c r="S16" s="193">
        <v>0</v>
      </c>
      <c r="T16" s="193">
        <v>160328.28</v>
      </c>
    </row>
    <row r="17" spans="1:20">
      <c r="A17" s="13">
        <v>13</v>
      </c>
      <c r="B17" s="216" t="s">
        <v>211</v>
      </c>
      <c r="C17" s="217"/>
      <c r="D17" s="200">
        <v>0</v>
      </c>
      <c r="E17" s="200">
        <v>0</v>
      </c>
      <c r="F17" s="200">
        <v>2293.5120000000002</v>
      </c>
      <c r="G17" s="201">
        <v>0</v>
      </c>
      <c r="H17" s="201">
        <v>75</v>
      </c>
      <c r="I17" s="10">
        <v>0</v>
      </c>
      <c r="J17" s="11">
        <v>0</v>
      </c>
      <c r="K17" s="11"/>
      <c r="L17" s="193">
        <v>0</v>
      </c>
      <c r="M17" s="193">
        <v>0</v>
      </c>
      <c r="N17" s="193">
        <v>0</v>
      </c>
      <c r="O17" s="193">
        <v>149078.28</v>
      </c>
      <c r="P17" s="193">
        <v>0</v>
      </c>
      <c r="Q17" s="193">
        <v>11250</v>
      </c>
      <c r="R17" s="193">
        <v>0</v>
      </c>
      <c r="S17" s="193">
        <v>0</v>
      </c>
      <c r="T17" s="193">
        <v>160328.28</v>
      </c>
    </row>
    <row r="18" spans="1:20">
      <c r="A18" s="13">
        <v>14</v>
      </c>
      <c r="B18" s="216" t="s">
        <v>212</v>
      </c>
      <c r="C18" s="217"/>
      <c r="D18" s="200">
        <v>0</v>
      </c>
      <c r="E18" s="200">
        <v>0</v>
      </c>
      <c r="F18" s="200">
        <v>2293.5120000000002</v>
      </c>
      <c r="G18" s="201">
        <v>0</v>
      </c>
      <c r="H18" s="201">
        <v>75</v>
      </c>
      <c r="I18" s="10">
        <v>0</v>
      </c>
      <c r="J18" s="11">
        <v>0</v>
      </c>
      <c r="K18" s="11"/>
      <c r="L18" s="193">
        <v>0</v>
      </c>
      <c r="M18" s="193">
        <v>0</v>
      </c>
      <c r="N18" s="193">
        <v>0</v>
      </c>
      <c r="O18" s="193">
        <v>149078.28</v>
      </c>
      <c r="P18" s="193">
        <v>0</v>
      </c>
      <c r="Q18" s="193">
        <v>11250</v>
      </c>
      <c r="R18" s="193">
        <v>0</v>
      </c>
      <c r="S18" s="193">
        <v>0</v>
      </c>
      <c r="T18" s="193">
        <v>160328.28</v>
      </c>
    </row>
    <row r="19" spans="1:20">
      <c r="A19" s="13">
        <v>15</v>
      </c>
      <c r="B19" s="216" t="s">
        <v>213</v>
      </c>
      <c r="C19" s="217"/>
      <c r="D19" s="200">
        <v>0</v>
      </c>
      <c r="E19" s="200">
        <v>0</v>
      </c>
      <c r="F19" s="200">
        <v>2293.5120000000002</v>
      </c>
      <c r="G19" s="201">
        <v>0</v>
      </c>
      <c r="H19" s="201">
        <v>75</v>
      </c>
      <c r="I19" s="10">
        <v>0</v>
      </c>
      <c r="J19" s="11">
        <v>0</v>
      </c>
      <c r="K19" s="11"/>
      <c r="L19" s="193">
        <v>0</v>
      </c>
      <c r="M19" s="193">
        <v>0</v>
      </c>
      <c r="N19" s="193">
        <v>0</v>
      </c>
      <c r="O19" s="193">
        <v>149078.28</v>
      </c>
      <c r="P19" s="193">
        <v>0</v>
      </c>
      <c r="Q19" s="193">
        <v>11250</v>
      </c>
      <c r="R19" s="193">
        <v>0</v>
      </c>
      <c r="S19" s="193">
        <v>0</v>
      </c>
      <c r="T19" s="193">
        <v>160328.28</v>
      </c>
    </row>
    <row r="20" spans="1:20">
      <c r="A20" s="13">
        <v>16</v>
      </c>
      <c r="B20" s="216" t="s">
        <v>214</v>
      </c>
      <c r="C20" s="217"/>
      <c r="D20" s="200">
        <v>0</v>
      </c>
      <c r="E20" s="200">
        <v>0</v>
      </c>
      <c r="F20" s="200">
        <v>2293.5120000000002</v>
      </c>
      <c r="G20" s="201">
        <v>0</v>
      </c>
      <c r="H20" s="201">
        <v>75</v>
      </c>
      <c r="I20" s="10">
        <v>0</v>
      </c>
      <c r="J20" s="11">
        <v>0</v>
      </c>
      <c r="K20" s="11"/>
      <c r="L20" s="193">
        <v>0</v>
      </c>
      <c r="M20" s="193">
        <v>0</v>
      </c>
      <c r="N20" s="193">
        <v>0</v>
      </c>
      <c r="O20" s="193">
        <v>149078.28</v>
      </c>
      <c r="P20" s="193">
        <v>0</v>
      </c>
      <c r="Q20" s="193">
        <v>11250</v>
      </c>
      <c r="R20" s="193">
        <v>0</v>
      </c>
      <c r="S20" s="193">
        <v>0</v>
      </c>
      <c r="T20" s="193">
        <v>160328.28</v>
      </c>
    </row>
    <row r="21" spans="1:20">
      <c r="A21" s="13">
        <v>17</v>
      </c>
      <c r="B21" s="216" t="s">
        <v>215</v>
      </c>
      <c r="C21" s="217"/>
      <c r="D21" s="200">
        <v>0</v>
      </c>
      <c r="E21" s="200">
        <v>0</v>
      </c>
      <c r="F21" s="200">
        <v>2293.5120000000002</v>
      </c>
      <c r="G21" s="201">
        <v>0</v>
      </c>
      <c r="H21" s="201">
        <v>75</v>
      </c>
      <c r="I21" s="10">
        <v>0</v>
      </c>
      <c r="J21" s="11">
        <v>0</v>
      </c>
      <c r="K21" s="11"/>
      <c r="L21" s="193">
        <v>0</v>
      </c>
      <c r="M21" s="193">
        <v>0</v>
      </c>
      <c r="N21" s="193">
        <v>0</v>
      </c>
      <c r="O21" s="193">
        <v>149078.28</v>
      </c>
      <c r="P21" s="193">
        <v>0</v>
      </c>
      <c r="Q21" s="193">
        <v>11250</v>
      </c>
      <c r="R21" s="193">
        <v>0</v>
      </c>
      <c r="S21" s="193">
        <v>0</v>
      </c>
      <c r="T21" s="193">
        <v>160328.28</v>
      </c>
    </row>
    <row r="22" spans="1:20">
      <c r="A22" s="13">
        <v>18</v>
      </c>
      <c r="B22" s="216" t="s">
        <v>216</v>
      </c>
      <c r="C22" s="217"/>
      <c r="D22" s="200">
        <v>0</v>
      </c>
      <c r="E22" s="200">
        <v>0</v>
      </c>
      <c r="F22" s="200">
        <v>2293.5120000000002</v>
      </c>
      <c r="G22" s="201">
        <v>0</v>
      </c>
      <c r="H22" s="201">
        <v>75</v>
      </c>
      <c r="I22" s="10">
        <v>0</v>
      </c>
      <c r="J22" s="11">
        <v>0</v>
      </c>
      <c r="K22" s="11"/>
      <c r="L22" s="193">
        <v>0</v>
      </c>
      <c r="M22" s="193">
        <v>0</v>
      </c>
      <c r="N22" s="193">
        <v>0</v>
      </c>
      <c r="O22" s="193">
        <v>149078.28</v>
      </c>
      <c r="P22" s="193">
        <v>0</v>
      </c>
      <c r="Q22" s="193">
        <v>11250</v>
      </c>
      <c r="R22" s="193">
        <v>0</v>
      </c>
      <c r="S22" s="193">
        <v>0</v>
      </c>
      <c r="T22" s="193">
        <v>160328.28</v>
      </c>
    </row>
    <row r="23" spans="1:20">
      <c r="A23" s="13">
        <v>19</v>
      </c>
      <c r="B23" s="216" t="s">
        <v>217</v>
      </c>
      <c r="C23" s="217"/>
      <c r="D23" s="200">
        <v>0</v>
      </c>
      <c r="E23" s="200">
        <v>0</v>
      </c>
      <c r="F23" s="200">
        <v>2293.5120000000002</v>
      </c>
      <c r="G23" s="201">
        <v>0</v>
      </c>
      <c r="H23" s="201">
        <v>75</v>
      </c>
      <c r="I23" s="10">
        <v>0</v>
      </c>
      <c r="J23" s="11">
        <v>0</v>
      </c>
      <c r="K23" s="11"/>
      <c r="L23" s="193">
        <v>0</v>
      </c>
      <c r="M23" s="193">
        <v>0</v>
      </c>
      <c r="N23" s="193">
        <v>0</v>
      </c>
      <c r="O23" s="193">
        <v>149078.28</v>
      </c>
      <c r="P23" s="193">
        <v>0</v>
      </c>
      <c r="Q23" s="193">
        <v>11250</v>
      </c>
      <c r="R23" s="193">
        <v>0</v>
      </c>
      <c r="S23" s="193">
        <v>0</v>
      </c>
      <c r="T23" s="193">
        <v>160328.28</v>
      </c>
    </row>
    <row r="24" spans="1:20">
      <c r="A24" s="13">
        <v>20</v>
      </c>
      <c r="B24" s="216" t="s">
        <v>218</v>
      </c>
      <c r="C24" s="217"/>
      <c r="D24" s="200">
        <v>29.802</v>
      </c>
      <c r="E24" s="200">
        <v>0</v>
      </c>
      <c r="F24" s="200">
        <v>2323.3139999999999</v>
      </c>
      <c r="G24" s="201">
        <v>0</v>
      </c>
      <c r="H24" s="201">
        <v>45.198</v>
      </c>
      <c r="I24" s="10">
        <v>0</v>
      </c>
      <c r="J24" s="11">
        <v>0</v>
      </c>
      <c r="K24" s="11"/>
      <c r="L24" s="193">
        <v>0</v>
      </c>
      <c r="M24" s="193">
        <v>4470.3</v>
      </c>
      <c r="N24" s="193">
        <v>0</v>
      </c>
      <c r="O24" s="193">
        <v>151015.41</v>
      </c>
      <c r="P24" s="193">
        <v>0</v>
      </c>
      <c r="Q24" s="193">
        <v>6779.7</v>
      </c>
      <c r="R24" s="193">
        <v>0</v>
      </c>
      <c r="S24" s="193">
        <v>0</v>
      </c>
      <c r="T24" s="193">
        <v>162265.41</v>
      </c>
    </row>
    <row r="25" spans="1:20">
      <c r="A25" s="13">
        <v>21</v>
      </c>
      <c r="B25" s="216" t="s">
        <v>219</v>
      </c>
      <c r="C25" s="217"/>
      <c r="D25" s="200">
        <v>0</v>
      </c>
      <c r="E25" s="200">
        <v>0</v>
      </c>
      <c r="F25" s="200">
        <v>2323.3139999999999</v>
      </c>
      <c r="G25" s="201">
        <v>0</v>
      </c>
      <c r="H25" s="201">
        <v>75</v>
      </c>
      <c r="I25" s="10">
        <v>0</v>
      </c>
      <c r="J25" s="11">
        <v>0</v>
      </c>
      <c r="K25" s="11"/>
      <c r="L25" s="193">
        <v>0</v>
      </c>
      <c r="M25" s="193">
        <v>0</v>
      </c>
      <c r="N25" s="193">
        <v>0</v>
      </c>
      <c r="O25" s="193">
        <v>151015.41</v>
      </c>
      <c r="P25" s="193">
        <v>0</v>
      </c>
      <c r="Q25" s="193">
        <v>11250</v>
      </c>
      <c r="R25" s="193">
        <v>0</v>
      </c>
      <c r="S25" s="193">
        <v>0</v>
      </c>
      <c r="T25" s="193">
        <v>162265.41</v>
      </c>
    </row>
    <row r="26" spans="1:20">
      <c r="A26" s="13">
        <v>22</v>
      </c>
      <c r="B26" s="216" t="s">
        <v>220</v>
      </c>
      <c r="C26" s="217"/>
      <c r="D26" s="200">
        <v>50.744</v>
      </c>
      <c r="E26" s="200">
        <v>0</v>
      </c>
      <c r="F26" s="200">
        <v>2374.058</v>
      </c>
      <c r="G26" s="201">
        <v>0</v>
      </c>
      <c r="H26" s="201">
        <v>24.256</v>
      </c>
      <c r="I26" s="10">
        <v>0</v>
      </c>
      <c r="J26" s="11">
        <v>0</v>
      </c>
      <c r="K26" s="11"/>
      <c r="L26" s="193">
        <v>0</v>
      </c>
      <c r="M26" s="193">
        <v>7611.6</v>
      </c>
      <c r="N26" s="193">
        <v>0</v>
      </c>
      <c r="O26" s="193">
        <v>154313.76999999999</v>
      </c>
      <c r="P26" s="193">
        <v>0</v>
      </c>
      <c r="Q26" s="193">
        <v>3638.4</v>
      </c>
      <c r="R26" s="193">
        <v>0</v>
      </c>
      <c r="S26" s="193">
        <v>0</v>
      </c>
      <c r="T26" s="193">
        <v>165563.76999999999</v>
      </c>
    </row>
    <row r="27" spans="1:20">
      <c r="A27" s="13">
        <v>23</v>
      </c>
      <c r="B27" s="216" t="s">
        <v>221</v>
      </c>
      <c r="C27" s="217"/>
      <c r="D27" s="200">
        <v>0</v>
      </c>
      <c r="E27" s="200">
        <v>0</v>
      </c>
      <c r="F27" s="200">
        <v>2374.058</v>
      </c>
      <c r="G27" s="201">
        <v>0</v>
      </c>
      <c r="H27" s="201">
        <v>75</v>
      </c>
      <c r="I27" s="10">
        <v>0</v>
      </c>
      <c r="J27" s="11">
        <v>0</v>
      </c>
      <c r="K27" s="11"/>
      <c r="L27" s="193">
        <v>0</v>
      </c>
      <c r="M27" s="193">
        <v>0</v>
      </c>
      <c r="N27" s="193">
        <v>0</v>
      </c>
      <c r="O27" s="193">
        <v>154313.76999999999</v>
      </c>
      <c r="P27" s="193">
        <v>0</v>
      </c>
      <c r="Q27" s="193">
        <v>11250</v>
      </c>
      <c r="R27" s="193">
        <v>0</v>
      </c>
      <c r="S27" s="193">
        <v>0</v>
      </c>
      <c r="T27" s="193">
        <v>165563.76999999999</v>
      </c>
    </row>
    <row r="28" spans="1:20">
      <c r="A28" s="13">
        <v>24</v>
      </c>
      <c r="B28" s="216" t="s">
        <v>222</v>
      </c>
      <c r="C28" s="217"/>
      <c r="D28" s="200">
        <v>0</v>
      </c>
      <c r="E28" s="200">
        <v>0</v>
      </c>
      <c r="F28" s="200">
        <v>2374.058</v>
      </c>
      <c r="G28" s="201">
        <v>0</v>
      </c>
      <c r="H28" s="201">
        <v>75</v>
      </c>
      <c r="I28" s="10">
        <v>0</v>
      </c>
      <c r="J28" s="11">
        <v>0</v>
      </c>
      <c r="K28" s="11"/>
      <c r="L28" s="193">
        <v>0</v>
      </c>
      <c r="M28" s="193">
        <v>0</v>
      </c>
      <c r="N28" s="193">
        <v>0</v>
      </c>
      <c r="O28" s="193">
        <v>154313.76999999999</v>
      </c>
      <c r="P28" s="193">
        <v>0</v>
      </c>
      <c r="Q28" s="193">
        <v>11250</v>
      </c>
      <c r="R28" s="193">
        <v>0</v>
      </c>
      <c r="S28" s="193">
        <v>0</v>
      </c>
      <c r="T28" s="193">
        <v>165563.76999999999</v>
      </c>
    </row>
    <row r="29" spans="1:20">
      <c r="A29" s="13">
        <v>25</v>
      </c>
      <c r="B29" s="216" t="s">
        <v>223</v>
      </c>
      <c r="C29" s="217"/>
      <c r="D29" s="200">
        <v>0</v>
      </c>
      <c r="E29" s="200">
        <v>0</v>
      </c>
      <c r="F29" s="200">
        <v>2374.058</v>
      </c>
      <c r="G29" s="201">
        <v>0</v>
      </c>
      <c r="H29" s="201">
        <v>75</v>
      </c>
      <c r="I29" s="10">
        <v>0</v>
      </c>
      <c r="J29" s="11">
        <v>0</v>
      </c>
      <c r="K29" s="11"/>
      <c r="L29" s="193">
        <v>0</v>
      </c>
      <c r="M29" s="193">
        <v>0</v>
      </c>
      <c r="N29" s="193">
        <v>0</v>
      </c>
      <c r="O29" s="193">
        <v>154313.76999999999</v>
      </c>
      <c r="P29" s="193">
        <v>0</v>
      </c>
      <c r="Q29" s="193">
        <v>11250</v>
      </c>
      <c r="R29" s="193">
        <v>0</v>
      </c>
      <c r="S29" s="193">
        <v>0</v>
      </c>
      <c r="T29" s="193">
        <v>165563.76999999999</v>
      </c>
    </row>
    <row r="30" spans="1:20">
      <c r="A30" s="13">
        <v>26</v>
      </c>
      <c r="B30" s="216" t="s">
        <v>224</v>
      </c>
      <c r="C30" s="217"/>
      <c r="D30" s="200">
        <v>45.710999999999999</v>
      </c>
      <c r="E30" s="200">
        <v>0</v>
      </c>
      <c r="F30" s="200">
        <v>2419.7689999999998</v>
      </c>
      <c r="G30" s="201">
        <v>0</v>
      </c>
      <c r="H30" s="201">
        <v>29.289000000000001</v>
      </c>
      <c r="I30" s="10">
        <v>0</v>
      </c>
      <c r="J30" s="11">
        <v>0</v>
      </c>
      <c r="K30" s="11"/>
      <c r="L30" s="193">
        <v>0</v>
      </c>
      <c r="M30" s="193">
        <v>6856.65</v>
      </c>
      <c r="N30" s="193">
        <v>0</v>
      </c>
      <c r="O30" s="193">
        <v>157284.99</v>
      </c>
      <c r="P30" s="193">
        <v>0</v>
      </c>
      <c r="Q30" s="193">
        <v>4393.3500000000004</v>
      </c>
      <c r="R30" s="193">
        <v>0</v>
      </c>
      <c r="S30" s="193">
        <v>0</v>
      </c>
      <c r="T30" s="193">
        <v>168534.99</v>
      </c>
    </row>
    <row r="31" spans="1:20">
      <c r="A31" s="13">
        <v>27</v>
      </c>
      <c r="B31" s="216" t="s">
        <v>225</v>
      </c>
      <c r="C31" s="217"/>
      <c r="D31" s="200">
        <v>17.837</v>
      </c>
      <c r="E31" s="200">
        <v>0</v>
      </c>
      <c r="F31" s="200">
        <v>2437.6060000000002</v>
      </c>
      <c r="G31" s="201">
        <v>0</v>
      </c>
      <c r="H31" s="201">
        <v>57.162999999999997</v>
      </c>
      <c r="I31" s="10">
        <v>0</v>
      </c>
      <c r="J31" s="11">
        <v>0</v>
      </c>
      <c r="K31" s="11"/>
      <c r="L31" s="193">
        <v>0</v>
      </c>
      <c r="M31" s="193">
        <v>2675.55</v>
      </c>
      <c r="N31" s="193">
        <v>0</v>
      </c>
      <c r="O31" s="193">
        <v>158444.39000000001</v>
      </c>
      <c r="P31" s="193">
        <v>0</v>
      </c>
      <c r="Q31" s="193">
        <v>8574.4500000000007</v>
      </c>
      <c r="R31" s="193">
        <v>0</v>
      </c>
      <c r="S31" s="193">
        <v>0</v>
      </c>
      <c r="T31" s="193">
        <v>169694.39</v>
      </c>
    </row>
    <row r="32" spans="1:20">
      <c r="A32" s="13">
        <v>28</v>
      </c>
      <c r="B32" s="216" t="s">
        <v>226</v>
      </c>
      <c r="C32" s="217"/>
      <c r="D32" s="200">
        <v>0</v>
      </c>
      <c r="E32" s="200">
        <v>0</v>
      </c>
      <c r="F32" s="200">
        <v>2437.6060000000002</v>
      </c>
      <c r="G32" s="201">
        <v>0</v>
      </c>
      <c r="H32" s="201">
        <v>75</v>
      </c>
      <c r="I32" s="10">
        <v>0</v>
      </c>
      <c r="J32" s="11">
        <v>0</v>
      </c>
      <c r="K32" s="11"/>
      <c r="L32" s="193">
        <v>0</v>
      </c>
      <c r="M32" s="193">
        <v>0</v>
      </c>
      <c r="N32" s="193">
        <v>0</v>
      </c>
      <c r="O32" s="193">
        <v>158444.39000000001</v>
      </c>
      <c r="P32" s="193">
        <v>0</v>
      </c>
      <c r="Q32" s="193">
        <v>11250</v>
      </c>
      <c r="R32" s="193">
        <v>0</v>
      </c>
      <c r="S32" s="193">
        <v>0</v>
      </c>
      <c r="T32" s="193">
        <v>169694.39</v>
      </c>
    </row>
    <row r="33" spans="1:20">
      <c r="A33" s="13">
        <v>29</v>
      </c>
      <c r="B33" s="216" t="s">
        <v>227</v>
      </c>
      <c r="C33" s="217"/>
      <c r="D33" s="200">
        <v>0</v>
      </c>
      <c r="E33" s="200">
        <v>0</v>
      </c>
      <c r="F33" s="200">
        <v>2437.6060000000002</v>
      </c>
      <c r="G33" s="201">
        <v>0</v>
      </c>
      <c r="H33" s="201">
        <v>75</v>
      </c>
      <c r="I33" s="10">
        <v>0</v>
      </c>
      <c r="J33" s="11">
        <v>0</v>
      </c>
      <c r="K33" s="11"/>
      <c r="L33" s="193">
        <v>0</v>
      </c>
      <c r="M33" s="193">
        <v>0</v>
      </c>
      <c r="N33" s="193">
        <v>0</v>
      </c>
      <c r="O33" s="193">
        <v>158444.39000000001</v>
      </c>
      <c r="P33" s="193">
        <v>0</v>
      </c>
      <c r="Q33" s="193">
        <v>11250</v>
      </c>
      <c r="R33" s="193">
        <v>0</v>
      </c>
      <c r="S33" s="193">
        <v>0</v>
      </c>
      <c r="T33" s="193">
        <v>169694.39</v>
      </c>
    </row>
    <row r="34" spans="1:20">
      <c r="A34" s="13">
        <v>30</v>
      </c>
      <c r="B34" s="216" t="s">
        <v>228</v>
      </c>
      <c r="C34" s="217"/>
      <c r="D34" s="200">
        <v>0</v>
      </c>
      <c r="E34" s="200">
        <v>0</v>
      </c>
      <c r="F34" s="200">
        <v>2437.6060000000002</v>
      </c>
      <c r="G34" s="201">
        <v>0</v>
      </c>
      <c r="H34" s="201">
        <v>75</v>
      </c>
      <c r="I34" s="10">
        <v>0</v>
      </c>
      <c r="J34" s="11">
        <v>0</v>
      </c>
      <c r="K34" s="11"/>
      <c r="L34" s="193">
        <v>0</v>
      </c>
      <c r="M34" s="193">
        <v>0</v>
      </c>
      <c r="N34" s="193">
        <v>0</v>
      </c>
      <c r="O34" s="193">
        <v>158444.39000000001</v>
      </c>
      <c r="P34" s="193">
        <v>0</v>
      </c>
      <c r="Q34" s="193">
        <v>11250</v>
      </c>
      <c r="R34" s="193">
        <v>0</v>
      </c>
      <c r="S34" s="193">
        <v>0</v>
      </c>
      <c r="T34" s="193">
        <v>169694.39</v>
      </c>
    </row>
    <row r="35" spans="1:20">
      <c r="A35" s="13">
        <v>31</v>
      </c>
      <c r="B35" s="216" t="s">
        <v>229</v>
      </c>
      <c r="C35" s="217"/>
      <c r="D35" s="200">
        <v>0</v>
      </c>
      <c r="E35" s="200">
        <v>0</v>
      </c>
      <c r="F35" s="200">
        <v>2437.6060000000002</v>
      </c>
      <c r="G35" s="201">
        <v>0</v>
      </c>
      <c r="H35" s="201">
        <v>75</v>
      </c>
      <c r="I35" s="10">
        <v>0</v>
      </c>
      <c r="J35" s="11">
        <v>0</v>
      </c>
      <c r="K35" s="11"/>
      <c r="L35" s="193">
        <v>0</v>
      </c>
      <c r="M35" s="193">
        <v>0</v>
      </c>
      <c r="N35" s="193">
        <v>0</v>
      </c>
      <c r="O35" s="193">
        <v>158444.39000000001</v>
      </c>
      <c r="P35" s="193">
        <v>0</v>
      </c>
      <c r="Q35" s="193">
        <v>11250</v>
      </c>
      <c r="R35" s="193">
        <v>0</v>
      </c>
      <c r="S35" s="193">
        <v>0</v>
      </c>
      <c r="T35" s="193">
        <v>169694.39</v>
      </c>
    </row>
    <row r="36" spans="1:20">
      <c r="D36" s="18">
        <v>144.09399999999999</v>
      </c>
      <c r="E36" s="18">
        <v>0</v>
      </c>
      <c r="F36" s="18">
        <v>72327.386999999988</v>
      </c>
      <c r="G36" s="18">
        <v>0</v>
      </c>
      <c r="H36" s="18">
        <v>2180.9059999999999</v>
      </c>
      <c r="I36" s="18">
        <v>0</v>
      </c>
      <c r="J36" s="19">
        <v>0</v>
      </c>
      <c r="K36" s="19">
        <v>0</v>
      </c>
      <c r="L36" s="194">
        <v>0</v>
      </c>
      <c r="M36" s="194">
        <v>21614.1</v>
      </c>
      <c r="N36" s="194">
        <v>0</v>
      </c>
      <c r="O36" s="194">
        <v>4701280.16</v>
      </c>
      <c r="P36" s="194">
        <v>0</v>
      </c>
      <c r="Q36" s="194">
        <v>327135.90000000002</v>
      </c>
      <c r="R36" s="194">
        <v>0</v>
      </c>
      <c r="S36" s="194">
        <v>0</v>
      </c>
      <c r="T36" s="194">
        <v>5050030.16</v>
      </c>
    </row>
    <row r="37" spans="1:20">
      <c r="R37" s="21"/>
      <c r="S37" s="21"/>
      <c r="T37" s="195">
        <v>6161036.79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C5D6-8114-44F7-8C3B-79941E47187C}">
  <sheetPr codeName="Лист50"/>
  <dimension ref="A1:A29"/>
  <sheetViews>
    <sheetView workbookViewId="0">
      <selection activeCell="H15" sqref="H15"/>
    </sheetView>
  </sheetViews>
  <sheetFormatPr defaultRowHeight="15"/>
  <cols>
    <col min="1" max="1" width="10.5" style="2" bestFit="1" customWidth="1"/>
    <col min="2" max="16384" width="8.796875" style="2"/>
  </cols>
  <sheetData>
    <row r="1" spans="1:1">
      <c r="A1" s="115">
        <v>46023</v>
      </c>
    </row>
    <row r="2" spans="1:1">
      <c r="A2" s="115">
        <v>46024</v>
      </c>
    </row>
    <row r="3" spans="1:1">
      <c r="A3" s="115">
        <v>46025</v>
      </c>
    </row>
    <row r="4" spans="1:1">
      <c r="A4" s="115">
        <v>46026</v>
      </c>
    </row>
    <row r="5" spans="1:1">
      <c r="A5" s="115">
        <v>46027</v>
      </c>
    </row>
    <row r="6" spans="1:1">
      <c r="A6" s="115">
        <v>46028</v>
      </c>
    </row>
    <row r="7" spans="1:1">
      <c r="A7" s="115">
        <v>46029</v>
      </c>
    </row>
    <row r="8" spans="1:1">
      <c r="A8" s="115">
        <v>46030</v>
      </c>
    </row>
    <row r="9" spans="1:1">
      <c r="A9" s="115">
        <v>46031</v>
      </c>
    </row>
    <row r="10" spans="1:1">
      <c r="A10" s="115">
        <v>46032</v>
      </c>
    </row>
    <row r="11" spans="1:1">
      <c r="A11" s="115">
        <v>46033</v>
      </c>
    </row>
    <row r="12" spans="1:1">
      <c r="A12" s="115">
        <v>46076</v>
      </c>
    </row>
    <row r="13" spans="1:1">
      <c r="A13" s="115">
        <v>46090</v>
      </c>
    </row>
    <row r="14" spans="1:1">
      <c r="A14" s="115">
        <v>46143</v>
      </c>
    </row>
    <row r="15" spans="1:1">
      <c r="A15" s="115">
        <v>46153</v>
      </c>
    </row>
    <row r="16" spans="1:1">
      <c r="A16" s="115">
        <v>46185</v>
      </c>
    </row>
    <row r="17" spans="1:1">
      <c r="A17" s="115">
        <v>46330</v>
      </c>
    </row>
    <row r="18" spans="1:1">
      <c r="A18" s="115">
        <v>46387</v>
      </c>
    </row>
    <row r="19" spans="1:1">
      <c r="A19" s="115"/>
    </row>
    <row r="20" spans="1:1">
      <c r="A20" s="115"/>
    </row>
    <row r="21" spans="1:1">
      <c r="A21" s="115"/>
    </row>
    <row r="22" spans="1:1">
      <c r="A22" s="115"/>
    </row>
    <row r="23" spans="1:1">
      <c r="A23" s="115"/>
    </row>
    <row r="24" spans="1:1">
      <c r="A24" s="115"/>
    </row>
    <row r="25" spans="1:1">
      <c r="A25" s="115"/>
    </row>
    <row r="26" spans="1:1">
      <c r="A26" s="115"/>
    </row>
    <row r="27" spans="1:1">
      <c r="A27" s="115"/>
    </row>
    <row r="28" spans="1:1">
      <c r="A28" s="115"/>
    </row>
    <row r="29" spans="1:1">
      <c r="A29" s="115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86A9-DFED-44CB-A487-181EF83B2CDD}">
  <sheetPr codeName="Лист51"/>
  <dimension ref="A3:F26"/>
  <sheetViews>
    <sheetView workbookViewId="0">
      <selection activeCell="A8" sqref="A8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6" t="str">
        <f ca="1">"Акт  №    от  " &amp; TEXT(TODAY()-DAY(TODAY()), "ДД ММММ ГГГГ")</f>
        <v>Акт  №    от  31 Март 2026</v>
      </c>
    </row>
    <row r="4" spans="1:6">
      <c r="A4" s="21" t="str">
        <f ca="1">"выполненных работ (оказанных услуг) за " &amp; TEXT(TODAY()-DAY(TODAY()),"ММММ ГГГГ")</f>
        <v>выполненных работ (оказанных услуг) за Март 2026</v>
      </c>
      <c r="B4" s="21"/>
      <c r="C4" s="21"/>
    </row>
    <row r="5" spans="1:6">
      <c r="A5" s="21" t="s">
        <v>117</v>
      </c>
      <c r="B5" s="21"/>
      <c r="C5" s="21"/>
    </row>
    <row r="6" spans="1:6">
      <c r="A6" s="2" t="s">
        <v>118</v>
      </c>
    </row>
    <row r="7" spans="1:6">
      <c r="A7" s="2" t="str">
        <f ca="1">IF(DAY(TODAY())&gt;27,
"Во исполнение Договора в период с 01 " &amp;
TEXT(TODAY(),"ММММ ГГГГ") &amp;
" г. по " &amp;
TEXT(EOMONTH(TODAY(),0),"ДД ММММ ГГГГ") &amp;
" г. ХРАНИТЕЛЬ оказал ПОКЛАЖЕДАТЕЛЮ следующие услуги (работы):",
"Во исполнение Договора в период с 01 " &amp;
TEXT(EOMONTH(TODAY(),-1),"ММММ ГГГГ") &amp;
" г. по " &amp;
TEXT(EOMONTH(TODAY(),-1),"ДД ММММ ГГГГ") &amp;
" г. ХРАНИТЕЛЬ оказал ПОКЛАЖЕДАТЕЛЮ следующие услуги (работы):")</f>
        <v>Во исполнение Договора в период с 01 Март 2026 г. по 31 Март 2026 г. ХРАНИТЕЛЬ оказал ПОКЛАЖЕДАТЕЛЮ следующие услуги (работы):</v>
      </c>
    </row>
    <row r="9" spans="1:6">
      <c r="A9" s="78" t="s">
        <v>0</v>
      </c>
      <c r="B9" s="78" t="s">
        <v>78</v>
      </c>
      <c r="C9" s="78" t="s">
        <v>79</v>
      </c>
      <c r="D9" s="78" t="s">
        <v>80</v>
      </c>
      <c r="E9" s="78" t="s">
        <v>81</v>
      </c>
      <c r="F9" s="78" t="s">
        <v>82</v>
      </c>
    </row>
    <row r="10" spans="1:6">
      <c r="A10" s="79">
        <v>1</v>
      </c>
      <c r="B10" s="78" t="s">
        <v>119</v>
      </c>
      <c r="C10" s="79" t="s">
        <v>120</v>
      </c>
      <c r="D10" s="109">
        <f>'[1]РВ Березовая Пойма'!S2</f>
        <v>1279.04</v>
      </c>
      <c r="E10" s="110">
        <v>150</v>
      </c>
      <c r="F10" s="110">
        <f>D10*E10</f>
        <v>191856</v>
      </c>
    </row>
    <row r="11" spans="1:6">
      <c r="A11" s="79">
        <v>2</v>
      </c>
      <c r="B11" s="78" t="s">
        <v>121</v>
      </c>
      <c r="C11" s="6" t="s">
        <v>120</v>
      </c>
      <c r="D11" s="111">
        <f>'[1]РВ Березовая Пойма'!R2</f>
        <v>4919.6899999999996</v>
      </c>
      <c r="E11" s="110">
        <v>225</v>
      </c>
      <c r="F11" s="110">
        <f t="shared" ref="F11:F15" si="0">D11*E11</f>
        <v>1106930.25</v>
      </c>
    </row>
    <row r="12" spans="1:6">
      <c r="A12" s="79">
        <v>3</v>
      </c>
      <c r="B12" s="112" t="s">
        <v>122</v>
      </c>
      <c r="C12" s="6" t="s">
        <v>120</v>
      </c>
      <c r="D12" s="111">
        <v>0</v>
      </c>
      <c r="E12" s="110">
        <v>225</v>
      </c>
      <c r="F12" s="110">
        <f t="shared" si="0"/>
        <v>0</v>
      </c>
    </row>
    <row r="13" spans="1:6">
      <c r="A13" s="79">
        <v>4</v>
      </c>
      <c r="B13" s="112" t="s">
        <v>123</v>
      </c>
      <c r="C13" s="6" t="s">
        <v>120</v>
      </c>
      <c r="D13" s="111">
        <f>'[1]РВ Березовая Пойма'!R3</f>
        <v>1020.6650000000001</v>
      </c>
      <c r="E13" s="110">
        <v>225</v>
      </c>
      <c r="F13" s="110">
        <f t="shared" si="0"/>
        <v>229649.62500000003</v>
      </c>
    </row>
    <row r="14" spans="1:6">
      <c r="A14" s="79">
        <v>5</v>
      </c>
      <c r="B14" s="113" t="s">
        <v>124</v>
      </c>
      <c r="C14" s="6" t="s">
        <v>120</v>
      </c>
      <c r="D14" s="111">
        <f>'[1]РВ Березовая Пойма'!S3</f>
        <v>1388.0800000000002</v>
      </c>
      <c r="E14" s="110">
        <v>150</v>
      </c>
      <c r="F14" s="110">
        <f t="shared" si="0"/>
        <v>208212.00000000003</v>
      </c>
    </row>
    <row r="15" spans="1:6">
      <c r="A15" s="79">
        <v>6</v>
      </c>
      <c r="B15" s="112" t="s">
        <v>125</v>
      </c>
      <c r="C15" s="6" t="s">
        <v>120</v>
      </c>
      <c r="D15" s="111">
        <f>'[1]РВ Березовая Пойма'!G37</f>
        <v>143700.66</v>
      </c>
      <c r="E15" s="114">
        <v>15</v>
      </c>
      <c r="F15" s="110">
        <f t="shared" si="0"/>
        <v>2155509.9</v>
      </c>
    </row>
    <row r="16" spans="1:6">
      <c r="A16" s="79"/>
      <c r="B16" s="112"/>
      <c r="C16" s="6"/>
      <c r="D16" s="111"/>
      <c r="E16" s="114"/>
      <c r="F16" s="110"/>
    </row>
    <row r="17" spans="1:6">
      <c r="A17" s="2" t="s">
        <v>83</v>
      </c>
      <c r="F17" s="110">
        <f>SUM(F10:F16)</f>
        <v>3892157.7749999999</v>
      </c>
    </row>
    <row r="18" spans="1:6">
      <c r="A18" s="2" t="s">
        <v>84</v>
      </c>
      <c r="F18" s="110">
        <f>SUM(F17)</f>
        <v>3892157.7749999999</v>
      </c>
    </row>
    <row r="19" spans="1:6">
      <c r="A19" s="2" t="s">
        <v>85</v>
      </c>
      <c r="F19" s="110">
        <f>SUM(F18)*1.22</f>
        <v>4748432.4854999995</v>
      </c>
    </row>
    <row r="20" spans="1:6">
      <c r="A20" s="2" t="s">
        <v>86</v>
      </c>
    </row>
    <row r="21" spans="1:6">
      <c r="A21" s="2" t="s">
        <v>87</v>
      </c>
    </row>
    <row r="24" spans="1:6">
      <c r="A24" s="2" t="s">
        <v>89</v>
      </c>
      <c r="D24" s="2" t="s">
        <v>128</v>
      </c>
    </row>
    <row r="26" spans="1:6">
      <c r="A26" s="2" t="s">
        <v>129</v>
      </c>
      <c r="D26" s="2" t="s">
        <v>93</v>
      </c>
    </row>
  </sheetData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69D0-7894-4618-876F-306E004D01CB}">
  <sheetPr codeName="Лист52"/>
  <dimension ref="A3:F26"/>
  <sheetViews>
    <sheetView workbookViewId="0">
      <selection activeCell="A8" sqref="A8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6" t="str">
        <f ca="1">"Акт  №    от  " &amp; TEXT(TODAY()-DAY(TODAY()), "ДД ММММ ГГГГ")</f>
        <v>Акт  №    от  31 Март 2026</v>
      </c>
    </row>
    <row r="4" spans="1:6">
      <c r="A4" s="21" t="str">
        <f ca="1">"выполненных работ (оказанных услуг) за " &amp; TEXT(TODAY()-DAY(TODAY()),"ММММ ГГГГ")</f>
        <v>выполненных работ (оказанных услуг) за Март 2026</v>
      </c>
      <c r="B4" s="21"/>
      <c r="C4" s="21"/>
    </row>
    <row r="5" spans="1:6">
      <c r="A5" s="21" t="s">
        <v>117</v>
      </c>
      <c r="B5" s="21"/>
      <c r="C5" s="21"/>
    </row>
    <row r="6" spans="1:6">
      <c r="A6" s="2" t="s">
        <v>118</v>
      </c>
    </row>
    <row r="7" spans="1:6">
      <c r="A7" s="2" t="str">
        <f ca="1">IF(DAY(TODAY())&gt;27,
"Во исполнение Договора в период с 01 " &amp;
TEXT(TODAY(),"ММММ ГГГГ") &amp;
" г. по " &amp;
TEXT(EOMONTH(TODAY(),0),"ДД ММММ ГГГГ") &amp;
" г. ХРАНИТЕЛЬ оказал ПОКЛАЖЕДАТЕЛЮ следующие услуги (работы):",
"Во исполнение Договора в период с 01 " &amp;
TEXT(EOMONTH(TODAY(),-1),"ММММ ГГГГ") &amp;
" г. по " &amp;
TEXT(EOMONTH(TODAY(),-1),"ДД ММММ ГГГГ") &amp;
" г. ХРАНИТЕЛЬ оказал ПОКЛАЖЕДАТЕЛЮ следующие услуги (работы):")</f>
        <v>Во исполнение Договора в период с 01 Март 2026 г. по 31 Март 2026 г. ХРАНИТЕЛЬ оказал ПОКЛАЖЕДАТЕЛЮ следующие услуги (работы):</v>
      </c>
    </row>
    <row r="9" spans="1:6">
      <c r="A9" s="78" t="s">
        <v>0</v>
      </c>
      <c r="B9" s="78" t="s">
        <v>78</v>
      </c>
      <c r="C9" s="78" t="s">
        <v>79</v>
      </c>
      <c r="D9" s="78" t="s">
        <v>80</v>
      </c>
      <c r="E9" s="78" t="s">
        <v>81</v>
      </c>
      <c r="F9" s="78" t="s">
        <v>82</v>
      </c>
    </row>
    <row r="10" spans="1:6">
      <c r="A10" s="79">
        <v>1</v>
      </c>
      <c r="B10" s="78" t="s">
        <v>119</v>
      </c>
      <c r="C10" s="79" t="s">
        <v>120</v>
      </c>
      <c r="D10" s="109">
        <f>'[1]РВ Новикова-Прибоя'!S2</f>
        <v>1212.07</v>
      </c>
      <c r="E10" s="110">
        <v>150</v>
      </c>
      <c r="F10" s="110">
        <f>D10*E10</f>
        <v>181810.5</v>
      </c>
    </row>
    <row r="11" spans="1:6">
      <c r="A11" s="79">
        <v>2</v>
      </c>
      <c r="B11" s="78" t="s">
        <v>121</v>
      </c>
      <c r="C11" s="6" t="s">
        <v>120</v>
      </c>
      <c r="D11" s="111">
        <f>'[1]РВ Новикова-Прибоя'!R2</f>
        <v>110.23</v>
      </c>
      <c r="E11" s="110">
        <v>225</v>
      </c>
      <c r="F11" s="110">
        <f t="shared" ref="F11:F15" si="0">D11*E11</f>
        <v>24801.75</v>
      </c>
    </row>
    <row r="12" spans="1:6">
      <c r="A12" s="79">
        <v>3</v>
      </c>
      <c r="B12" s="112" t="s">
        <v>122</v>
      </c>
      <c r="C12" s="6" t="s">
        <v>120</v>
      </c>
      <c r="D12" s="111">
        <v>0</v>
      </c>
      <c r="E12" s="110">
        <v>225</v>
      </c>
      <c r="F12" s="110">
        <f t="shared" si="0"/>
        <v>0</v>
      </c>
    </row>
    <row r="13" spans="1:6">
      <c r="A13" s="79">
        <v>4</v>
      </c>
      <c r="B13" s="112" t="s">
        <v>123</v>
      </c>
      <c r="C13" s="6" t="s">
        <v>120</v>
      </c>
      <c r="D13" s="111">
        <f>'[1]РВ Новикова-Прибоя'!R3</f>
        <v>82.474999999999994</v>
      </c>
      <c r="E13" s="110">
        <v>225</v>
      </c>
      <c r="F13" s="110">
        <f t="shared" si="0"/>
        <v>18556.875</v>
      </c>
    </row>
    <row r="14" spans="1:6">
      <c r="A14" s="79">
        <v>5</v>
      </c>
      <c r="B14" s="113" t="s">
        <v>124</v>
      </c>
      <c r="C14" s="6" t="s">
        <v>120</v>
      </c>
      <c r="D14" s="111">
        <f>'[1]РВ Новикова-Прибоя'!S3</f>
        <v>88</v>
      </c>
      <c r="E14" s="110">
        <v>150</v>
      </c>
      <c r="F14" s="110">
        <f t="shared" si="0"/>
        <v>13200</v>
      </c>
    </row>
    <row r="15" spans="1:6">
      <c r="A15" s="79">
        <v>6</v>
      </c>
      <c r="B15" s="112" t="s">
        <v>125</v>
      </c>
      <c r="C15" s="6" t="s">
        <v>120</v>
      </c>
      <c r="D15" s="111">
        <f>'[1]РВ Новикова-Прибоя'!G37</f>
        <v>28317.590000000011</v>
      </c>
      <c r="E15" s="114">
        <v>15</v>
      </c>
      <c r="F15" s="110">
        <f t="shared" si="0"/>
        <v>424763.85000000015</v>
      </c>
    </row>
    <row r="16" spans="1:6">
      <c r="A16" s="79"/>
      <c r="B16" s="112"/>
      <c r="C16" s="6"/>
      <c r="D16" s="111"/>
      <c r="E16" s="114"/>
      <c r="F16" s="110"/>
    </row>
    <row r="17" spans="1:6">
      <c r="A17" s="2" t="s">
        <v>83</v>
      </c>
      <c r="F17" s="110">
        <f>SUM(F10:F16)</f>
        <v>663132.97500000009</v>
      </c>
    </row>
    <row r="18" spans="1:6">
      <c r="A18" s="2" t="s">
        <v>84</v>
      </c>
      <c r="F18" s="110">
        <f>SUM(F17)</f>
        <v>663132.97500000009</v>
      </c>
    </row>
    <row r="19" spans="1:6">
      <c r="A19" s="2" t="s">
        <v>85</v>
      </c>
      <c r="F19" s="110">
        <f>SUM(F18)*1.22</f>
        <v>809022.22950000013</v>
      </c>
    </row>
    <row r="20" spans="1:6">
      <c r="A20" s="2" t="s">
        <v>86</v>
      </c>
    </row>
    <row r="21" spans="1:6">
      <c r="A21" s="2" t="s">
        <v>87</v>
      </c>
    </row>
    <row r="24" spans="1:6">
      <c r="A24" s="2" t="s">
        <v>89</v>
      </c>
      <c r="D24" s="2" t="s">
        <v>128</v>
      </c>
    </row>
    <row r="26" spans="1:6">
      <c r="A26" s="2" t="s">
        <v>129</v>
      </c>
      <c r="D26" s="2" t="s">
        <v>93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9BC1-300D-41A3-8885-F50D5D948F06}">
  <sheetPr codeName="Лист53"/>
  <dimension ref="A3:F27"/>
  <sheetViews>
    <sheetView workbookViewId="0">
      <selection activeCell="A8" sqref="A8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6" t="str">
        <f ca="1">"Акт  №    от  " &amp; TEXT(TODAY()-DAY(TODAY()), "ДД ММММ ГГГГ")</f>
        <v>Акт  №    от  31 Март 2026</v>
      </c>
    </row>
    <row r="4" spans="1:6">
      <c r="A4" s="21" t="str">
        <f ca="1">"выполненных работ (оказанных услуг) за " &amp; TEXT(TODAY()-DAY(TODAY()),"ММММ ГГГГ")</f>
        <v>выполненных работ (оказанных услуг) за Март 2026</v>
      </c>
      <c r="B4" s="21"/>
      <c r="C4" s="21"/>
    </row>
    <row r="5" spans="1:6">
      <c r="A5" s="21" t="s">
        <v>117</v>
      </c>
      <c r="B5" s="21"/>
      <c r="C5" s="21"/>
    </row>
    <row r="6" spans="1:6">
      <c r="A6" s="2" t="s">
        <v>118</v>
      </c>
    </row>
    <row r="7" spans="1:6">
      <c r="A7" s="2" t="str">
        <f ca="1">IF(DAY(TODAY())&gt;27,
"Во исполнение Договора в период с 01 " &amp;
TEXT(TODAY(),"ММММ ГГГГ") &amp;
" г. по " &amp;
TEXT(EOMONTH(TODAY(),0),"ДД ММММ ГГГГ") &amp;
" г. ХРАНИТЕЛЬ оказал ПОКЛАЖЕДАТЕЛЮ следующие услуги (работы):",
"Во исполнение Договора в период с 01 " &amp;
TEXT(EOMONTH(TODAY(),-1),"ММММ ГГГГ") &amp;
" г. по " &amp;
TEXT(EOMONTH(TODAY(),-1),"ДД ММММ ГГГГ") &amp;
" г. ХРАНИТЕЛЬ оказал ПОКЛАЖЕДАТЕЛЮ следующие услуги (работы):")</f>
        <v>Во исполнение Договора в период с 01 Март 2026 г. по 31 Март 2026 г. ХРАНИТЕЛЬ оказал ПОКЛАЖЕДАТЕЛЮ следующие услуги (работы):</v>
      </c>
    </row>
    <row r="9" spans="1:6">
      <c r="A9" s="78" t="s">
        <v>0</v>
      </c>
      <c r="B9" s="78" t="s">
        <v>78</v>
      </c>
      <c r="C9" s="78" t="s">
        <v>79</v>
      </c>
      <c r="D9" s="78" t="s">
        <v>80</v>
      </c>
      <c r="E9" s="78" t="s">
        <v>81</v>
      </c>
      <c r="F9" s="78" t="s">
        <v>82</v>
      </c>
    </row>
    <row r="10" spans="1:6">
      <c r="A10" s="79">
        <v>1</v>
      </c>
      <c r="B10" s="78" t="s">
        <v>119</v>
      </c>
      <c r="C10" s="79" t="s">
        <v>120</v>
      </c>
      <c r="D10" s="109">
        <f>'[1]РВ Баумана'!S2</f>
        <v>0</v>
      </c>
      <c r="E10" s="110">
        <v>150</v>
      </c>
      <c r="F10" s="110">
        <f>D10*E10</f>
        <v>0</v>
      </c>
    </row>
    <row r="11" spans="1:6">
      <c r="A11" s="79">
        <v>2</v>
      </c>
      <c r="B11" s="78" t="s">
        <v>121</v>
      </c>
      <c r="C11" s="6" t="s">
        <v>120</v>
      </c>
      <c r="D11" s="111">
        <f>'[1]РВ Баумана'!R2</f>
        <v>0</v>
      </c>
      <c r="E11" s="110">
        <v>225</v>
      </c>
      <c r="F11" s="110">
        <f t="shared" ref="F11:F17" si="0">D11*E11</f>
        <v>0</v>
      </c>
    </row>
    <row r="12" spans="1:6">
      <c r="A12" s="79">
        <v>3</v>
      </c>
      <c r="B12" s="112" t="s">
        <v>122</v>
      </c>
      <c r="C12" s="6" t="s">
        <v>120</v>
      </c>
      <c r="D12" s="111">
        <v>0</v>
      </c>
      <c r="E12" s="110">
        <v>225</v>
      </c>
      <c r="F12" s="110">
        <f t="shared" si="0"/>
        <v>0</v>
      </c>
    </row>
    <row r="13" spans="1:6">
      <c r="A13" s="79">
        <v>4</v>
      </c>
      <c r="B13" s="112" t="s">
        <v>123</v>
      </c>
      <c r="C13" s="6" t="s">
        <v>120</v>
      </c>
      <c r="D13" s="111">
        <f>'[1]РВ Баумана'!R3</f>
        <v>60.5</v>
      </c>
      <c r="E13" s="110">
        <v>225</v>
      </c>
      <c r="F13" s="110">
        <f t="shared" si="0"/>
        <v>13612.5</v>
      </c>
    </row>
    <row r="14" spans="1:6">
      <c r="A14" s="79">
        <v>5</v>
      </c>
      <c r="B14" s="113" t="s">
        <v>124</v>
      </c>
      <c r="C14" s="6" t="s">
        <v>120</v>
      </c>
      <c r="D14" s="111">
        <f>'[1]РВ Баумана'!S3</f>
        <v>21.375</v>
      </c>
      <c r="E14" s="110">
        <v>150</v>
      </c>
      <c r="F14" s="110">
        <f t="shared" si="0"/>
        <v>3206.25</v>
      </c>
    </row>
    <row r="15" spans="1:6">
      <c r="A15" s="79">
        <v>6</v>
      </c>
      <c r="B15" s="112" t="s">
        <v>125</v>
      </c>
      <c r="C15" s="6" t="s">
        <v>120</v>
      </c>
      <c r="D15" s="111">
        <f>'[1]РВ Баумана'!G37</f>
        <v>26622.849999999988</v>
      </c>
      <c r="E15" s="114">
        <v>15</v>
      </c>
      <c r="F15" s="110">
        <f t="shared" si="0"/>
        <v>399342.74999999983</v>
      </c>
    </row>
    <row r="16" spans="1:6">
      <c r="A16" s="79">
        <v>8</v>
      </c>
      <c r="B16" s="112" t="s">
        <v>126</v>
      </c>
      <c r="C16" s="6" t="s">
        <v>120</v>
      </c>
      <c r="D16" s="111">
        <f>[1]Резерв!G37</f>
        <v>51605.744999999981</v>
      </c>
      <c r="E16" s="114">
        <v>15</v>
      </c>
      <c r="F16" s="110">
        <f t="shared" si="0"/>
        <v>774086.1749999997</v>
      </c>
    </row>
    <row r="17" spans="1:6">
      <c r="A17" s="79">
        <v>9</v>
      </c>
      <c r="B17" s="112" t="s">
        <v>127</v>
      </c>
      <c r="C17" s="6" t="s">
        <v>120</v>
      </c>
      <c r="D17" s="111">
        <v>0</v>
      </c>
      <c r="E17" s="114">
        <v>150</v>
      </c>
      <c r="F17" s="110">
        <f t="shared" si="0"/>
        <v>0</v>
      </c>
    </row>
    <row r="18" spans="1:6">
      <c r="A18" s="2" t="s">
        <v>83</v>
      </c>
      <c r="F18" s="110">
        <f>SUM(F10:F17)</f>
        <v>1190247.6749999996</v>
      </c>
    </row>
    <row r="19" spans="1:6">
      <c r="A19" s="2" t="s">
        <v>84</v>
      </c>
      <c r="F19" s="110">
        <f>F18</f>
        <v>1190247.6749999996</v>
      </c>
    </row>
    <row r="20" spans="1:6">
      <c r="A20" s="2" t="s">
        <v>85</v>
      </c>
      <c r="F20" s="110">
        <f>F19*1.22</f>
        <v>1452102.1634999996</v>
      </c>
    </row>
    <row r="21" spans="1:6">
      <c r="A21" s="2" t="s">
        <v>86</v>
      </c>
    </row>
    <row r="22" spans="1:6">
      <c r="A22" s="2" t="s">
        <v>87</v>
      </c>
    </row>
    <row r="25" spans="1:6">
      <c r="A25" s="2" t="s">
        <v>89</v>
      </c>
      <c r="D25" s="2" t="s">
        <v>128</v>
      </c>
    </row>
    <row r="27" spans="1:6">
      <c r="A27" s="2" t="s">
        <v>129</v>
      </c>
      <c r="D27" s="2" t="s">
        <v>93</v>
      </c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5B11-EF29-4401-AF79-4E8D09442C0E}">
  <sheetPr codeName="Лист54"/>
  <dimension ref="A1:S40"/>
  <sheetViews>
    <sheetView workbookViewId="0">
      <selection activeCell="M6" sqref="M6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9.6992187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8"/>
      <c r="Q1" s="78"/>
      <c r="R1" s="78" t="s">
        <v>106</v>
      </c>
      <c r="S1" s="78" t="s">
        <v>107</v>
      </c>
    </row>
    <row r="2" spans="1:19">
      <c r="M2" s="88"/>
      <c r="Q2" s="78" t="s">
        <v>108</v>
      </c>
      <c r="R2" s="78">
        <f>SUMIF($P$6:$P$36,R$1,$C6:$C36)</f>
        <v>0</v>
      </c>
      <c r="S2" s="78">
        <f>SUMIF($P$6:$P$36,S$1,$C6:$C36)</f>
        <v>0</v>
      </c>
    </row>
    <row r="3" spans="1:19" ht="21">
      <c r="A3" s="76" t="str">
        <f>"Отчет по хранению  товара  РВ " &amp; TEXT(A6,"ММММ ") &amp; YEAR(A6) &amp; " Окская Мешки"</f>
        <v>Отчет по хранению  товара  РВ Ноябрь 2024 Окская Мешки</v>
      </c>
      <c r="G3" s="88"/>
      <c r="M3" s="88"/>
      <c r="Q3" s="78" t="s">
        <v>96</v>
      </c>
      <c r="R3" s="78">
        <f>SUMIF($P$6:$P$36,R$1,$D6:$D36)</f>
        <v>0</v>
      </c>
      <c r="S3" s="78">
        <f>SUMIF($P$6:$P$36,S$1,$D6:$D36)</f>
        <v>0</v>
      </c>
    </row>
    <row r="4" spans="1:19">
      <c r="A4" s="211" t="s">
        <v>1</v>
      </c>
      <c r="B4" s="212"/>
      <c r="C4" s="209" t="s">
        <v>109</v>
      </c>
      <c r="D4" s="209" t="s">
        <v>110</v>
      </c>
      <c r="E4" s="209" t="s">
        <v>111</v>
      </c>
      <c r="F4" s="209" t="s">
        <v>112</v>
      </c>
      <c r="G4" s="100" t="s">
        <v>4</v>
      </c>
      <c r="H4" s="209" t="s">
        <v>7</v>
      </c>
      <c r="I4" s="209" t="s">
        <v>11</v>
      </c>
      <c r="J4" s="209" t="s">
        <v>12</v>
      </c>
      <c r="K4" s="209" t="s">
        <v>113</v>
      </c>
      <c r="L4" s="209" t="s">
        <v>114</v>
      </c>
      <c r="M4" s="235" t="s">
        <v>13</v>
      </c>
      <c r="N4" s="209" t="s">
        <v>16</v>
      </c>
      <c r="O4" s="209" t="s">
        <v>18</v>
      </c>
    </row>
    <row r="5" spans="1:19" ht="30">
      <c r="A5" s="213"/>
      <c r="B5" s="214"/>
      <c r="C5" s="210"/>
      <c r="D5" s="210"/>
      <c r="E5" s="210"/>
      <c r="F5" s="210"/>
      <c r="G5" s="101" t="s">
        <v>115</v>
      </c>
      <c r="H5" s="210"/>
      <c r="I5" s="210"/>
      <c r="J5" s="210"/>
      <c r="K5" s="210"/>
      <c r="L5" s="210"/>
      <c r="M5" s="236"/>
      <c r="N5" s="210"/>
      <c r="O5" s="210"/>
    </row>
    <row r="6" spans="1:19">
      <c r="A6" s="233">
        <v>45597</v>
      </c>
      <c r="B6" s="234"/>
      <c r="C6" s="97">
        <f>IF(A6="",0,[3]TDSheet!D7)</f>
        <v>0</v>
      </c>
      <c r="D6" s="98">
        <f>IF(A6="",0,[3]TDSheet!F7)</f>
        <v>0</v>
      </c>
      <c r="E6" s="98"/>
      <c r="F6" s="99"/>
      <c r="G6" s="89">
        <f>[3]TDSheet!$I$7</f>
        <v>0</v>
      </c>
      <c r="H6" s="90"/>
      <c r="I6" s="91">
        <f t="shared" ref="I6" si="0">IF(P6="Выходной",SUM(C6*129.94)*1.5,SUM(C6*129.94))</f>
        <v>0</v>
      </c>
      <c r="J6" s="91">
        <f t="shared" ref="J6:J36" si="1">IF(P6="Выходной",SUM(D6*129.94)*1.5,SUM(D6*129.94))</f>
        <v>0</v>
      </c>
      <c r="K6" s="91">
        <f>IF(OR(WEEKDAY(A6)=1,WEEKDAY(A6)=7,NOT(ISERROR(MATCH(A6,[1]Праздники!A:A,0)))),SUM(E6*162.5)*1.5,SUM(E6*162.5))</f>
        <v>0</v>
      </c>
      <c r="L6" s="91">
        <f>IF(OR(WEEKDAY(A6)=1,WEEKDAY(A6)=7,NOT(ISERROR(MATCH(A6,[1]Праздники!A:A,0)))),SUM(F6*162.5)*1.5,SUM(F6*162.5))</f>
        <v>0</v>
      </c>
      <c r="M6" s="91">
        <f>SUM(G6*13.32)</f>
        <v>0</v>
      </c>
      <c r="N6" s="91">
        <f>SUM(H6)*750</f>
        <v>0</v>
      </c>
      <c r="O6" s="91">
        <f>SUM(I6:N6)</f>
        <v>0</v>
      </c>
      <c r="P6" s="2" t="str">
        <f>IF(OR(WEEKDAY(A6)=1,WEEKDAY(A6)=7,NOT(ISERROR(MATCH(A6,[1]Праздники!A:A,0)))),"Выходной","Рабочий")</f>
        <v>Рабочий</v>
      </c>
    </row>
    <row r="7" spans="1:19">
      <c r="A7" s="233">
        <v>45598</v>
      </c>
      <c r="B7" s="234"/>
      <c r="C7" s="97">
        <f>IF(A7="",0,[3]TDSheet!D8)</f>
        <v>0</v>
      </c>
      <c r="D7" s="98">
        <f>IF(A7="",0,[3]TDSheet!F8)</f>
        <v>0</v>
      </c>
      <c r="E7" s="98"/>
      <c r="F7" s="99"/>
      <c r="G7" s="89">
        <f>IF(A7 ="",0,G6+C7+E7-D6-F6)</f>
        <v>0</v>
      </c>
      <c r="H7" s="90"/>
      <c r="I7" s="91">
        <f t="shared" ref="I7:I36" si="2">IF(P7="Выходной",SUM(C7*129.94)*1.5,SUM(C7*129.94))</f>
        <v>0</v>
      </c>
      <c r="J7" s="91">
        <f t="shared" si="1"/>
        <v>0</v>
      </c>
      <c r="K7" s="91">
        <f>IF(OR(WEEKDAY(A7)=1,WEEKDAY(A7)=7,NOT(ISERROR(MATCH(A7,[1]Праздники!A:A,0)))),SUM(E7*162.5)*1.5,SUM(E7*162.5))</f>
        <v>0</v>
      </c>
      <c r="L7" s="91">
        <f>IF(OR(WEEKDAY(A7)=1,WEEKDAY(A7)=7,NOT(ISERROR(MATCH(A7,[1]Праздники!A:A,0)))),SUM(F7*162.5)*1.5,SUM(F7*162.5))</f>
        <v>0</v>
      </c>
      <c r="M7" s="91">
        <f t="shared" ref="M7:M36" si="3">SUM(G7*13.32)</f>
        <v>0</v>
      </c>
      <c r="N7" s="91">
        <f t="shared" ref="N7:N36" si="4">SUM(H7)*750</f>
        <v>0</v>
      </c>
      <c r="O7" s="91">
        <f t="shared" ref="O7:O36" si="5">SUM(I7:N7)</f>
        <v>0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33">
        <v>45599</v>
      </c>
      <c r="B8" s="234"/>
      <c r="C8" s="97">
        <f>IF(A8="",0,[3]TDSheet!D9)</f>
        <v>0</v>
      </c>
      <c r="D8" s="98">
        <f>IF(A8="",0,[3]TDSheet!F9)</f>
        <v>0</v>
      </c>
      <c r="E8" s="98"/>
      <c r="F8" s="99"/>
      <c r="G8" s="89">
        <f t="shared" ref="G8:G35" si="6">IF(A8 ="",0,G7+C8+E8-D7-F7)</f>
        <v>0</v>
      </c>
      <c r="H8" s="90"/>
      <c r="I8" s="91">
        <f t="shared" si="2"/>
        <v>0</v>
      </c>
      <c r="J8" s="91">
        <f t="shared" si="1"/>
        <v>0</v>
      </c>
      <c r="K8" s="91">
        <f>IF(OR(WEEKDAY(A8)=1,WEEKDAY(A8)=7,NOT(ISERROR(MATCH(A8,[1]Праздники!A:A,0)))),SUM(E8*162.5)*1.5,SUM(E8*162.5))</f>
        <v>0</v>
      </c>
      <c r="L8" s="91">
        <f>IF(OR(WEEKDAY(A8)=1,WEEKDAY(A8)=7,NOT(ISERROR(MATCH(A8,[1]Праздники!A:A,0)))),SUM(F8*162.5)*1.5,SUM(F8*162.5))</f>
        <v>0</v>
      </c>
      <c r="M8" s="91">
        <f t="shared" si="3"/>
        <v>0</v>
      </c>
      <c r="N8" s="91">
        <f t="shared" si="4"/>
        <v>0</v>
      </c>
      <c r="O8" s="91">
        <f t="shared" si="5"/>
        <v>0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33">
        <v>45600</v>
      </c>
      <c r="B9" s="234"/>
      <c r="C9" s="97">
        <f>IF(A9="",0,[3]TDSheet!D10)</f>
        <v>0</v>
      </c>
      <c r="D9" s="98">
        <f>IF(A9="",0,[3]TDSheet!F10)</f>
        <v>0</v>
      </c>
      <c r="E9" s="98"/>
      <c r="F9" s="99"/>
      <c r="G9" s="89">
        <f t="shared" si="6"/>
        <v>0</v>
      </c>
      <c r="H9" s="90"/>
      <c r="I9" s="91">
        <f t="shared" si="2"/>
        <v>0</v>
      </c>
      <c r="J9" s="91">
        <f t="shared" si="1"/>
        <v>0</v>
      </c>
      <c r="K9" s="91">
        <f>IF(OR(WEEKDAY(A9)=1,WEEKDAY(A9)=7,NOT(ISERROR(MATCH(A9,[1]Праздники!A:A,0)))),SUM(E9*162.5)*1.5,SUM(E9*162.5))</f>
        <v>0</v>
      </c>
      <c r="L9" s="91">
        <f>IF(OR(WEEKDAY(A9)=1,WEEKDAY(A9)=7,NOT(ISERROR(MATCH(A9,[1]Праздники!A:A,0)))),SUM(F9*162.5)*1.5,SUM(F9*162.5))</f>
        <v>0</v>
      </c>
      <c r="M9" s="91">
        <f t="shared" si="3"/>
        <v>0</v>
      </c>
      <c r="N9" s="91">
        <f t="shared" si="4"/>
        <v>0</v>
      </c>
      <c r="O9" s="91">
        <f t="shared" si="5"/>
        <v>0</v>
      </c>
      <c r="P9" s="2" t="str">
        <f>IF(OR(WEEKDAY(A9)=1,WEEKDAY(A9)=7,NOT(ISERROR(MATCH(A9,[1]Праздники!A:A,0)))),"Выходной","Рабочий")</f>
        <v>Рабочий</v>
      </c>
    </row>
    <row r="10" spans="1:19">
      <c r="A10" s="233">
        <v>45601</v>
      </c>
      <c r="B10" s="234"/>
      <c r="C10" s="97">
        <f>IF(A10="",0,[3]TDSheet!D11)</f>
        <v>0</v>
      </c>
      <c r="D10" s="98">
        <f>IF(A10="",0,[3]TDSheet!F11)</f>
        <v>0</v>
      </c>
      <c r="E10" s="98"/>
      <c r="F10" s="99"/>
      <c r="G10" s="89">
        <f t="shared" si="6"/>
        <v>0</v>
      </c>
      <c r="H10" s="90"/>
      <c r="I10" s="91">
        <f t="shared" si="2"/>
        <v>0</v>
      </c>
      <c r="J10" s="91">
        <f t="shared" si="1"/>
        <v>0</v>
      </c>
      <c r="K10" s="91">
        <f>IF(OR(WEEKDAY(A10)=1,WEEKDAY(A10)=7,NOT(ISERROR(MATCH(A10,[1]Праздники!A:A,0)))),SUM(E10*162.5)*1.5,SUM(E10*162.5))</f>
        <v>0</v>
      </c>
      <c r="L10" s="91">
        <f>IF(OR(WEEKDAY(A10)=1,WEEKDAY(A10)=7,NOT(ISERROR(MATCH(A10,[1]Праздники!A:A,0)))),SUM(F10*162.5)*1.5,SUM(F10*162.5))</f>
        <v>0</v>
      </c>
      <c r="M10" s="91">
        <f t="shared" si="3"/>
        <v>0</v>
      </c>
      <c r="N10" s="91">
        <f t="shared" si="4"/>
        <v>0</v>
      </c>
      <c r="O10" s="91">
        <f t="shared" si="5"/>
        <v>0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33">
        <v>45602</v>
      </c>
      <c r="B11" s="234"/>
      <c r="C11" s="97">
        <f>IF(A11="",0,[3]TDSheet!D12)</f>
        <v>0</v>
      </c>
      <c r="D11" s="98">
        <f>IF(A11="",0,[3]TDSheet!F12)</f>
        <v>0</v>
      </c>
      <c r="E11" s="98"/>
      <c r="F11" s="99"/>
      <c r="G11" s="89">
        <f t="shared" si="6"/>
        <v>0</v>
      </c>
      <c r="H11" s="90"/>
      <c r="I11" s="91">
        <f t="shared" si="2"/>
        <v>0</v>
      </c>
      <c r="J11" s="91">
        <f t="shared" si="1"/>
        <v>0</v>
      </c>
      <c r="K11" s="91">
        <f>IF(OR(WEEKDAY(A11)=1,WEEKDAY(A11)=7,NOT(ISERROR(MATCH(A11,[1]Праздники!A:A,0)))),SUM(E11*162.5)*1.5,SUM(E11*162.5))</f>
        <v>0</v>
      </c>
      <c r="L11" s="91">
        <f>IF(OR(WEEKDAY(A11)=1,WEEKDAY(A11)=7,NOT(ISERROR(MATCH(A11,[1]Праздники!A:A,0)))),SUM(F11*162.5)*1.5,SUM(F11*162.5))</f>
        <v>0</v>
      </c>
      <c r="M11" s="91">
        <f t="shared" si="3"/>
        <v>0</v>
      </c>
      <c r="N11" s="91">
        <f t="shared" si="4"/>
        <v>0</v>
      </c>
      <c r="O11" s="91">
        <f t="shared" si="5"/>
        <v>0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33">
        <v>45603</v>
      </c>
      <c r="B12" s="234"/>
      <c r="C12" s="97">
        <f>IF(A12="",0,[3]TDSheet!D13)</f>
        <v>0</v>
      </c>
      <c r="D12" s="98">
        <f>IF(A12="",0,[3]TDSheet!F13)</f>
        <v>0</v>
      </c>
      <c r="E12" s="98"/>
      <c r="F12" s="99"/>
      <c r="G12" s="89">
        <f t="shared" si="6"/>
        <v>0</v>
      </c>
      <c r="H12" s="90"/>
      <c r="I12" s="91">
        <f t="shared" si="2"/>
        <v>0</v>
      </c>
      <c r="J12" s="91">
        <f t="shared" si="1"/>
        <v>0</v>
      </c>
      <c r="K12" s="91">
        <f>IF(OR(WEEKDAY(A12)=1,WEEKDAY(A12)=7,NOT(ISERROR(MATCH(A12,[1]Праздники!A:A,0)))),SUM(E12*162.5)*1.5,SUM(E12*162.5))</f>
        <v>0</v>
      </c>
      <c r="L12" s="91">
        <f>IF(OR(WEEKDAY(A12)=1,WEEKDAY(A12)=7,NOT(ISERROR(MATCH(A12,[1]Праздники!A:A,0)))),SUM(F12*162.5)*1.5,SUM(F12*162.5))</f>
        <v>0</v>
      </c>
      <c r="M12" s="91">
        <f t="shared" si="3"/>
        <v>0</v>
      </c>
      <c r="N12" s="91">
        <f t="shared" si="4"/>
        <v>0</v>
      </c>
      <c r="O12" s="91">
        <f t="shared" si="5"/>
        <v>0</v>
      </c>
      <c r="P12" s="2" t="str">
        <f>IF(OR(WEEKDAY(A12)=1,WEEKDAY(A12)=7,NOT(ISERROR(MATCH(A12,[1]Праздники!A:A,0)))),"Выходной","Рабочий")</f>
        <v>Рабочий</v>
      </c>
    </row>
    <row r="13" spans="1:19">
      <c r="A13" s="233">
        <v>45604</v>
      </c>
      <c r="B13" s="234"/>
      <c r="C13" s="97">
        <f>IF(A13="",0,[3]TDSheet!D14)</f>
        <v>0</v>
      </c>
      <c r="D13" s="98">
        <f>IF(A13="",0,[3]TDSheet!F14)</f>
        <v>0</v>
      </c>
      <c r="E13" s="98"/>
      <c r="F13" s="102"/>
      <c r="G13" s="89">
        <f t="shared" si="6"/>
        <v>0</v>
      </c>
      <c r="H13" s="90"/>
      <c r="I13" s="91">
        <f t="shared" si="2"/>
        <v>0</v>
      </c>
      <c r="J13" s="91">
        <f t="shared" si="1"/>
        <v>0</v>
      </c>
      <c r="K13" s="91">
        <f>IF(OR(WEEKDAY(A13)=1,WEEKDAY(A13)=7,NOT(ISERROR(MATCH(A13,[1]Праздники!A:A,0)))),SUM(E13*162.5)*1.5,SUM(E13*162.5))</f>
        <v>0</v>
      </c>
      <c r="L13" s="91">
        <f>IF(OR(WEEKDAY(A13)=1,WEEKDAY(A13)=7,NOT(ISERROR(MATCH(A13,[1]Праздники!A:A,0)))),SUM(F13*162.5)*1.5,SUM(F13*162.5))</f>
        <v>0</v>
      </c>
      <c r="M13" s="91">
        <f t="shared" si="3"/>
        <v>0</v>
      </c>
      <c r="N13" s="91">
        <f t="shared" si="4"/>
        <v>0</v>
      </c>
      <c r="O13" s="91">
        <f t="shared" si="5"/>
        <v>0</v>
      </c>
      <c r="P13" s="2" t="str">
        <f>IF(OR(WEEKDAY(A13)=1,WEEKDAY(A13)=7,NOT(ISERROR(MATCH(A13,[1]Праздники!A:A,0)))),"Выходной","Рабочий")</f>
        <v>Рабочий</v>
      </c>
    </row>
    <row r="14" spans="1:19">
      <c r="A14" s="233">
        <v>45605</v>
      </c>
      <c r="B14" s="234"/>
      <c r="C14" s="97">
        <f>IF(A14="",0,[3]TDSheet!D15)</f>
        <v>0</v>
      </c>
      <c r="D14" s="98">
        <f>IF(A14="",0,[3]TDSheet!F15)</f>
        <v>0</v>
      </c>
      <c r="E14" s="98"/>
      <c r="F14" s="102"/>
      <c r="G14" s="89">
        <f t="shared" si="6"/>
        <v>0</v>
      </c>
      <c r="H14" s="90"/>
      <c r="I14" s="91">
        <f t="shared" si="2"/>
        <v>0</v>
      </c>
      <c r="J14" s="91">
        <f t="shared" si="1"/>
        <v>0</v>
      </c>
      <c r="K14" s="91">
        <f>IF(OR(WEEKDAY(A14)=1,WEEKDAY(A14)=7,NOT(ISERROR(MATCH(A14,[1]Праздники!A:A,0)))),SUM(E14*162.5)*1.5,SUM(E14*162.5))</f>
        <v>0</v>
      </c>
      <c r="L14" s="91">
        <f>IF(OR(WEEKDAY(A14)=1,WEEKDAY(A14)=7,NOT(ISERROR(MATCH(A14,[1]Праздники!A:A,0)))),SUM(F14*162.5)*1.5,SUM(F14*162.5))</f>
        <v>0</v>
      </c>
      <c r="M14" s="91">
        <f t="shared" si="3"/>
        <v>0</v>
      </c>
      <c r="N14" s="91">
        <f t="shared" si="4"/>
        <v>0</v>
      </c>
      <c r="O14" s="91">
        <f t="shared" si="5"/>
        <v>0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33">
        <v>45606</v>
      </c>
      <c r="B15" s="234"/>
      <c r="C15" s="97">
        <f>IF(A15="",0,[3]TDSheet!D16)</f>
        <v>0</v>
      </c>
      <c r="D15" s="98">
        <f>IF(A15="",0,[3]TDSheet!F16)</f>
        <v>0</v>
      </c>
      <c r="E15" s="98"/>
      <c r="F15" s="99"/>
      <c r="G15" s="89">
        <f t="shared" si="6"/>
        <v>0</v>
      </c>
      <c r="H15" s="90"/>
      <c r="I15" s="91">
        <f t="shared" si="2"/>
        <v>0</v>
      </c>
      <c r="J15" s="91">
        <f t="shared" si="1"/>
        <v>0</v>
      </c>
      <c r="K15" s="91">
        <f>IF(OR(WEEKDAY(A15)=1,WEEKDAY(A15)=7,NOT(ISERROR(MATCH(A15,[1]Праздники!A:A,0)))),SUM(E15*162.5)*1.5,SUM(E15*162.5))</f>
        <v>0</v>
      </c>
      <c r="L15" s="91">
        <f>IF(OR(WEEKDAY(A15)=1,WEEKDAY(A15)=7,NOT(ISERROR(MATCH(A15,[1]Праздники!A:A,0)))),SUM(F15*162.5)*1.5,SUM(F15*162.5))</f>
        <v>0</v>
      </c>
      <c r="M15" s="91">
        <f t="shared" si="3"/>
        <v>0</v>
      </c>
      <c r="N15" s="91">
        <f t="shared" si="4"/>
        <v>0</v>
      </c>
      <c r="O15" s="91">
        <f t="shared" si="5"/>
        <v>0</v>
      </c>
      <c r="P15" s="2" t="str">
        <f>IF(OR(WEEKDAY(A15)=1,WEEKDAY(A15)=7,NOT(ISERROR(MATCH(A15,[1]Праздники!A:A,0)))),"Выходной","Рабочий")</f>
        <v>Выходной</v>
      </c>
    </row>
    <row r="16" spans="1:19">
      <c r="A16" s="233">
        <v>45607</v>
      </c>
      <c r="B16" s="234"/>
      <c r="C16" s="97">
        <f>IF(A16="",0,[3]TDSheet!D17)</f>
        <v>0</v>
      </c>
      <c r="D16" s="98">
        <f>IF(A16="",0,[3]TDSheet!F17)</f>
        <v>0</v>
      </c>
      <c r="E16" s="98"/>
      <c r="F16" s="99"/>
      <c r="G16" s="89">
        <f t="shared" si="6"/>
        <v>0</v>
      </c>
      <c r="H16" s="90"/>
      <c r="I16" s="91">
        <f t="shared" si="2"/>
        <v>0</v>
      </c>
      <c r="J16" s="91">
        <f t="shared" si="1"/>
        <v>0</v>
      </c>
      <c r="K16" s="91">
        <f>IF(OR(WEEKDAY(A16)=1,WEEKDAY(A16)=7,NOT(ISERROR(MATCH(A16,[1]Праздники!A:A,0)))),SUM(E16*162.5)*1.5,SUM(E16*162.5))</f>
        <v>0</v>
      </c>
      <c r="L16" s="91">
        <f>IF(OR(WEEKDAY(A16)=1,WEEKDAY(A16)=7,NOT(ISERROR(MATCH(A16,[1]Праздники!A:A,0)))),SUM(F16*162.5)*1.5,SUM(F16*162.5))</f>
        <v>0</v>
      </c>
      <c r="M16" s="91">
        <f t="shared" si="3"/>
        <v>0</v>
      </c>
      <c r="N16" s="91">
        <f t="shared" si="4"/>
        <v>0</v>
      </c>
      <c r="O16" s="91">
        <f t="shared" si="5"/>
        <v>0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33">
        <v>45608</v>
      </c>
      <c r="B17" s="234"/>
      <c r="C17" s="97">
        <f>IF(A17="",0,[3]TDSheet!D18)</f>
        <v>0</v>
      </c>
      <c r="D17" s="98">
        <f>IF(A17="",0,[3]TDSheet!F18)</f>
        <v>0</v>
      </c>
      <c r="E17" s="98"/>
      <c r="F17" s="99"/>
      <c r="G17" s="89">
        <f t="shared" si="6"/>
        <v>0</v>
      </c>
      <c r="H17" s="90"/>
      <c r="I17" s="91">
        <f t="shared" si="2"/>
        <v>0</v>
      </c>
      <c r="J17" s="91">
        <f t="shared" si="1"/>
        <v>0</v>
      </c>
      <c r="K17" s="91">
        <f>IF(OR(WEEKDAY(A17)=1,WEEKDAY(A17)=7,NOT(ISERROR(MATCH(A17,[1]Праздники!A:A,0)))),SUM(E17*162.5)*1.5,SUM(E17*162.5))</f>
        <v>0</v>
      </c>
      <c r="L17" s="91">
        <f>IF(OR(WEEKDAY(A17)=1,WEEKDAY(A17)=7,NOT(ISERROR(MATCH(A17,[1]Праздники!A:A,0)))),SUM(F17*162.5)*1.5,SUM(F17*162.5))</f>
        <v>0</v>
      </c>
      <c r="M17" s="91">
        <f t="shared" si="3"/>
        <v>0</v>
      </c>
      <c r="N17" s="91">
        <f t="shared" si="4"/>
        <v>0</v>
      </c>
      <c r="O17" s="91">
        <f t="shared" si="5"/>
        <v>0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33">
        <v>45609</v>
      </c>
      <c r="B18" s="234"/>
      <c r="C18" s="97">
        <f>IF(A18="",0,[3]TDSheet!D19)</f>
        <v>0</v>
      </c>
      <c r="D18" s="98">
        <f>IF(A18="",0,[3]TDSheet!F19)</f>
        <v>0</v>
      </c>
      <c r="E18" s="98"/>
      <c r="F18" s="99"/>
      <c r="G18" s="89">
        <f t="shared" si="6"/>
        <v>0</v>
      </c>
      <c r="H18" s="90"/>
      <c r="I18" s="91">
        <f t="shared" si="2"/>
        <v>0</v>
      </c>
      <c r="J18" s="91">
        <f t="shared" si="1"/>
        <v>0</v>
      </c>
      <c r="K18" s="91">
        <f>IF(OR(WEEKDAY(A18)=1,WEEKDAY(A18)=7,NOT(ISERROR(MATCH(A18,[1]Праздники!A:A,0)))),SUM(E18*162.5)*1.5,SUM(E18*162.5))</f>
        <v>0</v>
      </c>
      <c r="L18" s="91">
        <f>IF(OR(WEEKDAY(A18)=1,WEEKDAY(A18)=7,NOT(ISERROR(MATCH(A18,[1]Праздники!A:A,0)))),SUM(F18*162.5)*1.5,SUM(F18*162.5))</f>
        <v>0</v>
      </c>
      <c r="M18" s="91">
        <f t="shared" si="3"/>
        <v>0</v>
      </c>
      <c r="N18" s="91">
        <f t="shared" si="4"/>
        <v>0</v>
      </c>
      <c r="O18" s="91">
        <f t="shared" si="5"/>
        <v>0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33">
        <v>45610</v>
      </c>
      <c r="B19" s="234"/>
      <c r="C19" s="97">
        <f>IF(A19="",0,[3]TDSheet!D20)</f>
        <v>0</v>
      </c>
      <c r="D19" s="98">
        <f>IF(A19="",0,[3]TDSheet!F20)</f>
        <v>0</v>
      </c>
      <c r="E19" s="98"/>
      <c r="F19" s="99"/>
      <c r="G19" s="89">
        <f t="shared" si="6"/>
        <v>0</v>
      </c>
      <c r="H19" s="90"/>
      <c r="I19" s="91">
        <f t="shared" si="2"/>
        <v>0</v>
      </c>
      <c r="J19" s="91">
        <f t="shared" si="1"/>
        <v>0</v>
      </c>
      <c r="K19" s="91">
        <f>IF(OR(WEEKDAY(A19)=1,WEEKDAY(A19)=7,NOT(ISERROR(MATCH(A19,[1]Праздники!A:A,0)))),SUM(E19*162.5)*1.5,SUM(E19*162.5))</f>
        <v>0</v>
      </c>
      <c r="L19" s="91">
        <f>IF(OR(WEEKDAY(A19)=1,WEEKDAY(A19)=7,NOT(ISERROR(MATCH(A19,[1]Праздники!A:A,0)))),SUM(F19*162.5)*1.5,SUM(F19*162.5))</f>
        <v>0</v>
      </c>
      <c r="M19" s="91">
        <f t="shared" si="3"/>
        <v>0</v>
      </c>
      <c r="N19" s="91">
        <f t="shared" si="4"/>
        <v>0</v>
      </c>
      <c r="O19" s="91">
        <f t="shared" si="5"/>
        <v>0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33">
        <v>45611</v>
      </c>
      <c r="B20" s="234"/>
      <c r="C20" s="97">
        <f>IF(A20="",0,[3]TDSheet!D21)</f>
        <v>0</v>
      </c>
      <c r="D20" s="98">
        <f>IF(A20="",0,[3]TDSheet!F21)</f>
        <v>0</v>
      </c>
      <c r="E20" s="98"/>
      <c r="F20" s="99"/>
      <c r="G20" s="89">
        <f t="shared" si="6"/>
        <v>0</v>
      </c>
      <c r="H20" s="90"/>
      <c r="I20" s="91">
        <f t="shared" si="2"/>
        <v>0</v>
      </c>
      <c r="J20" s="91">
        <f t="shared" si="1"/>
        <v>0</v>
      </c>
      <c r="K20" s="91">
        <f>IF(OR(WEEKDAY(A20)=1,WEEKDAY(A20)=7,NOT(ISERROR(MATCH(A20,[1]Праздники!A:A,0)))),SUM(E20*162.5)*1.5,SUM(E20*162.5))</f>
        <v>0</v>
      </c>
      <c r="L20" s="91">
        <f>IF(OR(WEEKDAY(A20)=1,WEEKDAY(A20)=7,NOT(ISERROR(MATCH(A20,[1]Праздники!A:A,0)))),SUM(F20*162.5)*1.5,SUM(F20*162.5))</f>
        <v>0</v>
      </c>
      <c r="M20" s="91">
        <f t="shared" si="3"/>
        <v>0</v>
      </c>
      <c r="N20" s="91">
        <f t="shared" si="4"/>
        <v>0</v>
      </c>
      <c r="O20" s="91">
        <f t="shared" si="5"/>
        <v>0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33">
        <v>45612</v>
      </c>
      <c r="B21" s="234"/>
      <c r="C21" s="97">
        <f>IF(A21="",0,[3]TDSheet!D22)</f>
        <v>0</v>
      </c>
      <c r="D21" s="98">
        <f>IF(A21="",0,[3]TDSheet!F22)</f>
        <v>0</v>
      </c>
      <c r="E21" s="98"/>
      <c r="F21" s="99"/>
      <c r="G21" s="89">
        <f t="shared" si="6"/>
        <v>0</v>
      </c>
      <c r="H21" s="90"/>
      <c r="I21" s="91">
        <f t="shared" si="2"/>
        <v>0</v>
      </c>
      <c r="J21" s="91">
        <f t="shared" si="1"/>
        <v>0</v>
      </c>
      <c r="K21" s="91">
        <f>IF(OR(WEEKDAY(A21)=1,WEEKDAY(A21)=7,NOT(ISERROR(MATCH(A21,[1]Праздники!A:A,0)))),SUM(E21*162.5)*1.5,SUM(E21*162.5))</f>
        <v>0</v>
      </c>
      <c r="L21" s="91">
        <f>IF(OR(WEEKDAY(A21)=1,WEEKDAY(A21)=7,NOT(ISERROR(MATCH(A21,[1]Праздники!A:A,0)))),SUM(F21*162.5)*1.5,SUM(F21*162.5))</f>
        <v>0</v>
      </c>
      <c r="M21" s="91">
        <f t="shared" si="3"/>
        <v>0</v>
      </c>
      <c r="N21" s="91">
        <f>SUM(H21)*750</f>
        <v>0</v>
      </c>
      <c r="O21" s="91">
        <f t="shared" si="5"/>
        <v>0</v>
      </c>
      <c r="P21" s="2" t="str">
        <f>IF(OR(WEEKDAY(A21)=1,WEEKDAY(A21)=7,NOT(ISERROR(MATCH(A21,[1]Праздники!A:A,0)))),"Выходной","Рабочий")</f>
        <v>Выходной</v>
      </c>
    </row>
    <row r="22" spans="1:16">
      <c r="A22" s="233">
        <v>45613</v>
      </c>
      <c r="B22" s="234"/>
      <c r="C22" s="97">
        <f>IF(A22="",0,[3]TDSheet!D23)</f>
        <v>0</v>
      </c>
      <c r="D22" s="98">
        <f>IF(A22="",0,[3]TDSheet!F23)</f>
        <v>0</v>
      </c>
      <c r="E22" s="98"/>
      <c r="F22" s="99"/>
      <c r="G22" s="89">
        <f t="shared" si="6"/>
        <v>0</v>
      </c>
      <c r="H22" s="90"/>
      <c r="I22" s="91">
        <f t="shared" si="2"/>
        <v>0</v>
      </c>
      <c r="J22" s="91">
        <f t="shared" si="1"/>
        <v>0</v>
      </c>
      <c r="K22" s="91">
        <f>IF(OR(WEEKDAY(A22)=1,WEEKDAY(A22)=7,NOT(ISERROR(MATCH(A22,[1]Праздники!A:A,0)))),SUM(E22*162.5)*1.5,SUM(E22*162.5))</f>
        <v>0</v>
      </c>
      <c r="L22" s="91">
        <f>IF(OR(WEEKDAY(A22)=1,WEEKDAY(A22)=7,NOT(ISERROR(MATCH(A22,[1]Праздники!A:A,0)))),SUM(F22*162.5)*1.5,SUM(F22*162.5))</f>
        <v>0</v>
      </c>
      <c r="M22" s="91">
        <f t="shared" si="3"/>
        <v>0</v>
      </c>
      <c r="N22" s="91">
        <f t="shared" si="4"/>
        <v>0</v>
      </c>
      <c r="O22" s="91">
        <f t="shared" si="5"/>
        <v>0</v>
      </c>
      <c r="P22" s="2" t="str">
        <f>IF(OR(WEEKDAY(A22)=1,WEEKDAY(A22)=7,NOT(ISERROR(MATCH(A22,[1]Праздники!A:A,0)))),"Выходной","Рабочий")</f>
        <v>Выходной</v>
      </c>
    </row>
    <row r="23" spans="1:16">
      <c r="A23" s="233">
        <v>45614</v>
      </c>
      <c r="B23" s="234"/>
      <c r="C23" s="97">
        <f>IF(A23="",0,[3]TDSheet!D24)</f>
        <v>0</v>
      </c>
      <c r="D23" s="98">
        <f>IF(A23="",0,[3]TDSheet!F24)</f>
        <v>0</v>
      </c>
      <c r="E23" s="98"/>
      <c r="F23" s="99"/>
      <c r="G23" s="89">
        <f t="shared" si="6"/>
        <v>0</v>
      </c>
      <c r="H23" s="90"/>
      <c r="I23" s="91">
        <f t="shared" si="2"/>
        <v>0</v>
      </c>
      <c r="J23" s="91">
        <f t="shared" si="1"/>
        <v>0</v>
      </c>
      <c r="K23" s="91">
        <f>IF(OR(WEEKDAY(A23)=1,WEEKDAY(A23)=7,NOT(ISERROR(MATCH(A23,[1]Праздники!A:A,0)))),SUM(E23*162.5)*1.5,SUM(E23*162.5))</f>
        <v>0</v>
      </c>
      <c r="L23" s="91">
        <f>IF(OR(WEEKDAY(A23)=1,WEEKDAY(A23)=7,NOT(ISERROR(MATCH(A23,[1]Праздники!A:A,0)))),SUM(F23*162.5)*1.5,SUM(F23*162.5))</f>
        <v>0</v>
      </c>
      <c r="M23" s="91">
        <f t="shared" si="3"/>
        <v>0</v>
      </c>
      <c r="N23" s="91">
        <f t="shared" si="4"/>
        <v>0</v>
      </c>
      <c r="O23" s="91">
        <f t="shared" si="5"/>
        <v>0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33">
        <v>45615</v>
      </c>
      <c r="B24" s="234"/>
      <c r="C24" s="97">
        <f>IF(A24="",0,[3]TDSheet!D25)</f>
        <v>0</v>
      </c>
      <c r="D24" s="98">
        <f>IF(A24="",0,[3]TDSheet!F25)</f>
        <v>0</v>
      </c>
      <c r="E24" s="98"/>
      <c r="F24" s="99"/>
      <c r="G24" s="89">
        <f t="shared" si="6"/>
        <v>0</v>
      </c>
      <c r="H24" s="90"/>
      <c r="I24" s="91">
        <f t="shared" si="2"/>
        <v>0</v>
      </c>
      <c r="J24" s="91">
        <f t="shared" si="1"/>
        <v>0</v>
      </c>
      <c r="K24" s="91">
        <f>IF(OR(WEEKDAY(A24)=1,WEEKDAY(A24)=7,NOT(ISERROR(MATCH(A24,[1]Праздники!A:A,0)))),SUM(E24*162.5)*1.5,SUM(E24*162.5))</f>
        <v>0</v>
      </c>
      <c r="L24" s="91">
        <f>IF(OR(WEEKDAY(A24)=1,WEEKDAY(A24)=7,NOT(ISERROR(MATCH(A24,[1]Праздники!A:A,0)))),SUM(F24*162.5)*1.5,SUM(F24*162.5))</f>
        <v>0</v>
      </c>
      <c r="M24" s="91">
        <f t="shared" si="3"/>
        <v>0</v>
      </c>
      <c r="N24" s="91">
        <f t="shared" si="4"/>
        <v>0</v>
      </c>
      <c r="O24" s="91">
        <f t="shared" si="5"/>
        <v>0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33">
        <v>45616</v>
      </c>
      <c r="B25" s="234"/>
      <c r="C25" s="97">
        <f>IF(A25="",0,[3]TDSheet!D26)</f>
        <v>0</v>
      </c>
      <c r="D25" s="98">
        <f>IF(A25="",0,[3]TDSheet!F26)</f>
        <v>0</v>
      </c>
      <c r="E25" s="98"/>
      <c r="F25" s="99"/>
      <c r="G25" s="89">
        <f t="shared" si="6"/>
        <v>0</v>
      </c>
      <c r="H25" s="90"/>
      <c r="I25" s="91">
        <f t="shared" si="2"/>
        <v>0</v>
      </c>
      <c r="J25" s="91">
        <f t="shared" si="1"/>
        <v>0</v>
      </c>
      <c r="K25" s="91">
        <f>IF(OR(WEEKDAY(A25)=1,WEEKDAY(A25)=7,NOT(ISERROR(MATCH(A25,[1]Праздники!A:A,0)))),SUM(E25*162.5)*1.5,SUM(E25*162.5))</f>
        <v>0</v>
      </c>
      <c r="L25" s="91">
        <f>IF(OR(WEEKDAY(A25)=1,WEEKDAY(A25)=7,NOT(ISERROR(MATCH(A25,[1]Праздники!A:A,0)))),SUM(F25*162.5)*1.5,SUM(F25*162.5))</f>
        <v>0</v>
      </c>
      <c r="M25" s="91">
        <f t="shared" si="3"/>
        <v>0</v>
      </c>
      <c r="N25" s="91">
        <f t="shared" si="4"/>
        <v>0</v>
      </c>
      <c r="O25" s="91">
        <f t="shared" si="5"/>
        <v>0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33">
        <v>45617</v>
      </c>
      <c r="B26" s="234"/>
      <c r="C26" s="97">
        <f>IF(A26="",0,[3]TDSheet!D27)</f>
        <v>0</v>
      </c>
      <c r="D26" s="98">
        <f>IF(A26="",0,[3]TDSheet!F27)</f>
        <v>0</v>
      </c>
      <c r="E26" s="103"/>
      <c r="F26" s="99"/>
      <c r="G26" s="89">
        <f t="shared" si="6"/>
        <v>0</v>
      </c>
      <c r="H26" s="90"/>
      <c r="I26" s="91">
        <f t="shared" si="2"/>
        <v>0</v>
      </c>
      <c r="J26" s="91">
        <f t="shared" si="1"/>
        <v>0</v>
      </c>
      <c r="K26" s="91">
        <f>IF(OR(WEEKDAY(A26)=1,WEEKDAY(A26)=7,NOT(ISERROR(MATCH(A26,[1]Праздники!A:A,0)))),SUM(E26*162.5)*1.5,SUM(E26*162.5))</f>
        <v>0</v>
      </c>
      <c r="L26" s="91">
        <f>IF(OR(WEEKDAY(A26)=1,WEEKDAY(A26)=7,NOT(ISERROR(MATCH(A26,[1]Праздники!A:A,0)))),SUM(F26*162.5)*1.5,SUM(F26*162.5))</f>
        <v>0</v>
      </c>
      <c r="M26" s="91">
        <f t="shared" si="3"/>
        <v>0</v>
      </c>
      <c r="N26" s="91">
        <f t="shared" si="4"/>
        <v>0</v>
      </c>
      <c r="O26" s="91">
        <f t="shared" si="5"/>
        <v>0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33">
        <v>45618</v>
      </c>
      <c r="B27" s="234"/>
      <c r="C27" s="97">
        <f>IF(A27="",0,[3]TDSheet!D28)</f>
        <v>0</v>
      </c>
      <c r="D27" s="98">
        <f>IF(A27="",0,[3]TDSheet!F28)</f>
        <v>0</v>
      </c>
      <c r="E27" s="98"/>
      <c r="F27" s="102"/>
      <c r="G27" s="89">
        <f t="shared" si="6"/>
        <v>0</v>
      </c>
      <c r="H27" s="90"/>
      <c r="I27" s="91">
        <f t="shared" si="2"/>
        <v>0</v>
      </c>
      <c r="J27" s="91">
        <f t="shared" si="1"/>
        <v>0</v>
      </c>
      <c r="K27" s="91">
        <f>IF(OR(WEEKDAY(A27)=1,WEEKDAY(A27)=7,NOT(ISERROR(MATCH(A27,[1]Праздники!A:A,0)))),SUM(E27*162.5)*1.5,SUM(E27*162.5))</f>
        <v>0</v>
      </c>
      <c r="L27" s="91">
        <f>IF(OR(WEEKDAY(A27)=1,WEEKDAY(A27)=7,NOT(ISERROR(MATCH(A27,[1]Праздники!A:A,0)))),SUM(F27*162.5)*1.5,SUM(F27*162.5))</f>
        <v>0</v>
      </c>
      <c r="M27" s="91">
        <f t="shared" si="3"/>
        <v>0</v>
      </c>
      <c r="N27" s="91">
        <f t="shared" si="4"/>
        <v>0</v>
      </c>
      <c r="O27" s="91">
        <f t="shared" si="5"/>
        <v>0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33">
        <v>45619</v>
      </c>
      <c r="B28" s="234"/>
      <c r="C28" s="97">
        <f>IF(A28="",0,[3]TDSheet!D29)</f>
        <v>0</v>
      </c>
      <c r="D28" s="98">
        <f>IF(A28="",0,[3]TDSheet!F29)</f>
        <v>0</v>
      </c>
      <c r="E28" s="98"/>
      <c r="F28" s="99"/>
      <c r="G28" s="89">
        <f t="shared" si="6"/>
        <v>0</v>
      </c>
      <c r="H28" s="90"/>
      <c r="I28" s="91">
        <f t="shared" si="2"/>
        <v>0</v>
      </c>
      <c r="J28" s="91">
        <f t="shared" si="1"/>
        <v>0</v>
      </c>
      <c r="K28" s="91">
        <f>IF(OR(WEEKDAY(A28)=1,WEEKDAY(A28)=7,NOT(ISERROR(MATCH(A28,[1]Праздники!A:A,0)))),SUM(E28*162.5)*1.5,SUM(E28*162.5))</f>
        <v>0</v>
      </c>
      <c r="L28" s="91">
        <f>IF(OR(WEEKDAY(A28)=1,WEEKDAY(A28)=7,NOT(ISERROR(MATCH(A28,[1]Праздники!A:A,0)))),SUM(F28*162.5)*1.5,SUM(F28*162.5))</f>
        <v>0</v>
      </c>
      <c r="M28" s="91">
        <f t="shared" si="3"/>
        <v>0</v>
      </c>
      <c r="N28" s="91">
        <f t="shared" si="4"/>
        <v>0</v>
      </c>
      <c r="O28" s="91">
        <f t="shared" si="5"/>
        <v>0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33">
        <v>45620</v>
      </c>
      <c r="B29" s="234"/>
      <c r="C29" s="97">
        <f>IF(A29="",0,[3]TDSheet!D30)</f>
        <v>0</v>
      </c>
      <c r="D29" s="98">
        <f>IF(A29="",0,[3]TDSheet!F30)</f>
        <v>0</v>
      </c>
      <c r="E29" s="98"/>
      <c r="F29" s="99"/>
      <c r="G29" s="89">
        <f t="shared" si="6"/>
        <v>0</v>
      </c>
      <c r="H29" s="90"/>
      <c r="I29" s="91">
        <f t="shared" si="2"/>
        <v>0</v>
      </c>
      <c r="J29" s="91">
        <f t="shared" si="1"/>
        <v>0</v>
      </c>
      <c r="K29" s="91">
        <f>IF(OR(WEEKDAY(A29)=1,WEEKDAY(A29)=7,NOT(ISERROR(MATCH(A29,[1]Праздники!A:A,0)))),SUM(E29*162.5)*1.5,SUM(E29*162.5))</f>
        <v>0</v>
      </c>
      <c r="L29" s="91">
        <f>IF(OR(WEEKDAY(A29)=1,WEEKDAY(A29)=7,NOT(ISERROR(MATCH(A29,[1]Праздники!A:A,0)))),SUM(F29*162.5)*1.5,SUM(F29*162.5))</f>
        <v>0</v>
      </c>
      <c r="M29" s="91">
        <f t="shared" si="3"/>
        <v>0</v>
      </c>
      <c r="N29" s="91">
        <f t="shared" si="4"/>
        <v>0</v>
      </c>
      <c r="O29" s="91">
        <f t="shared" si="5"/>
        <v>0</v>
      </c>
      <c r="P29" s="2" t="str">
        <f>IF(OR(WEEKDAY(A29)=1,WEEKDAY(A29)=7,NOT(ISERROR(MATCH(A29,[1]Праздники!A:A,0)))),"Выходной","Рабочий")</f>
        <v>Выходной</v>
      </c>
    </row>
    <row r="30" spans="1:16">
      <c r="A30" s="233">
        <v>45621</v>
      </c>
      <c r="B30" s="234"/>
      <c r="C30" s="97">
        <f>IF(A30="",0,[3]TDSheet!D31)</f>
        <v>0</v>
      </c>
      <c r="D30" s="98">
        <f>IF(A30="",0,[3]TDSheet!F31)</f>
        <v>0</v>
      </c>
      <c r="E30" s="98"/>
      <c r="F30" s="99"/>
      <c r="G30" s="89">
        <f t="shared" si="6"/>
        <v>0</v>
      </c>
      <c r="H30" s="90"/>
      <c r="I30" s="91">
        <f t="shared" si="2"/>
        <v>0</v>
      </c>
      <c r="J30" s="91">
        <f t="shared" si="1"/>
        <v>0</v>
      </c>
      <c r="K30" s="91">
        <f>IF(OR(WEEKDAY(A30)=1,WEEKDAY(A30)=7,NOT(ISERROR(MATCH(A30,[1]Праздники!A:A,0)))),SUM(E30*162.5)*1.5,SUM(E30*162.5))</f>
        <v>0</v>
      </c>
      <c r="L30" s="91">
        <f>IF(OR(WEEKDAY(A30)=1,WEEKDAY(A30)=7,NOT(ISERROR(MATCH(A30,[1]Праздники!A:A,0)))),SUM(F30*162.5)*1.5,SUM(F30*162.5))</f>
        <v>0</v>
      </c>
      <c r="M30" s="91">
        <f t="shared" si="3"/>
        <v>0</v>
      </c>
      <c r="N30" s="91">
        <f t="shared" si="4"/>
        <v>0</v>
      </c>
      <c r="O30" s="91">
        <f t="shared" si="5"/>
        <v>0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33">
        <v>45622</v>
      </c>
      <c r="B31" s="234"/>
      <c r="C31" s="97">
        <f>IF(A31="",0,[3]TDSheet!D32)</f>
        <v>0</v>
      </c>
      <c r="D31" s="98">
        <f>IF(A31="",0,[3]TDSheet!F32)</f>
        <v>0</v>
      </c>
      <c r="E31" s="98"/>
      <c r="F31" s="99"/>
      <c r="G31" s="89">
        <f t="shared" si="6"/>
        <v>0</v>
      </c>
      <c r="H31" s="90"/>
      <c r="I31" s="91">
        <f t="shared" si="2"/>
        <v>0</v>
      </c>
      <c r="J31" s="91">
        <f t="shared" si="1"/>
        <v>0</v>
      </c>
      <c r="K31" s="91">
        <f>IF(OR(WEEKDAY(A31)=1,WEEKDAY(A31)=7,NOT(ISERROR(MATCH(A31,[1]Праздники!A:A,0)))),SUM(E31*162.5)*1.5,SUM(E31*162.5))</f>
        <v>0</v>
      </c>
      <c r="L31" s="91">
        <f>IF(OR(WEEKDAY(A31)=1,WEEKDAY(A31)=7,NOT(ISERROR(MATCH(A31,[1]Праздники!A:A,0)))),SUM(F31*162.5)*1.5,SUM(F31*162.5))</f>
        <v>0</v>
      </c>
      <c r="M31" s="91">
        <f t="shared" si="3"/>
        <v>0</v>
      </c>
      <c r="N31" s="91">
        <f t="shared" si="4"/>
        <v>0</v>
      </c>
      <c r="O31" s="91">
        <f t="shared" si="5"/>
        <v>0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33">
        <v>45623</v>
      </c>
      <c r="B32" s="234"/>
      <c r="C32" s="97">
        <f>IF(A32="",0,[3]TDSheet!D33)</f>
        <v>0</v>
      </c>
      <c r="D32" s="98">
        <f>IF(A32="",0,[3]TDSheet!F33)</f>
        <v>0</v>
      </c>
      <c r="E32" s="98"/>
      <c r="F32" s="99"/>
      <c r="G32" s="89">
        <f t="shared" si="6"/>
        <v>0</v>
      </c>
      <c r="H32" s="90"/>
      <c r="I32" s="91">
        <f t="shared" si="2"/>
        <v>0</v>
      </c>
      <c r="J32" s="91">
        <f t="shared" si="1"/>
        <v>0</v>
      </c>
      <c r="K32" s="91">
        <f>IF(OR(WEEKDAY(A32)=1,WEEKDAY(A32)=7,NOT(ISERROR(MATCH(A32,[1]Праздники!A:A,0)))),SUM(E32*162.5)*1.5,SUM(E32*162.5))</f>
        <v>0</v>
      </c>
      <c r="L32" s="91">
        <f>IF(OR(WEEKDAY(A32)=1,WEEKDAY(A32)=7,NOT(ISERROR(MATCH(A32,[1]Праздники!A:A,0)))),SUM(F32*162.5)*1.5,SUM(F32*162.5))</f>
        <v>0</v>
      </c>
      <c r="M32" s="91">
        <f t="shared" si="3"/>
        <v>0</v>
      </c>
      <c r="N32" s="91">
        <f t="shared" si="4"/>
        <v>0</v>
      </c>
      <c r="O32" s="91">
        <f t="shared" si="5"/>
        <v>0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33">
        <v>45624</v>
      </c>
      <c r="B33" s="234"/>
      <c r="C33" s="97">
        <f>IF(A33="",0,[3]TDSheet!D34)</f>
        <v>0</v>
      </c>
      <c r="D33" s="98">
        <f>IF(A33="",0,[3]TDSheet!F34)</f>
        <v>0</v>
      </c>
      <c r="E33" s="98"/>
      <c r="F33" s="99"/>
      <c r="G33" s="89">
        <f t="shared" si="6"/>
        <v>0</v>
      </c>
      <c r="H33" s="90"/>
      <c r="I33" s="91">
        <f t="shared" si="2"/>
        <v>0</v>
      </c>
      <c r="J33" s="91">
        <f t="shared" si="1"/>
        <v>0</v>
      </c>
      <c r="K33" s="91">
        <f>IF(OR(WEEKDAY(A33)=1,WEEKDAY(A33)=7,NOT(ISERROR(MATCH(A33,[1]Праздники!A:A,0)))),SUM(E33*162.5)*1.5,SUM(E33*162.5))</f>
        <v>0</v>
      </c>
      <c r="L33" s="91">
        <f>IF(OR(WEEKDAY(A33)=1,WEEKDAY(A33)=7,NOT(ISERROR(MATCH(A33,[1]Праздники!A:A,0)))),SUM(F33*162.5)*1.5,SUM(F33*162.5))</f>
        <v>0</v>
      </c>
      <c r="M33" s="91">
        <f t="shared" si="3"/>
        <v>0</v>
      </c>
      <c r="N33" s="91">
        <f t="shared" si="4"/>
        <v>0</v>
      </c>
      <c r="O33" s="91">
        <f t="shared" si="5"/>
        <v>0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33">
        <v>45625</v>
      </c>
      <c r="B34" s="234"/>
      <c r="C34" s="97">
        <f>IF(A34="",0,[3]TDSheet!D35)</f>
        <v>0</v>
      </c>
      <c r="D34" s="98">
        <f>IF(A34="",0,[3]TDSheet!F35)</f>
        <v>0</v>
      </c>
      <c r="E34" s="98"/>
      <c r="F34" s="99"/>
      <c r="G34" s="89">
        <f t="shared" si="6"/>
        <v>0</v>
      </c>
      <c r="H34" s="90"/>
      <c r="I34" s="91">
        <f t="shared" si="2"/>
        <v>0</v>
      </c>
      <c r="J34" s="91">
        <f t="shared" si="1"/>
        <v>0</v>
      </c>
      <c r="K34" s="91">
        <f>IF(OR(WEEKDAY(A34)=1,WEEKDAY(A34)=7,NOT(ISERROR(MATCH(A34,[1]Праздники!A:A,0)))),SUM(E34*162.5)*1.5,SUM(E34*162.5))</f>
        <v>0</v>
      </c>
      <c r="L34" s="91">
        <f>IF(OR(WEEKDAY(A34)=1,WEEKDAY(A34)=7,NOT(ISERROR(MATCH(A34,[1]Праздники!A:A,0)))),SUM(F34*162.5)*1.5,SUM(F34*162.5))</f>
        <v>0</v>
      </c>
      <c r="M34" s="91">
        <f t="shared" si="3"/>
        <v>0</v>
      </c>
      <c r="N34" s="91">
        <f t="shared" si="4"/>
        <v>0</v>
      </c>
      <c r="O34" s="91">
        <f t="shared" si="5"/>
        <v>0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33">
        <v>45626</v>
      </c>
      <c r="B35" s="234"/>
      <c r="C35" s="97">
        <f>IF(A35="",0,[3]TDSheet!D36)</f>
        <v>0</v>
      </c>
      <c r="D35" s="98">
        <f>IF(A35="",0,[3]TDSheet!F36)</f>
        <v>0</v>
      </c>
      <c r="E35" s="89"/>
      <c r="F35" s="99"/>
      <c r="G35" s="89">
        <f t="shared" si="6"/>
        <v>0</v>
      </c>
      <c r="H35" s="90"/>
      <c r="I35" s="91">
        <f t="shared" si="2"/>
        <v>0</v>
      </c>
      <c r="J35" s="91">
        <f t="shared" si="1"/>
        <v>0</v>
      </c>
      <c r="K35" s="91">
        <f>IF(OR(WEEKDAY(A35)=1,WEEKDAY(A35)=7,NOT(ISERROR(MATCH(A35,[1]Праздники!A:A,0)))),SUM(E35*162.5)*1.5,SUM(E35*162.5))</f>
        <v>0</v>
      </c>
      <c r="L35" s="91">
        <f>IF(OR(WEEKDAY(A35)=1,WEEKDAY(A35)=7,NOT(ISERROR(MATCH(A35,[1]Праздники!A:A,0)))),SUM(F35*162.5)*1.5,SUM(F35*162.5))</f>
        <v>0</v>
      </c>
      <c r="M35" s="91">
        <f t="shared" si="3"/>
        <v>0</v>
      </c>
      <c r="N35" s="91">
        <f t="shared" si="4"/>
        <v>0</v>
      </c>
      <c r="O35" s="91">
        <f t="shared" si="5"/>
        <v>0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33"/>
      <c r="B36" s="234"/>
      <c r="C36" s="97"/>
      <c r="D36" s="98"/>
      <c r="E36" s="105"/>
      <c r="F36" s="106"/>
      <c r="G36" s="89"/>
      <c r="H36" s="107"/>
      <c r="I36" s="91">
        <f t="shared" si="2"/>
        <v>0</v>
      </c>
      <c r="J36" s="91">
        <f t="shared" si="1"/>
        <v>0</v>
      </c>
      <c r="K36" s="91">
        <f>IF(OR(WEEKDAY(A36)=1,WEEKDAY(A36)=7,NOT(ISERROR(MATCH(A36,[1]Праздники!A:A,0)))),SUM(E36*162.5)*1.5,SUM(E36*162.5))</f>
        <v>0</v>
      </c>
      <c r="L36" s="91">
        <f>IF(OR(WEEKDAY(A36)=1,WEEKDAY(A36)=7,NOT(ISERROR(MATCH(A36,[1]Праздники!A:A,0)))),SUM(F36*162.5)*1.5,SUM(F36*162.5))</f>
        <v>0</v>
      </c>
      <c r="M36" s="91">
        <f t="shared" si="3"/>
        <v>0</v>
      </c>
      <c r="N36" s="91">
        <f t="shared" si="4"/>
        <v>0</v>
      </c>
      <c r="O36" s="91">
        <f t="shared" si="5"/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2">
        <f>SUM(C6:C36)</f>
        <v>0</v>
      </c>
      <c r="D37" s="92">
        <f t="shared" ref="D37:O37" si="7">SUM(D6:D36)</f>
        <v>0</v>
      </c>
      <c r="E37" s="92">
        <f t="shared" si="7"/>
        <v>0</v>
      </c>
      <c r="F37" s="92">
        <f t="shared" si="7"/>
        <v>0</v>
      </c>
      <c r="G37" s="92">
        <f t="shared" si="7"/>
        <v>0</v>
      </c>
      <c r="H37" s="104">
        <f t="shared" si="7"/>
        <v>0</v>
      </c>
      <c r="I37" s="93">
        <f t="shared" si="7"/>
        <v>0</v>
      </c>
      <c r="J37" s="93">
        <f t="shared" si="7"/>
        <v>0</v>
      </c>
      <c r="K37" s="93">
        <f t="shared" si="7"/>
        <v>0</v>
      </c>
      <c r="L37" s="93">
        <f t="shared" si="7"/>
        <v>0</v>
      </c>
      <c r="M37" s="93">
        <f t="shared" si="7"/>
        <v>0</v>
      </c>
      <c r="N37" s="93">
        <f t="shared" si="7"/>
        <v>0</v>
      </c>
      <c r="O37" s="94">
        <f t="shared" si="7"/>
        <v>0</v>
      </c>
    </row>
    <row r="38" spans="1:17" ht="15.75" thickBot="1">
      <c r="G38" s="88"/>
      <c r="L38" s="16"/>
      <c r="M38" s="88"/>
      <c r="N38" s="104" t="s">
        <v>116</v>
      </c>
      <c r="O38" s="95">
        <f>O37*1.2</f>
        <v>0</v>
      </c>
      <c r="Q38" s="96"/>
    </row>
    <row r="39" spans="1:17">
      <c r="G39" s="88"/>
      <c r="M39" s="88"/>
    </row>
    <row r="40" spans="1:17">
      <c r="G40" s="88"/>
      <c r="M40" s="88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:B5"/>
    <mergeCell ref="C4:C5"/>
    <mergeCell ref="D4:D5"/>
    <mergeCell ref="A11:B11"/>
    <mergeCell ref="A12:B12"/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78B4-5EA5-4603-AB64-D563CCB5C06B}">
  <sheetPr codeName="Лист55"/>
  <dimension ref="A1:P40"/>
  <sheetViews>
    <sheetView workbookViewId="0">
      <selection activeCell="G37" sqref="G37"/>
    </sheetView>
  </sheetViews>
  <sheetFormatPr defaultRowHeight="15"/>
  <cols>
    <col min="1" max="2" width="8.796875" style="2"/>
    <col min="3" max="3" width="7.796875" style="2" customWidth="1"/>
    <col min="4" max="4" width="7.296875" style="2" customWidth="1"/>
    <col min="5" max="5" width="7.796875" style="2" customWidth="1"/>
    <col min="6" max="6" width="7.8984375" style="2" customWidth="1"/>
    <col min="7" max="7" width="6.796875" style="2" customWidth="1"/>
    <col min="8" max="8" width="11.5" style="2" customWidth="1"/>
    <col min="9" max="9" width="12.59765625" style="2" customWidth="1"/>
    <col min="10" max="11" width="11.5" style="2" customWidth="1"/>
    <col min="12" max="12" width="11.19921875" style="2" customWidth="1"/>
    <col min="13" max="13" width="8.796875" style="2"/>
    <col min="14" max="14" width="12.796875" style="2" customWidth="1"/>
    <col min="15" max="16384" width="8.796875" style="2"/>
  </cols>
  <sheetData>
    <row r="1" spans="1:16">
      <c r="H1" s="88"/>
      <c r="I1" s="88"/>
      <c r="J1" s="88"/>
      <c r="K1" s="88"/>
      <c r="N1" s="78"/>
      <c r="O1" s="78"/>
      <c r="P1" s="78"/>
    </row>
    <row r="2" spans="1:16">
      <c r="H2" s="88"/>
      <c r="I2" s="88"/>
      <c r="J2" s="88"/>
      <c r="K2" s="88"/>
      <c r="N2" s="78"/>
      <c r="O2" s="78"/>
      <c r="P2" s="78"/>
    </row>
    <row r="3" spans="1:16" ht="21">
      <c r="A3" s="76" t="str">
        <f>"Отчет по хранению  товара  РВ " &amp; TEXT(A6,"ММММ ") &amp; YEAR(A6)</f>
        <v>Отчет по хранению  товара  РВ Май 2025</v>
      </c>
      <c r="C3" s="88"/>
      <c r="H3" s="88"/>
      <c r="I3" s="88"/>
      <c r="J3" s="88"/>
      <c r="K3" s="88"/>
      <c r="N3" s="78"/>
      <c r="O3" s="78"/>
      <c r="P3" s="78"/>
    </row>
    <row r="4" spans="1:16">
      <c r="A4" s="211" t="s">
        <v>1</v>
      </c>
      <c r="B4" s="212"/>
      <c r="C4" s="235" t="s">
        <v>4</v>
      </c>
      <c r="D4" s="209" t="s">
        <v>94</v>
      </c>
      <c r="E4" s="209" t="s">
        <v>95</v>
      </c>
      <c r="F4" s="209" t="s">
        <v>96</v>
      </c>
      <c r="G4" s="209" t="s">
        <v>97</v>
      </c>
      <c r="H4" s="235" t="s">
        <v>13</v>
      </c>
      <c r="I4" s="235" t="s">
        <v>98</v>
      </c>
      <c r="J4" s="235" t="s">
        <v>99</v>
      </c>
      <c r="K4" s="235" t="s">
        <v>100</v>
      </c>
      <c r="L4" s="209" t="s">
        <v>18</v>
      </c>
    </row>
    <row r="5" spans="1:16">
      <c r="A5" s="213"/>
      <c r="B5" s="214"/>
      <c r="C5" s="236"/>
      <c r="D5" s="210"/>
      <c r="E5" s="210"/>
      <c r="F5" s="210"/>
      <c r="G5" s="210"/>
      <c r="H5" s="236"/>
      <c r="I5" s="236"/>
      <c r="J5" s="236"/>
      <c r="K5" s="236"/>
      <c r="L5" s="210"/>
    </row>
    <row r="6" spans="1:16">
      <c r="A6" s="233">
        <v>45778</v>
      </c>
      <c r="B6" s="234"/>
      <c r="C6" s="89" t="e">
        <f>'[1]РВ Баумана'!G6+#REF!+'[1]РВ Березовая Пойма'!G6+#REF!+'[1]РВ Новикова-Прибоя'!G6+#REF!</f>
        <v>#REF!</v>
      </c>
      <c r="D6" s="90" t="e">
        <f>IF(C6 &lt; 8000,8000-C6,0)</f>
        <v>#REF!</v>
      </c>
      <c r="E6" s="90" t="e">
        <f>'[1]РВ Баумана'!C6+#REF!+'[1]РВ Березовая Пойма'!C6+#REF!+'[1]РВ Новикова-Прибоя'!C6+#REF!</f>
        <v>#REF!</v>
      </c>
      <c r="F6" s="90" t="e">
        <f>'[1]РВ Баумана'!D6+#REF!+'[1]РВ Березовая Пойма'!D6+#REF!+'[1]РВ Новикова-Прибоя'!D6+#REF!</f>
        <v>#REF!</v>
      </c>
      <c r="G6" s="90" t="e">
        <f>IF(E6+F6 &lt; 300,300-E6-F6,0)</f>
        <v>#REF!</v>
      </c>
      <c r="H6" s="91" t="e">
        <f>C6*15</f>
        <v>#REF!</v>
      </c>
      <c r="I6" s="91" t="e">
        <f>D6*15</f>
        <v>#REF!</v>
      </c>
      <c r="J6" s="91" t="e">
        <f>IF(M6="Выходной",(E6+G6)*150*1.5,(E6+G6)*150)</f>
        <v>#REF!</v>
      </c>
      <c r="K6" s="91" t="e">
        <f>IF(M6="Выходной",F6*150,F6*150)</f>
        <v>#REF!</v>
      </c>
      <c r="L6" s="91" t="e">
        <f>SUM(H6:K6)</f>
        <v>#REF!</v>
      </c>
      <c r="M6" s="2" t="str">
        <f>IF(OR(WEEKDAY(A6)=1,WEEKDAY(A6)=7,NOT(ISERROR(MATCH(A6,[1]Праздники!A:A,0)))),"Выходной","Рабочий")</f>
        <v>Рабочий</v>
      </c>
    </row>
    <row r="7" spans="1:16">
      <c r="A7" s="233">
        <v>45779</v>
      </c>
      <c r="B7" s="234"/>
      <c r="C7" s="89" t="e">
        <f>'[1]РВ Баумана'!G7+#REF!+'[1]РВ Березовая Пойма'!G7+#REF!+'[1]РВ Новикова-Прибоя'!G7+#REF!</f>
        <v>#REF!</v>
      </c>
      <c r="D7" s="90" t="e">
        <f t="shared" ref="D7:D36" si="0">IF(C7 &lt; 8000,8000-C7,0)</f>
        <v>#REF!</v>
      </c>
      <c r="E7" s="90" t="e">
        <f>'[1]РВ Баумана'!C7+#REF!+'[1]РВ Березовая Пойма'!C7+#REF!+'[1]РВ Новикова-Прибоя'!C7+#REF!</f>
        <v>#REF!</v>
      </c>
      <c r="F7" s="90" t="e">
        <f>'[1]РВ Баумана'!D7+#REF!+'[1]РВ Березовая Пойма'!D7+#REF!+'[1]РВ Новикова-Прибоя'!D7+#REF!</f>
        <v>#REF!</v>
      </c>
      <c r="G7" s="90" t="e">
        <f t="shared" ref="G7:G36" si="1">IF(E7+F7 &lt; 300,300-E7-F7,0)</f>
        <v>#REF!</v>
      </c>
      <c r="H7" s="91" t="e">
        <f t="shared" ref="H7:I36" si="2">C7*15</f>
        <v>#REF!</v>
      </c>
      <c r="I7" s="91" t="e">
        <f t="shared" si="2"/>
        <v>#REF!</v>
      </c>
      <c r="J7" s="91" t="e">
        <f t="shared" ref="J7:J36" si="3">IF(M7="Выходной",(E7+G7+F7)*150*1.5,(E7+G7+F7)*150)</f>
        <v>#REF!</v>
      </c>
      <c r="K7" s="91" t="e">
        <f t="shared" ref="K7:K36" si="4">IF(M7="Выходной",F7*150,F7*150)</f>
        <v>#REF!</v>
      </c>
      <c r="L7" s="91" t="e">
        <f t="shared" ref="L7:L36" si="5">SUM(H7:K7)</f>
        <v>#REF!</v>
      </c>
      <c r="M7" s="2" t="str">
        <f>IF(OR(WEEKDAY(A7)=1,WEEKDAY(A7)=7,NOT(ISERROR(MATCH(A7,[1]Праздники!A:A,0)))),"Выходной","Рабочий")</f>
        <v>Рабочий</v>
      </c>
    </row>
    <row r="8" spans="1:16">
      <c r="A8" s="233">
        <v>45780</v>
      </c>
      <c r="B8" s="234"/>
      <c r="C8" s="89" t="e">
        <f>'[1]РВ Баумана'!G8+#REF!+'[1]РВ Березовая Пойма'!G8+#REF!+'[1]РВ Новикова-Прибоя'!G8+#REF!</f>
        <v>#REF!</v>
      </c>
      <c r="D8" s="90" t="e">
        <f t="shared" si="0"/>
        <v>#REF!</v>
      </c>
      <c r="E8" s="90" t="e">
        <f>'[1]РВ Баумана'!C8+#REF!+'[1]РВ Березовая Пойма'!C8+#REF!+'[1]РВ Новикова-Прибоя'!C8+#REF!</f>
        <v>#REF!</v>
      </c>
      <c r="F8" s="90" t="e">
        <f>'[1]РВ Баумана'!D8+#REF!+'[1]РВ Березовая Пойма'!D8+#REF!+'[1]РВ Новикова-Прибоя'!D8+#REF!</f>
        <v>#REF!</v>
      </c>
      <c r="G8" s="90" t="e">
        <f t="shared" si="1"/>
        <v>#REF!</v>
      </c>
      <c r="H8" s="91" t="e">
        <f t="shared" si="2"/>
        <v>#REF!</v>
      </c>
      <c r="I8" s="91" t="e">
        <f t="shared" si="2"/>
        <v>#REF!</v>
      </c>
      <c r="J8" s="91" t="e">
        <f t="shared" si="3"/>
        <v>#REF!</v>
      </c>
      <c r="K8" s="91" t="e">
        <f t="shared" si="4"/>
        <v>#REF!</v>
      </c>
      <c r="L8" s="91" t="e">
        <f t="shared" si="5"/>
        <v>#REF!</v>
      </c>
      <c r="M8" s="2" t="str">
        <f>IF(OR(WEEKDAY(A8)=1,WEEKDAY(A8)=7,NOT(ISERROR(MATCH(A8,[1]Праздники!A:A,0)))),"Выходной","Рабочий")</f>
        <v>Выходной</v>
      </c>
    </row>
    <row r="9" spans="1:16">
      <c r="A9" s="233">
        <v>45781</v>
      </c>
      <c r="B9" s="234"/>
      <c r="C9" s="89" t="e">
        <f>'[1]РВ Баумана'!G9+#REF!+'[1]РВ Березовая Пойма'!G9+#REF!+'[1]РВ Новикова-Прибоя'!G9+#REF!</f>
        <v>#REF!</v>
      </c>
      <c r="D9" s="90" t="e">
        <f t="shared" si="0"/>
        <v>#REF!</v>
      </c>
      <c r="E9" s="90" t="e">
        <f>'[1]РВ Баумана'!C9+#REF!+'[1]РВ Березовая Пойма'!C9+#REF!+'[1]РВ Новикова-Прибоя'!C9+#REF!</f>
        <v>#REF!</v>
      </c>
      <c r="F9" s="90" t="e">
        <f>'[1]РВ Баумана'!D9+#REF!+'[1]РВ Березовая Пойма'!D9+#REF!+'[1]РВ Новикова-Прибоя'!D9+#REF!</f>
        <v>#REF!</v>
      </c>
      <c r="G9" s="90" t="e">
        <f t="shared" si="1"/>
        <v>#REF!</v>
      </c>
      <c r="H9" s="91" t="e">
        <f t="shared" si="2"/>
        <v>#REF!</v>
      </c>
      <c r="I9" s="91" t="e">
        <f t="shared" si="2"/>
        <v>#REF!</v>
      </c>
      <c r="J9" s="91" t="e">
        <f t="shared" si="3"/>
        <v>#REF!</v>
      </c>
      <c r="K9" s="91" t="e">
        <f t="shared" si="4"/>
        <v>#REF!</v>
      </c>
      <c r="L9" s="91" t="e">
        <f t="shared" si="5"/>
        <v>#REF!</v>
      </c>
      <c r="M9" s="2" t="str">
        <f>IF(OR(WEEKDAY(A9)=1,WEEKDAY(A9)=7,NOT(ISERROR(MATCH(A9,[1]Праздники!A:A,0)))),"Выходной","Рабочий")</f>
        <v>Выходной</v>
      </c>
    </row>
    <row r="10" spans="1:16">
      <c r="A10" s="233">
        <v>45782</v>
      </c>
      <c r="B10" s="234"/>
      <c r="C10" s="89" t="e">
        <f>'[1]РВ Баумана'!G10+#REF!+'[1]РВ Березовая Пойма'!G10+#REF!+'[1]РВ Новикова-Прибоя'!G10+#REF!</f>
        <v>#REF!</v>
      </c>
      <c r="D10" s="90" t="e">
        <f t="shared" si="0"/>
        <v>#REF!</v>
      </c>
      <c r="E10" s="90" t="e">
        <f>'[1]РВ Баумана'!C10+#REF!+'[1]РВ Березовая Пойма'!C10+#REF!+'[1]РВ Новикова-Прибоя'!C10+#REF!</f>
        <v>#REF!</v>
      </c>
      <c r="F10" s="90" t="e">
        <f>'[1]РВ Баумана'!D10+#REF!+'[1]РВ Березовая Пойма'!D10+#REF!+'[1]РВ Новикова-Прибоя'!D10+#REF!</f>
        <v>#REF!</v>
      </c>
      <c r="G10" s="90" t="e">
        <f t="shared" si="1"/>
        <v>#REF!</v>
      </c>
      <c r="H10" s="91" t="e">
        <f t="shared" si="2"/>
        <v>#REF!</v>
      </c>
      <c r="I10" s="91" t="e">
        <f t="shared" si="2"/>
        <v>#REF!</v>
      </c>
      <c r="J10" s="91" t="e">
        <f t="shared" si="3"/>
        <v>#REF!</v>
      </c>
      <c r="K10" s="91" t="e">
        <f t="shared" si="4"/>
        <v>#REF!</v>
      </c>
      <c r="L10" s="91" t="e">
        <f t="shared" si="5"/>
        <v>#REF!</v>
      </c>
      <c r="M10" s="2" t="str">
        <f>IF(OR(WEEKDAY(A10)=1,WEEKDAY(A10)=7,NOT(ISERROR(MATCH(A10,[1]Праздники!A:A,0)))),"Выходной","Рабочий")</f>
        <v>Рабочий</v>
      </c>
    </row>
    <row r="11" spans="1:16">
      <c r="A11" s="233">
        <v>45783</v>
      </c>
      <c r="B11" s="234"/>
      <c r="C11" s="89" t="e">
        <f>'[1]РВ Баумана'!G11+#REF!+'[1]РВ Березовая Пойма'!G11+#REF!+'[1]РВ Новикова-Прибоя'!G11+#REF!</f>
        <v>#REF!</v>
      </c>
      <c r="D11" s="90" t="e">
        <f t="shared" si="0"/>
        <v>#REF!</v>
      </c>
      <c r="E11" s="90" t="e">
        <f>'[1]РВ Баумана'!C11+#REF!+'[1]РВ Березовая Пойма'!C11+#REF!+'[1]РВ Новикова-Прибоя'!C11+#REF!</f>
        <v>#REF!</v>
      </c>
      <c r="F11" s="90" t="e">
        <f>'[1]РВ Баумана'!D11+#REF!+'[1]РВ Березовая Пойма'!D11+#REF!+'[1]РВ Новикова-Прибоя'!D11+#REF!</f>
        <v>#REF!</v>
      </c>
      <c r="G11" s="90" t="e">
        <f t="shared" si="1"/>
        <v>#REF!</v>
      </c>
      <c r="H11" s="91" t="e">
        <f t="shared" si="2"/>
        <v>#REF!</v>
      </c>
      <c r="I11" s="91" t="e">
        <f t="shared" si="2"/>
        <v>#REF!</v>
      </c>
      <c r="J11" s="91" t="e">
        <f t="shared" si="3"/>
        <v>#REF!</v>
      </c>
      <c r="K11" s="91" t="e">
        <f t="shared" si="4"/>
        <v>#REF!</v>
      </c>
      <c r="L11" s="91" t="e">
        <f t="shared" si="5"/>
        <v>#REF!</v>
      </c>
      <c r="M11" s="2" t="str">
        <f>IF(OR(WEEKDAY(A11)=1,WEEKDAY(A11)=7,NOT(ISERROR(MATCH(A11,[1]Праздники!A:A,0)))),"Выходной","Рабочий")</f>
        <v>Рабочий</v>
      </c>
    </row>
    <row r="12" spans="1:16">
      <c r="A12" s="233">
        <v>45784</v>
      </c>
      <c r="B12" s="234"/>
      <c r="C12" s="89" t="e">
        <f>'[1]РВ Баумана'!G12+#REF!+'[1]РВ Березовая Пойма'!G12+#REF!+'[1]РВ Новикова-Прибоя'!G12+#REF!</f>
        <v>#REF!</v>
      </c>
      <c r="D12" s="90" t="e">
        <f t="shared" si="0"/>
        <v>#REF!</v>
      </c>
      <c r="E12" s="90" t="e">
        <f>'[1]РВ Баумана'!C12+#REF!+'[1]РВ Березовая Пойма'!C12+#REF!+'[1]РВ Новикова-Прибоя'!C12+#REF!</f>
        <v>#REF!</v>
      </c>
      <c r="F12" s="90" t="e">
        <f>'[1]РВ Баумана'!D12+#REF!+'[1]РВ Березовая Пойма'!D12+#REF!+'[1]РВ Новикова-Прибоя'!D12+#REF!</f>
        <v>#REF!</v>
      </c>
      <c r="G12" s="90" t="e">
        <f t="shared" si="1"/>
        <v>#REF!</v>
      </c>
      <c r="H12" s="91" t="e">
        <f t="shared" si="2"/>
        <v>#REF!</v>
      </c>
      <c r="I12" s="91" t="e">
        <f t="shared" si="2"/>
        <v>#REF!</v>
      </c>
      <c r="J12" s="91" t="e">
        <f t="shared" si="3"/>
        <v>#REF!</v>
      </c>
      <c r="K12" s="91" t="e">
        <f t="shared" si="4"/>
        <v>#REF!</v>
      </c>
      <c r="L12" s="91" t="e">
        <f t="shared" si="5"/>
        <v>#REF!</v>
      </c>
      <c r="M12" s="2" t="str">
        <f>IF(OR(WEEKDAY(A12)=1,WEEKDAY(A12)=7,NOT(ISERROR(MATCH(A12,[1]Праздники!A:A,0)))),"Выходной","Рабочий")</f>
        <v>Рабочий</v>
      </c>
    </row>
    <row r="13" spans="1:16">
      <c r="A13" s="233">
        <v>45785</v>
      </c>
      <c r="B13" s="234"/>
      <c r="C13" s="89" t="e">
        <f>'[1]РВ Баумана'!G13+#REF!+'[1]РВ Березовая Пойма'!G13+#REF!+'[1]РВ Новикова-Прибоя'!G13+#REF!</f>
        <v>#REF!</v>
      </c>
      <c r="D13" s="90" t="e">
        <f t="shared" si="0"/>
        <v>#REF!</v>
      </c>
      <c r="E13" s="90" t="e">
        <f>'[1]РВ Баумана'!C13+#REF!+'[1]РВ Березовая Пойма'!C13+#REF!+'[1]РВ Новикова-Прибоя'!C13+#REF!</f>
        <v>#REF!</v>
      </c>
      <c r="F13" s="90" t="e">
        <f>'[1]РВ Баумана'!D13+#REF!+'[1]РВ Березовая Пойма'!D13+#REF!+'[1]РВ Новикова-Прибоя'!D13+#REF!</f>
        <v>#REF!</v>
      </c>
      <c r="G13" s="90" t="e">
        <f t="shared" si="1"/>
        <v>#REF!</v>
      </c>
      <c r="H13" s="91" t="e">
        <f t="shared" si="2"/>
        <v>#REF!</v>
      </c>
      <c r="I13" s="91" t="e">
        <f t="shared" si="2"/>
        <v>#REF!</v>
      </c>
      <c r="J13" s="91" t="e">
        <f t="shared" si="3"/>
        <v>#REF!</v>
      </c>
      <c r="K13" s="91" t="e">
        <f t="shared" si="4"/>
        <v>#REF!</v>
      </c>
      <c r="L13" s="91" t="e">
        <f t="shared" si="5"/>
        <v>#REF!</v>
      </c>
      <c r="M13" s="2" t="str">
        <f>IF(OR(WEEKDAY(A13)=1,WEEKDAY(A13)=7,NOT(ISERROR(MATCH(A13,[1]Праздники!A:A,0)))),"Выходной","Рабочий")</f>
        <v>Рабочий</v>
      </c>
    </row>
    <row r="14" spans="1:16">
      <c r="A14" s="233">
        <v>45786</v>
      </c>
      <c r="B14" s="234"/>
      <c r="C14" s="89" t="e">
        <f>'[1]РВ Баумана'!G14+#REF!+'[1]РВ Березовая Пойма'!G14+#REF!+'[1]РВ Новикова-Прибоя'!G14+#REF!</f>
        <v>#REF!</v>
      </c>
      <c r="D14" s="90" t="e">
        <f t="shared" si="0"/>
        <v>#REF!</v>
      </c>
      <c r="E14" s="90" t="e">
        <f>'[1]РВ Баумана'!C14+#REF!+'[1]РВ Березовая Пойма'!C14+#REF!+'[1]РВ Новикова-Прибоя'!C14+#REF!</f>
        <v>#REF!</v>
      </c>
      <c r="F14" s="90" t="e">
        <f>'[1]РВ Баумана'!D14+#REF!+'[1]РВ Березовая Пойма'!D14+#REF!+'[1]РВ Новикова-Прибоя'!D14+#REF!</f>
        <v>#REF!</v>
      </c>
      <c r="G14" s="90" t="e">
        <f t="shared" si="1"/>
        <v>#REF!</v>
      </c>
      <c r="H14" s="91" t="e">
        <f t="shared" si="2"/>
        <v>#REF!</v>
      </c>
      <c r="I14" s="91" t="e">
        <f t="shared" si="2"/>
        <v>#REF!</v>
      </c>
      <c r="J14" s="91" t="e">
        <f t="shared" si="3"/>
        <v>#REF!</v>
      </c>
      <c r="K14" s="91" t="e">
        <f t="shared" si="4"/>
        <v>#REF!</v>
      </c>
      <c r="L14" s="91" t="e">
        <f t="shared" si="5"/>
        <v>#REF!</v>
      </c>
      <c r="M14" s="2" t="str">
        <f>IF(OR(WEEKDAY(A14)=1,WEEKDAY(A14)=7,NOT(ISERROR(MATCH(A14,[1]Праздники!A:A,0)))),"Выходной","Рабочий")</f>
        <v>Рабочий</v>
      </c>
    </row>
    <row r="15" spans="1:16">
      <c r="A15" s="233">
        <v>45787</v>
      </c>
      <c r="B15" s="234"/>
      <c r="C15" s="89" t="e">
        <f>'[1]РВ Баумана'!G15+#REF!+'[1]РВ Березовая Пойма'!G15+#REF!+'[1]РВ Новикова-Прибоя'!G15+#REF!</f>
        <v>#REF!</v>
      </c>
      <c r="D15" s="90" t="e">
        <f t="shared" si="0"/>
        <v>#REF!</v>
      </c>
      <c r="E15" s="90" t="e">
        <f>'[1]РВ Баумана'!C15+#REF!+'[1]РВ Березовая Пойма'!C15+#REF!+'[1]РВ Новикова-Прибоя'!C15+#REF!</f>
        <v>#REF!</v>
      </c>
      <c r="F15" s="90" t="e">
        <f>'[1]РВ Баумана'!D15+#REF!+'[1]РВ Березовая Пойма'!D15+#REF!+'[1]РВ Новикова-Прибоя'!D15+#REF!</f>
        <v>#REF!</v>
      </c>
      <c r="G15" s="90" t="e">
        <f t="shared" si="1"/>
        <v>#REF!</v>
      </c>
      <c r="H15" s="91" t="e">
        <f t="shared" si="2"/>
        <v>#REF!</v>
      </c>
      <c r="I15" s="91" t="e">
        <f t="shared" si="2"/>
        <v>#REF!</v>
      </c>
      <c r="J15" s="91" t="e">
        <f t="shared" si="3"/>
        <v>#REF!</v>
      </c>
      <c r="K15" s="91" t="e">
        <f t="shared" si="4"/>
        <v>#REF!</v>
      </c>
      <c r="L15" s="91" t="e">
        <f t="shared" si="5"/>
        <v>#REF!</v>
      </c>
      <c r="M15" s="2" t="str">
        <f>IF(OR(WEEKDAY(A15)=1,WEEKDAY(A15)=7,NOT(ISERROR(MATCH(A15,[1]Праздники!A:A,0)))),"Выходной","Рабочий")</f>
        <v>Выходной</v>
      </c>
    </row>
    <row r="16" spans="1:16">
      <c r="A16" s="233">
        <v>45788</v>
      </c>
      <c r="B16" s="234"/>
      <c r="C16" s="89" t="e">
        <f>'[1]РВ Баумана'!G16+#REF!+'[1]РВ Березовая Пойма'!G16+#REF!+'[1]РВ Новикова-Прибоя'!G16+#REF!</f>
        <v>#REF!</v>
      </c>
      <c r="D16" s="90" t="e">
        <f t="shared" si="0"/>
        <v>#REF!</v>
      </c>
      <c r="E16" s="90" t="e">
        <f>'[1]РВ Баумана'!C16+#REF!+'[1]РВ Березовая Пойма'!C16+#REF!+'[1]РВ Новикова-Прибоя'!C16+#REF!</f>
        <v>#REF!</v>
      </c>
      <c r="F16" s="90" t="e">
        <f>'[1]РВ Баумана'!D16+#REF!+'[1]РВ Березовая Пойма'!D16+#REF!+'[1]РВ Новикова-Прибоя'!D16+#REF!</f>
        <v>#REF!</v>
      </c>
      <c r="G16" s="90" t="e">
        <f t="shared" si="1"/>
        <v>#REF!</v>
      </c>
      <c r="H16" s="91" t="e">
        <f t="shared" si="2"/>
        <v>#REF!</v>
      </c>
      <c r="I16" s="91" t="e">
        <f t="shared" si="2"/>
        <v>#REF!</v>
      </c>
      <c r="J16" s="91" t="e">
        <f t="shared" si="3"/>
        <v>#REF!</v>
      </c>
      <c r="K16" s="91" t="e">
        <f t="shared" si="4"/>
        <v>#REF!</v>
      </c>
      <c r="L16" s="91" t="e">
        <f t="shared" si="5"/>
        <v>#REF!</v>
      </c>
      <c r="M16" s="2" t="str">
        <f>IF(OR(WEEKDAY(A16)=1,WEEKDAY(A16)=7,NOT(ISERROR(MATCH(A16,[1]Праздники!A:A,0)))),"Выходной","Рабочий")</f>
        <v>Выходной</v>
      </c>
    </row>
    <row r="17" spans="1:13">
      <c r="A17" s="233">
        <v>45789</v>
      </c>
      <c r="B17" s="234"/>
      <c r="C17" s="89" t="e">
        <f>'[1]РВ Баумана'!G17+#REF!+'[1]РВ Березовая Пойма'!G17+#REF!+'[1]РВ Новикова-Прибоя'!G17+#REF!</f>
        <v>#REF!</v>
      </c>
      <c r="D17" s="90" t="e">
        <f t="shared" si="0"/>
        <v>#REF!</v>
      </c>
      <c r="E17" s="90" t="e">
        <f>'[1]РВ Баумана'!C17+#REF!+'[1]РВ Березовая Пойма'!C17+#REF!+'[1]РВ Новикова-Прибоя'!C17+#REF!</f>
        <v>#REF!</v>
      </c>
      <c r="F17" s="90" t="e">
        <f>'[1]РВ Баумана'!D17+#REF!+'[1]РВ Березовая Пойма'!D17+#REF!+'[1]РВ Новикова-Прибоя'!D17+#REF!</f>
        <v>#REF!</v>
      </c>
      <c r="G17" s="90" t="e">
        <f t="shared" si="1"/>
        <v>#REF!</v>
      </c>
      <c r="H17" s="91" t="e">
        <f t="shared" si="2"/>
        <v>#REF!</v>
      </c>
      <c r="I17" s="91" t="e">
        <f t="shared" si="2"/>
        <v>#REF!</v>
      </c>
      <c r="J17" s="91" t="e">
        <f t="shared" si="3"/>
        <v>#REF!</v>
      </c>
      <c r="K17" s="91" t="e">
        <f t="shared" si="4"/>
        <v>#REF!</v>
      </c>
      <c r="L17" s="91" t="e">
        <f t="shared" si="5"/>
        <v>#REF!</v>
      </c>
      <c r="M17" s="2" t="str">
        <f>IF(OR(WEEKDAY(A17)=1,WEEKDAY(A17)=7,NOT(ISERROR(MATCH(A17,[1]Праздники!A:A,0)))),"Выходной","Рабочий")</f>
        <v>Рабочий</v>
      </c>
    </row>
    <row r="18" spans="1:13">
      <c r="A18" s="233">
        <v>45790</v>
      </c>
      <c r="B18" s="234"/>
      <c r="C18" s="89" t="e">
        <f>'[1]РВ Баумана'!G18+#REF!+'[1]РВ Березовая Пойма'!G18+#REF!+'[1]РВ Новикова-Прибоя'!G18+#REF!</f>
        <v>#REF!</v>
      </c>
      <c r="D18" s="90" t="e">
        <f t="shared" si="0"/>
        <v>#REF!</v>
      </c>
      <c r="E18" s="90" t="e">
        <f>'[1]РВ Баумана'!C18+#REF!+'[1]РВ Березовая Пойма'!C18+#REF!+'[1]РВ Новикова-Прибоя'!C18+#REF!</f>
        <v>#REF!</v>
      </c>
      <c r="F18" s="90" t="e">
        <f>'[1]РВ Баумана'!D18+#REF!+'[1]РВ Березовая Пойма'!D18+#REF!+'[1]РВ Новикова-Прибоя'!D18+#REF!</f>
        <v>#REF!</v>
      </c>
      <c r="G18" s="90" t="e">
        <f t="shared" si="1"/>
        <v>#REF!</v>
      </c>
      <c r="H18" s="91" t="e">
        <f t="shared" si="2"/>
        <v>#REF!</v>
      </c>
      <c r="I18" s="91" t="e">
        <f t="shared" si="2"/>
        <v>#REF!</v>
      </c>
      <c r="J18" s="91" t="e">
        <f t="shared" si="3"/>
        <v>#REF!</v>
      </c>
      <c r="K18" s="91" t="e">
        <f t="shared" si="4"/>
        <v>#REF!</v>
      </c>
      <c r="L18" s="91" t="e">
        <f t="shared" si="5"/>
        <v>#REF!</v>
      </c>
      <c r="M18" s="2" t="str">
        <f>IF(OR(WEEKDAY(A18)=1,WEEKDAY(A18)=7,NOT(ISERROR(MATCH(A18,[1]Праздники!A:A,0)))),"Выходной","Рабочий")</f>
        <v>Рабочий</v>
      </c>
    </row>
    <row r="19" spans="1:13">
      <c r="A19" s="233">
        <v>45791</v>
      </c>
      <c r="B19" s="234"/>
      <c r="C19" s="89" t="e">
        <f>'[1]РВ Баумана'!G19+#REF!+'[1]РВ Березовая Пойма'!G19+#REF!+'[1]РВ Новикова-Прибоя'!G19+#REF!</f>
        <v>#REF!</v>
      </c>
      <c r="D19" s="90" t="e">
        <f t="shared" si="0"/>
        <v>#REF!</v>
      </c>
      <c r="E19" s="90" t="e">
        <f>'[1]РВ Баумана'!C19+#REF!+'[1]РВ Березовая Пойма'!C19+#REF!+'[1]РВ Новикова-Прибоя'!C19+#REF!</f>
        <v>#REF!</v>
      </c>
      <c r="F19" s="90" t="e">
        <f>'[1]РВ Баумана'!D19+#REF!+'[1]РВ Березовая Пойма'!D19+#REF!+'[1]РВ Новикова-Прибоя'!D19+#REF!</f>
        <v>#REF!</v>
      </c>
      <c r="G19" s="90" t="e">
        <f t="shared" si="1"/>
        <v>#REF!</v>
      </c>
      <c r="H19" s="91" t="e">
        <f t="shared" si="2"/>
        <v>#REF!</v>
      </c>
      <c r="I19" s="91" t="e">
        <f t="shared" si="2"/>
        <v>#REF!</v>
      </c>
      <c r="J19" s="91" t="e">
        <f t="shared" si="3"/>
        <v>#REF!</v>
      </c>
      <c r="K19" s="91" t="e">
        <f t="shared" si="4"/>
        <v>#REF!</v>
      </c>
      <c r="L19" s="91" t="e">
        <f t="shared" si="5"/>
        <v>#REF!</v>
      </c>
      <c r="M19" s="2" t="str">
        <f>IF(OR(WEEKDAY(A19)=1,WEEKDAY(A19)=7,NOT(ISERROR(MATCH(A19,[1]Праздники!A:A,0)))),"Выходной","Рабочий")</f>
        <v>Рабочий</v>
      </c>
    </row>
    <row r="20" spans="1:13">
      <c r="A20" s="233">
        <v>45792</v>
      </c>
      <c r="B20" s="234"/>
      <c r="C20" s="89" t="e">
        <f>'[1]РВ Баумана'!G20+#REF!+'[1]РВ Березовая Пойма'!G20+#REF!+'[1]РВ Новикова-Прибоя'!G20+#REF!</f>
        <v>#REF!</v>
      </c>
      <c r="D20" s="90" t="e">
        <f t="shared" si="0"/>
        <v>#REF!</v>
      </c>
      <c r="E20" s="90" t="e">
        <f>'[1]РВ Баумана'!C20+#REF!+'[1]РВ Березовая Пойма'!C20+#REF!+'[1]РВ Новикова-Прибоя'!C20+#REF!</f>
        <v>#REF!</v>
      </c>
      <c r="F20" s="90" t="e">
        <f>'[1]РВ Баумана'!D20+#REF!+'[1]РВ Березовая Пойма'!D20+#REF!+'[1]РВ Новикова-Прибоя'!D20+#REF!</f>
        <v>#REF!</v>
      </c>
      <c r="G20" s="90" t="e">
        <f t="shared" si="1"/>
        <v>#REF!</v>
      </c>
      <c r="H20" s="91" t="e">
        <f t="shared" si="2"/>
        <v>#REF!</v>
      </c>
      <c r="I20" s="91" t="e">
        <f t="shared" si="2"/>
        <v>#REF!</v>
      </c>
      <c r="J20" s="91" t="e">
        <f t="shared" si="3"/>
        <v>#REF!</v>
      </c>
      <c r="K20" s="91" t="e">
        <f t="shared" si="4"/>
        <v>#REF!</v>
      </c>
      <c r="L20" s="91" t="e">
        <f t="shared" si="5"/>
        <v>#REF!</v>
      </c>
      <c r="M20" s="2" t="str">
        <f>IF(OR(WEEKDAY(A20)=1,WEEKDAY(A20)=7,NOT(ISERROR(MATCH(A20,[1]Праздники!A:A,0)))),"Выходной","Рабочий")</f>
        <v>Рабочий</v>
      </c>
    </row>
    <row r="21" spans="1:13">
      <c r="A21" s="233">
        <v>45793</v>
      </c>
      <c r="B21" s="234"/>
      <c r="C21" s="89" t="e">
        <f>'[1]РВ Баумана'!G21+#REF!+'[1]РВ Березовая Пойма'!G21+#REF!+'[1]РВ Новикова-Прибоя'!G21+#REF!</f>
        <v>#REF!</v>
      </c>
      <c r="D21" s="90" t="e">
        <f t="shared" si="0"/>
        <v>#REF!</v>
      </c>
      <c r="E21" s="90" t="e">
        <f>'[1]РВ Баумана'!C21+#REF!+'[1]РВ Березовая Пойма'!C21+#REF!+'[1]РВ Новикова-Прибоя'!C21+#REF!</f>
        <v>#REF!</v>
      </c>
      <c r="F21" s="90" t="e">
        <f>'[1]РВ Баумана'!D21+#REF!+'[1]РВ Березовая Пойма'!D21+#REF!+'[1]РВ Новикова-Прибоя'!D21+#REF!</f>
        <v>#REF!</v>
      </c>
      <c r="G21" s="90" t="e">
        <f t="shared" si="1"/>
        <v>#REF!</v>
      </c>
      <c r="H21" s="91" t="e">
        <f t="shared" si="2"/>
        <v>#REF!</v>
      </c>
      <c r="I21" s="91" t="e">
        <f t="shared" si="2"/>
        <v>#REF!</v>
      </c>
      <c r="J21" s="91" t="e">
        <f t="shared" si="3"/>
        <v>#REF!</v>
      </c>
      <c r="K21" s="91" t="e">
        <f t="shared" si="4"/>
        <v>#REF!</v>
      </c>
      <c r="L21" s="91" t="e">
        <f t="shared" si="5"/>
        <v>#REF!</v>
      </c>
      <c r="M21" s="2" t="str">
        <f>IF(OR(WEEKDAY(A21)=1,WEEKDAY(A21)=7,NOT(ISERROR(MATCH(A21,[1]Праздники!A:A,0)))),"Выходной","Рабочий")</f>
        <v>Рабочий</v>
      </c>
    </row>
    <row r="22" spans="1:13">
      <c r="A22" s="233">
        <v>45794</v>
      </c>
      <c r="B22" s="234"/>
      <c r="C22" s="89" t="e">
        <f>'[1]РВ Баумана'!G22+#REF!+'[1]РВ Березовая Пойма'!G22+#REF!+'[1]РВ Новикова-Прибоя'!G22+#REF!</f>
        <v>#REF!</v>
      </c>
      <c r="D22" s="90" t="e">
        <f t="shared" si="0"/>
        <v>#REF!</v>
      </c>
      <c r="E22" s="90" t="e">
        <f>'[1]РВ Баумана'!C22+#REF!+'[1]РВ Березовая Пойма'!C22+#REF!+'[1]РВ Новикова-Прибоя'!C22+#REF!</f>
        <v>#REF!</v>
      </c>
      <c r="F22" s="90" t="e">
        <f>'[1]РВ Баумана'!D22+#REF!+'[1]РВ Березовая Пойма'!D22+#REF!+'[1]РВ Новикова-Прибоя'!D22+#REF!</f>
        <v>#REF!</v>
      </c>
      <c r="G22" s="90" t="e">
        <f t="shared" si="1"/>
        <v>#REF!</v>
      </c>
      <c r="H22" s="91" t="e">
        <f t="shared" si="2"/>
        <v>#REF!</v>
      </c>
      <c r="I22" s="91" t="e">
        <f t="shared" si="2"/>
        <v>#REF!</v>
      </c>
      <c r="J22" s="91" t="e">
        <f t="shared" si="3"/>
        <v>#REF!</v>
      </c>
      <c r="K22" s="91" t="e">
        <f t="shared" si="4"/>
        <v>#REF!</v>
      </c>
      <c r="L22" s="91" t="e">
        <f t="shared" si="5"/>
        <v>#REF!</v>
      </c>
      <c r="M22" s="2" t="str">
        <f>IF(OR(WEEKDAY(A22)=1,WEEKDAY(A22)=7,NOT(ISERROR(MATCH(A22,[1]Праздники!A:A,0)))),"Выходной","Рабочий")</f>
        <v>Выходной</v>
      </c>
    </row>
    <row r="23" spans="1:13">
      <c r="A23" s="233">
        <v>45795</v>
      </c>
      <c r="B23" s="234"/>
      <c r="C23" s="89" t="e">
        <f>'[1]РВ Баумана'!G23+#REF!+'[1]РВ Березовая Пойма'!G23+#REF!+'[1]РВ Новикова-Прибоя'!G23+#REF!</f>
        <v>#REF!</v>
      </c>
      <c r="D23" s="90" t="e">
        <f t="shared" si="0"/>
        <v>#REF!</v>
      </c>
      <c r="E23" s="90" t="e">
        <f>'[1]РВ Баумана'!C23+#REF!+'[1]РВ Березовая Пойма'!C23+#REF!+'[1]РВ Новикова-Прибоя'!C23+#REF!</f>
        <v>#REF!</v>
      </c>
      <c r="F23" s="90" t="e">
        <f>'[1]РВ Баумана'!D23+#REF!+'[1]РВ Березовая Пойма'!D23+#REF!+'[1]РВ Новикова-Прибоя'!D23+#REF!</f>
        <v>#REF!</v>
      </c>
      <c r="G23" s="90" t="e">
        <f t="shared" si="1"/>
        <v>#REF!</v>
      </c>
      <c r="H23" s="91" t="e">
        <f t="shared" si="2"/>
        <v>#REF!</v>
      </c>
      <c r="I23" s="91" t="e">
        <f t="shared" si="2"/>
        <v>#REF!</v>
      </c>
      <c r="J23" s="91" t="e">
        <f t="shared" si="3"/>
        <v>#REF!</v>
      </c>
      <c r="K23" s="91" t="e">
        <f t="shared" si="4"/>
        <v>#REF!</v>
      </c>
      <c r="L23" s="91" t="e">
        <f t="shared" si="5"/>
        <v>#REF!</v>
      </c>
      <c r="M23" s="2" t="str">
        <f>IF(OR(WEEKDAY(A23)=1,WEEKDAY(A23)=7,NOT(ISERROR(MATCH(A23,[1]Праздники!A:A,0)))),"Выходной","Рабочий")</f>
        <v>Выходной</v>
      </c>
    </row>
    <row r="24" spans="1:13">
      <c r="A24" s="233">
        <v>45796</v>
      </c>
      <c r="B24" s="234"/>
      <c r="C24" s="89" t="e">
        <f>'[1]РВ Баумана'!G24+#REF!+'[1]РВ Березовая Пойма'!G24+#REF!+'[1]РВ Новикова-Прибоя'!G24+#REF!</f>
        <v>#REF!</v>
      </c>
      <c r="D24" s="90" t="e">
        <f t="shared" si="0"/>
        <v>#REF!</v>
      </c>
      <c r="E24" s="90" t="e">
        <f>'[1]РВ Баумана'!C24+#REF!+'[1]РВ Березовая Пойма'!C24+#REF!+'[1]РВ Новикова-Прибоя'!C24+#REF!</f>
        <v>#REF!</v>
      </c>
      <c r="F24" s="90" t="e">
        <f>'[1]РВ Баумана'!D24+#REF!+'[1]РВ Березовая Пойма'!D24+#REF!+'[1]РВ Новикова-Прибоя'!D24+#REF!</f>
        <v>#REF!</v>
      </c>
      <c r="G24" s="90" t="e">
        <f t="shared" si="1"/>
        <v>#REF!</v>
      </c>
      <c r="H24" s="91" t="e">
        <f t="shared" si="2"/>
        <v>#REF!</v>
      </c>
      <c r="I24" s="91" t="e">
        <f t="shared" si="2"/>
        <v>#REF!</v>
      </c>
      <c r="J24" s="91" t="e">
        <f t="shared" si="3"/>
        <v>#REF!</v>
      </c>
      <c r="K24" s="91" t="e">
        <f t="shared" si="4"/>
        <v>#REF!</v>
      </c>
      <c r="L24" s="91" t="e">
        <f t="shared" si="5"/>
        <v>#REF!</v>
      </c>
      <c r="M24" s="2" t="str">
        <f>IF(OR(WEEKDAY(A24)=1,WEEKDAY(A24)=7,NOT(ISERROR(MATCH(A24,[1]Праздники!A:A,0)))),"Выходной","Рабочий")</f>
        <v>Рабочий</v>
      </c>
    </row>
    <row r="25" spans="1:13">
      <c r="A25" s="233">
        <v>45797</v>
      </c>
      <c r="B25" s="234"/>
      <c r="C25" s="89" t="e">
        <f>'[1]РВ Баумана'!G25+#REF!+'[1]РВ Березовая Пойма'!G25+#REF!+'[1]РВ Новикова-Прибоя'!G25+#REF!</f>
        <v>#REF!</v>
      </c>
      <c r="D25" s="90" t="e">
        <f t="shared" si="0"/>
        <v>#REF!</v>
      </c>
      <c r="E25" s="90" t="e">
        <f>'[1]РВ Баумана'!C25+#REF!+'[1]РВ Березовая Пойма'!C25+#REF!+'[1]РВ Новикова-Прибоя'!C25+#REF!</f>
        <v>#REF!</v>
      </c>
      <c r="F25" s="90" t="e">
        <f>'[1]РВ Баумана'!D25+#REF!+'[1]РВ Березовая Пойма'!D25+#REF!+'[1]РВ Новикова-Прибоя'!D25+#REF!</f>
        <v>#REF!</v>
      </c>
      <c r="G25" s="90" t="e">
        <f t="shared" si="1"/>
        <v>#REF!</v>
      </c>
      <c r="H25" s="91" t="e">
        <f t="shared" si="2"/>
        <v>#REF!</v>
      </c>
      <c r="I25" s="91" t="e">
        <f t="shared" si="2"/>
        <v>#REF!</v>
      </c>
      <c r="J25" s="91" t="e">
        <f t="shared" si="3"/>
        <v>#REF!</v>
      </c>
      <c r="K25" s="91" t="e">
        <f t="shared" si="4"/>
        <v>#REF!</v>
      </c>
      <c r="L25" s="91" t="e">
        <f t="shared" si="5"/>
        <v>#REF!</v>
      </c>
      <c r="M25" s="2" t="str">
        <f>IF(OR(WEEKDAY(A25)=1,WEEKDAY(A25)=7,NOT(ISERROR(MATCH(A25,[1]Праздники!A:A,0)))),"Выходной","Рабочий")</f>
        <v>Рабочий</v>
      </c>
    </row>
    <row r="26" spans="1:13">
      <c r="A26" s="233">
        <v>45798</v>
      </c>
      <c r="B26" s="234"/>
      <c r="C26" s="89" t="e">
        <f>'[1]РВ Баумана'!G26+#REF!+'[1]РВ Березовая Пойма'!G26+#REF!+'[1]РВ Новикова-Прибоя'!G26+#REF!</f>
        <v>#REF!</v>
      </c>
      <c r="D26" s="90" t="e">
        <f t="shared" si="0"/>
        <v>#REF!</v>
      </c>
      <c r="E26" s="90" t="e">
        <f>'[1]РВ Баумана'!C26+#REF!+'[1]РВ Березовая Пойма'!C26+#REF!+'[1]РВ Новикова-Прибоя'!C26+#REF!</f>
        <v>#REF!</v>
      </c>
      <c r="F26" s="90" t="e">
        <f>'[1]РВ Баумана'!D26+#REF!+'[1]РВ Березовая Пойма'!D26+#REF!+'[1]РВ Новикова-Прибоя'!D26+#REF!</f>
        <v>#REF!</v>
      </c>
      <c r="G26" s="90" t="e">
        <f t="shared" si="1"/>
        <v>#REF!</v>
      </c>
      <c r="H26" s="91" t="e">
        <f t="shared" si="2"/>
        <v>#REF!</v>
      </c>
      <c r="I26" s="91" t="e">
        <f t="shared" si="2"/>
        <v>#REF!</v>
      </c>
      <c r="J26" s="91" t="e">
        <f t="shared" si="3"/>
        <v>#REF!</v>
      </c>
      <c r="K26" s="91" t="e">
        <f t="shared" si="4"/>
        <v>#REF!</v>
      </c>
      <c r="L26" s="91" t="e">
        <f t="shared" si="5"/>
        <v>#REF!</v>
      </c>
      <c r="M26" s="2" t="str">
        <f>IF(OR(WEEKDAY(A26)=1,WEEKDAY(A26)=7,NOT(ISERROR(MATCH(A26,[1]Праздники!A:A,0)))),"Выходной","Рабочий")</f>
        <v>Рабочий</v>
      </c>
    </row>
    <row r="27" spans="1:13" ht="15" customHeight="1">
      <c r="A27" s="233">
        <v>45799</v>
      </c>
      <c r="B27" s="234"/>
      <c r="C27" s="89" t="e">
        <f>'[1]РВ Баумана'!G27+#REF!+'[1]РВ Березовая Пойма'!G27+#REF!+'[1]РВ Новикова-Прибоя'!G27+#REF!</f>
        <v>#REF!</v>
      </c>
      <c r="D27" s="90" t="e">
        <f t="shared" si="0"/>
        <v>#REF!</v>
      </c>
      <c r="E27" s="90" t="e">
        <f>'[1]РВ Баумана'!C27+#REF!+'[1]РВ Березовая Пойма'!C27+#REF!+'[1]РВ Новикова-Прибоя'!C27+#REF!</f>
        <v>#REF!</v>
      </c>
      <c r="F27" s="90" t="e">
        <f>'[1]РВ Баумана'!D27+#REF!+'[1]РВ Березовая Пойма'!D27+#REF!+'[1]РВ Новикова-Прибоя'!D27+#REF!</f>
        <v>#REF!</v>
      </c>
      <c r="G27" s="90" t="e">
        <f t="shared" si="1"/>
        <v>#REF!</v>
      </c>
      <c r="H27" s="91" t="e">
        <f t="shared" si="2"/>
        <v>#REF!</v>
      </c>
      <c r="I27" s="91" t="e">
        <f t="shared" si="2"/>
        <v>#REF!</v>
      </c>
      <c r="J27" s="91" t="e">
        <f t="shared" si="3"/>
        <v>#REF!</v>
      </c>
      <c r="K27" s="91" t="e">
        <f t="shared" si="4"/>
        <v>#REF!</v>
      </c>
      <c r="L27" s="91" t="e">
        <f t="shared" si="5"/>
        <v>#REF!</v>
      </c>
      <c r="M27" s="2" t="str">
        <f>IF(OR(WEEKDAY(A27)=1,WEEKDAY(A27)=7,NOT(ISERROR(MATCH(A27,[1]Праздники!A:A,0)))),"Выходной","Рабочий")</f>
        <v>Рабочий</v>
      </c>
    </row>
    <row r="28" spans="1:13">
      <c r="A28" s="233">
        <v>45800</v>
      </c>
      <c r="B28" s="234"/>
      <c r="C28" s="89" t="e">
        <f>'[1]РВ Баумана'!G28+#REF!+'[1]РВ Березовая Пойма'!G28+#REF!+'[1]РВ Новикова-Прибоя'!G28+#REF!</f>
        <v>#REF!</v>
      </c>
      <c r="D28" s="90" t="e">
        <f t="shared" si="0"/>
        <v>#REF!</v>
      </c>
      <c r="E28" s="90" t="e">
        <f>'[1]РВ Баумана'!C28+#REF!+'[1]РВ Березовая Пойма'!C28+#REF!+'[1]РВ Новикова-Прибоя'!C28+#REF!</f>
        <v>#REF!</v>
      </c>
      <c r="F28" s="90" t="e">
        <f>'[1]РВ Баумана'!D28+#REF!+'[1]РВ Березовая Пойма'!D28+#REF!+'[1]РВ Новикова-Прибоя'!D28+#REF!</f>
        <v>#REF!</v>
      </c>
      <c r="G28" s="90" t="e">
        <f t="shared" si="1"/>
        <v>#REF!</v>
      </c>
      <c r="H28" s="91" t="e">
        <f t="shared" si="2"/>
        <v>#REF!</v>
      </c>
      <c r="I28" s="91" t="e">
        <f t="shared" si="2"/>
        <v>#REF!</v>
      </c>
      <c r="J28" s="91" t="e">
        <f t="shared" si="3"/>
        <v>#REF!</v>
      </c>
      <c r="K28" s="91" t="e">
        <f t="shared" si="4"/>
        <v>#REF!</v>
      </c>
      <c r="L28" s="91" t="e">
        <f t="shared" si="5"/>
        <v>#REF!</v>
      </c>
      <c r="M28" s="2" t="str">
        <f>IF(OR(WEEKDAY(A28)=1,WEEKDAY(A28)=7,NOT(ISERROR(MATCH(A28,[1]Праздники!A:A,0)))),"Выходной","Рабочий")</f>
        <v>Рабочий</v>
      </c>
    </row>
    <row r="29" spans="1:13">
      <c r="A29" s="233">
        <v>45801</v>
      </c>
      <c r="B29" s="234"/>
      <c r="C29" s="89" t="e">
        <f>'[1]РВ Баумана'!G29+#REF!+'[1]РВ Березовая Пойма'!G29+#REF!+'[1]РВ Новикова-Прибоя'!G29+#REF!</f>
        <v>#REF!</v>
      </c>
      <c r="D29" s="90" t="e">
        <f t="shared" si="0"/>
        <v>#REF!</v>
      </c>
      <c r="E29" s="90" t="e">
        <f>'[1]РВ Баумана'!C29+#REF!+'[1]РВ Березовая Пойма'!C29+#REF!+'[1]РВ Новикова-Прибоя'!C29+#REF!</f>
        <v>#REF!</v>
      </c>
      <c r="F29" s="90" t="e">
        <f>'[1]РВ Баумана'!D29+#REF!+'[1]РВ Березовая Пойма'!D29+#REF!+'[1]РВ Новикова-Прибоя'!D29+#REF!</f>
        <v>#REF!</v>
      </c>
      <c r="G29" s="90" t="e">
        <f t="shared" si="1"/>
        <v>#REF!</v>
      </c>
      <c r="H29" s="91" t="e">
        <f t="shared" si="2"/>
        <v>#REF!</v>
      </c>
      <c r="I29" s="91" t="e">
        <f t="shared" si="2"/>
        <v>#REF!</v>
      </c>
      <c r="J29" s="91" t="e">
        <f t="shared" si="3"/>
        <v>#REF!</v>
      </c>
      <c r="K29" s="91" t="e">
        <f t="shared" si="4"/>
        <v>#REF!</v>
      </c>
      <c r="L29" s="91" t="e">
        <f t="shared" si="5"/>
        <v>#REF!</v>
      </c>
      <c r="M29" s="2" t="str">
        <f>IF(OR(WEEKDAY(A29)=1,WEEKDAY(A29)=7,NOT(ISERROR(MATCH(A29,[1]Праздники!A:A,0)))),"Выходной","Рабочий")</f>
        <v>Выходной</v>
      </c>
    </row>
    <row r="30" spans="1:13">
      <c r="A30" s="233">
        <v>45802</v>
      </c>
      <c r="B30" s="234"/>
      <c r="C30" s="89" t="e">
        <f>'[1]РВ Баумана'!G30+#REF!+'[1]РВ Березовая Пойма'!G30+#REF!+'[1]РВ Новикова-Прибоя'!G30+#REF!</f>
        <v>#REF!</v>
      </c>
      <c r="D30" s="90" t="e">
        <f t="shared" si="0"/>
        <v>#REF!</v>
      </c>
      <c r="E30" s="90" t="e">
        <f>'[1]РВ Баумана'!C30+#REF!+'[1]РВ Березовая Пойма'!C30+#REF!+'[1]РВ Новикова-Прибоя'!C30+#REF!</f>
        <v>#REF!</v>
      </c>
      <c r="F30" s="90" t="e">
        <f>'[1]РВ Баумана'!D30+#REF!+'[1]РВ Березовая Пойма'!D30+#REF!+'[1]РВ Новикова-Прибоя'!D30+#REF!</f>
        <v>#REF!</v>
      </c>
      <c r="G30" s="90" t="e">
        <f t="shared" si="1"/>
        <v>#REF!</v>
      </c>
      <c r="H30" s="91" t="e">
        <f t="shared" si="2"/>
        <v>#REF!</v>
      </c>
      <c r="I30" s="91" t="e">
        <f t="shared" si="2"/>
        <v>#REF!</v>
      </c>
      <c r="J30" s="91" t="e">
        <f t="shared" si="3"/>
        <v>#REF!</v>
      </c>
      <c r="K30" s="91" t="e">
        <f t="shared" si="4"/>
        <v>#REF!</v>
      </c>
      <c r="L30" s="91" t="e">
        <f t="shared" si="5"/>
        <v>#REF!</v>
      </c>
      <c r="M30" s="2" t="str">
        <f>IF(OR(WEEKDAY(A30)=1,WEEKDAY(A30)=7,NOT(ISERROR(MATCH(A30,[1]Праздники!A:A,0)))),"Выходной","Рабочий")</f>
        <v>Выходной</v>
      </c>
    </row>
    <row r="31" spans="1:13">
      <c r="A31" s="233">
        <v>45803</v>
      </c>
      <c r="B31" s="234"/>
      <c r="C31" s="89" t="e">
        <f>'[1]РВ Баумана'!G31+#REF!+'[1]РВ Березовая Пойма'!G31+#REF!+'[1]РВ Новикова-Прибоя'!G31+#REF!</f>
        <v>#REF!</v>
      </c>
      <c r="D31" s="90" t="e">
        <f t="shared" si="0"/>
        <v>#REF!</v>
      </c>
      <c r="E31" s="90" t="e">
        <f>'[1]РВ Баумана'!C31+#REF!+'[1]РВ Березовая Пойма'!C31+#REF!+'[1]РВ Новикова-Прибоя'!C31+#REF!</f>
        <v>#REF!</v>
      </c>
      <c r="F31" s="90" t="e">
        <f>'[1]РВ Баумана'!D31+#REF!+'[1]РВ Березовая Пойма'!D31+#REF!+'[1]РВ Новикова-Прибоя'!D31+#REF!</f>
        <v>#REF!</v>
      </c>
      <c r="G31" s="90" t="e">
        <f t="shared" si="1"/>
        <v>#REF!</v>
      </c>
      <c r="H31" s="91" t="e">
        <f t="shared" si="2"/>
        <v>#REF!</v>
      </c>
      <c r="I31" s="91" t="e">
        <f t="shared" si="2"/>
        <v>#REF!</v>
      </c>
      <c r="J31" s="91" t="e">
        <f t="shared" si="3"/>
        <v>#REF!</v>
      </c>
      <c r="K31" s="91" t="e">
        <f t="shared" si="4"/>
        <v>#REF!</v>
      </c>
      <c r="L31" s="91" t="e">
        <f t="shared" si="5"/>
        <v>#REF!</v>
      </c>
      <c r="M31" s="2" t="str">
        <f>IF(OR(WEEKDAY(A31)=1,WEEKDAY(A31)=7,NOT(ISERROR(MATCH(A31,[1]Праздники!A:A,0)))),"Выходной","Рабочий")</f>
        <v>Рабочий</v>
      </c>
    </row>
    <row r="32" spans="1:13">
      <c r="A32" s="233">
        <v>45804</v>
      </c>
      <c r="B32" s="234"/>
      <c r="C32" s="89" t="e">
        <f>'[1]РВ Баумана'!G32+#REF!+'[1]РВ Березовая Пойма'!G32+#REF!+'[1]РВ Новикова-Прибоя'!G32+#REF!</f>
        <v>#REF!</v>
      </c>
      <c r="D32" s="90" t="e">
        <f t="shared" si="0"/>
        <v>#REF!</v>
      </c>
      <c r="E32" s="90" t="e">
        <f>'[1]РВ Баумана'!C32+#REF!+'[1]РВ Березовая Пойма'!C32+#REF!+'[1]РВ Новикова-Прибоя'!C32+#REF!</f>
        <v>#REF!</v>
      </c>
      <c r="F32" s="90" t="e">
        <f>'[1]РВ Баумана'!D32+#REF!+'[1]РВ Березовая Пойма'!D32+#REF!+'[1]РВ Новикова-Прибоя'!D32+#REF!</f>
        <v>#REF!</v>
      </c>
      <c r="G32" s="90" t="e">
        <f t="shared" si="1"/>
        <v>#REF!</v>
      </c>
      <c r="H32" s="91" t="e">
        <f t="shared" si="2"/>
        <v>#REF!</v>
      </c>
      <c r="I32" s="91" t="e">
        <f t="shared" si="2"/>
        <v>#REF!</v>
      </c>
      <c r="J32" s="91" t="e">
        <f t="shared" si="3"/>
        <v>#REF!</v>
      </c>
      <c r="K32" s="91" t="e">
        <f t="shared" si="4"/>
        <v>#REF!</v>
      </c>
      <c r="L32" s="91" t="e">
        <f t="shared" si="5"/>
        <v>#REF!</v>
      </c>
      <c r="M32" s="2" t="str">
        <f>IF(OR(WEEKDAY(A32)=1,WEEKDAY(A32)=7,NOT(ISERROR(MATCH(A32,[1]Праздники!A:A,0)))),"Выходной","Рабочий")</f>
        <v>Рабочий</v>
      </c>
    </row>
    <row r="33" spans="1:14">
      <c r="A33" s="233">
        <v>45805</v>
      </c>
      <c r="B33" s="234"/>
      <c r="C33" s="89" t="e">
        <f>'[1]РВ Баумана'!G33+#REF!+'[1]РВ Березовая Пойма'!G33+#REF!+'[1]РВ Новикова-Прибоя'!G33+#REF!</f>
        <v>#REF!</v>
      </c>
      <c r="D33" s="90" t="e">
        <f t="shared" si="0"/>
        <v>#REF!</v>
      </c>
      <c r="E33" s="90" t="e">
        <f>'[1]РВ Баумана'!C33+#REF!+'[1]РВ Березовая Пойма'!C33+#REF!+'[1]РВ Новикова-Прибоя'!C33+#REF!</f>
        <v>#REF!</v>
      </c>
      <c r="F33" s="90" t="e">
        <f>'[1]РВ Баумана'!D33+#REF!+'[1]РВ Березовая Пойма'!D33+#REF!+'[1]РВ Новикова-Прибоя'!D33+#REF!</f>
        <v>#REF!</v>
      </c>
      <c r="G33" s="90" t="e">
        <f t="shared" si="1"/>
        <v>#REF!</v>
      </c>
      <c r="H33" s="91" t="e">
        <f t="shared" si="2"/>
        <v>#REF!</v>
      </c>
      <c r="I33" s="91" t="e">
        <f t="shared" si="2"/>
        <v>#REF!</v>
      </c>
      <c r="J33" s="91" t="e">
        <f t="shared" si="3"/>
        <v>#REF!</v>
      </c>
      <c r="K33" s="91" t="e">
        <f t="shared" si="4"/>
        <v>#REF!</v>
      </c>
      <c r="L33" s="91" t="e">
        <f t="shared" si="5"/>
        <v>#REF!</v>
      </c>
      <c r="M33" s="2" t="str">
        <f>IF(OR(WEEKDAY(A33)=1,WEEKDAY(A33)=7,NOT(ISERROR(MATCH(A33,[1]Праздники!A:A,0)))),"Выходной","Рабочий")</f>
        <v>Рабочий</v>
      </c>
    </row>
    <row r="34" spans="1:14">
      <c r="A34" s="233">
        <v>45806</v>
      </c>
      <c r="B34" s="234"/>
      <c r="C34" s="89" t="e">
        <f>'[1]РВ Баумана'!G34+#REF!+'[1]РВ Березовая Пойма'!G34+#REF!+'[1]РВ Новикова-Прибоя'!G34+#REF!</f>
        <v>#REF!</v>
      </c>
      <c r="D34" s="90" t="e">
        <f t="shared" si="0"/>
        <v>#REF!</v>
      </c>
      <c r="E34" s="90" t="e">
        <f>'[1]РВ Баумана'!C34+#REF!+'[1]РВ Березовая Пойма'!C34+#REF!+'[1]РВ Новикова-Прибоя'!C34+#REF!</f>
        <v>#REF!</v>
      </c>
      <c r="F34" s="90" t="e">
        <f>'[1]РВ Баумана'!D34+#REF!+'[1]РВ Березовая Пойма'!D34+#REF!+'[1]РВ Новикова-Прибоя'!D34+#REF!</f>
        <v>#REF!</v>
      </c>
      <c r="G34" s="90" t="e">
        <f t="shared" si="1"/>
        <v>#REF!</v>
      </c>
      <c r="H34" s="91" t="e">
        <f t="shared" si="2"/>
        <v>#REF!</v>
      </c>
      <c r="I34" s="91" t="e">
        <f t="shared" si="2"/>
        <v>#REF!</v>
      </c>
      <c r="J34" s="91" t="e">
        <f t="shared" si="3"/>
        <v>#REF!</v>
      </c>
      <c r="K34" s="91" t="e">
        <f t="shared" si="4"/>
        <v>#REF!</v>
      </c>
      <c r="L34" s="91" t="e">
        <f t="shared" si="5"/>
        <v>#REF!</v>
      </c>
      <c r="M34" s="2" t="str">
        <f>IF(OR(WEEKDAY(A34)=1,WEEKDAY(A34)=7,NOT(ISERROR(MATCH(A34,[1]Праздники!A:A,0)))),"Выходной","Рабочий")</f>
        <v>Рабочий</v>
      </c>
    </row>
    <row r="35" spans="1:14">
      <c r="A35" s="233">
        <v>45807</v>
      </c>
      <c r="B35" s="234"/>
      <c r="C35" s="89" t="e">
        <f>'[1]РВ Баумана'!G35+#REF!+'[1]РВ Березовая Пойма'!G35+#REF!+'[1]РВ Новикова-Прибоя'!G35+#REF!</f>
        <v>#REF!</v>
      </c>
      <c r="D35" s="90" t="e">
        <f t="shared" si="0"/>
        <v>#REF!</v>
      </c>
      <c r="E35" s="90" t="e">
        <f>'[1]РВ Баумана'!C35+#REF!+'[1]РВ Березовая Пойма'!C35+#REF!+'[1]РВ Новикова-Прибоя'!C35+#REF!</f>
        <v>#REF!</v>
      </c>
      <c r="F35" s="90" t="e">
        <f>'[1]РВ Баумана'!D35+#REF!+'[1]РВ Березовая Пойма'!D35+#REF!+'[1]РВ Новикова-Прибоя'!D35+#REF!</f>
        <v>#REF!</v>
      </c>
      <c r="G35" s="90" t="e">
        <f t="shared" si="1"/>
        <v>#REF!</v>
      </c>
      <c r="H35" s="91" t="e">
        <f t="shared" si="2"/>
        <v>#REF!</v>
      </c>
      <c r="I35" s="91" t="e">
        <f t="shared" si="2"/>
        <v>#REF!</v>
      </c>
      <c r="J35" s="91" t="e">
        <f t="shared" si="3"/>
        <v>#REF!</v>
      </c>
      <c r="K35" s="91" t="e">
        <f t="shared" si="4"/>
        <v>#REF!</v>
      </c>
      <c r="L35" s="91" t="e">
        <f t="shared" si="5"/>
        <v>#REF!</v>
      </c>
      <c r="M35" s="2" t="str">
        <f>IF(OR(WEEKDAY(A35)=1,WEEKDAY(A35)=7,NOT(ISERROR(MATCH(A35,[1]Праздники!A:A,0)))),"Выходной","Рабочий")</f>
        <v>Рабочий</v>
      </c>
    </row>
    <row r="36" spans="1:14" ht="15.75" thickBot="1">
      <c r="A36" s="233">
        <v>45808</v>
      </c>
      <c r="B36" s="234"/>
      <c r="C36" s="89" t="e">
        <f>'[1]РВ Баумана'!G36+#REF!+'[1]РВ Березовая Пойма'!G36+#REF!+'[1]РВ Новикова-Прибоя'!G36+#REF!</f>
        <v>#REF!</v>
      </c>
      <c r="D36" s="90" t="e">
        <f t="shared" si="0"/>
        <v>#REF!</v>
      </c>
      <c r="E36" s="90" t="e">
        <f>'[1]РВ Баумана'!C36+#REF!+'[1]РВ Березовая Пойма'!C36+#REF!+'[1]РВ Новикова-Прибоя'!C36+#REF!</f>
        <v>#REF!</v>
      </c>
      <c r="F36" s="90" t="e">
        <f>'[1]РВ Баумана'!D36+#REF!+'[1]РВ Березовая Пойма'!D36+#REF!+'[1]РВ Новикова-Прибоя'!D36+#REF!</f>
        <v>#REF!</v>
      </c>
      <c r="G36" s="90" t="e">
        <f t="shared" si="1"/>
        <v>#REF!</v>
      </c>
      <c r="H36" s="91" t="e">
        <f t="shared" si="2"/>
        <v>#REF!</v>
      </c>
      <c r="I36" s="91" t="e">
        <f t="shared" si="2"/>
        <v>#REF!</v>
      </c>
      <c r="J36" s="91" t="e">
        <f t="shared" si="3"/>
        <v>#REF!</v>
      </c>
      <c r="K36" s="91" t="e">
        <f t="shared" si="4"/>
        <v>#REF!</v>
      </c>
      <c r="L36" s="91" t="e">
        <f t="shared" si="5"/>
        <v>#REF!</v>
      </c>
      <c r="M36" s="2" t="str">
        <f>IF(OR(WEEKDAY(A36)=1,WEEKDAY(A36)=7,NOT(ISERROR(MATCH(A36,[1]Праздники!A:A,0)))),"Выходной","Рабочий")</f>
        <v>Выходной</v>
      </c>
    </row>
    <row r="37" spans="1:14" ht="15.75" thickBot="1">
      <c r="C37" s="92" t="e">
        <f t="shared" ref="C37:L37" si="6">SUM(C6:C36)</f>
        <v>#REF!</v>
      </c>
      <c r="D37" s="92" t="e">
        <f t="shared" si="6"/>
        <v>#REF!</v>
      </c>
      <c r="E37" s="92" t="e">
        <f t="shared" si="6"/>
        <v>#REF!</v>
      </c>
      <c r="F37" s="92" t="e">
        <f t="shared" si="6"/>
        <v>#REF!</v>
      </c>
      <c r="G37" s="92" t="e">
        <f t="shared" si="6"/>
        <v>#REF!</v>
      </c>
      <c r="H37" s="93" t="e">
        <f t="shared" si="6"/>
        <v>#REF!</v>
      </c>
      <c r="I37" s="93" t="e">
        <f t="shared" si="6"/>
        <v>#REF!</v>
      </c>
      <c r="J37" s="93" t="e">
        <f t="shared" si="6"/>
        <v>#REF!</v>
      </c>
      <c r="K37" s="93" t="e">
        <f t="shared" si="6"/>
        <v>#REF!</v>
      </c>
      <c r="L37" s="94" t="e">
        <f t="shared" si="6"/>
        <v>#REF!</v>
      </c>
    </row>
    <row r="38" spans="1:14" ht="15.75" thickBot="1">
      <c r="C38" s="88"/>
      <c r="H38" s="88"/>
      <c r="I38" s="88"/>
      <c r="J38" s="88"/>
      <c r="K38" s="88"/>
      <c r="L38" s="95" t="e">
        <f>L37*1.2</f>
        <v>#REF!</v>
      </c>
      <c r="N38" s="96"/>
    </row>
    <row r="39" spans="1:14">
      <c r="C39" s="88"/>
      <c r="H39" s="88"/>
      <c r="I39" s="88"/>
      <c r="J39" s="88"/>
      <c r="K39" s="88"/>
    </row>
    <row r="40" spans="1:14">
      <c r="C40" s="88"/>
      <c r="H40" s="88"/>
      <c r="I40" s="88"/>
      <c r="J40" s="88"/>
      <c r="K40" s="88"/>
    </row>
  </sheetData>
  <mergeCells count="42"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12:B12"/>
    <mergeCell ref="H4:H5"/>
    <mergeCell ref="I4:I5"/>
    <mergeCell ref="J4:J5"/>
    <mergeCell ref="K4:K5"/>
    <mergeCell ref="A7:B7"/>
    <mergeCell ref="A8:B8"/>
    <mergeCell ref="A9:B9"/>
    <mergeCell ref="A10:B10"/>
    <mergeCell ref="A11:B11"/>
    <mergeCell ref="L4:L5"/>
    <mergeCell ref="A6:B6"/>
    <mergeCell ref="A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55</vt:i4>
      </vt:variant>
    </vt:vector>
  </HeadingPairs>
  <TitlesOfParts>
    <vt:vector size="55" baseType="lpstr">
      <vt:lpstr>Лист1</vt:lpstr>
      <vt:lpstr>Биаксплен Новосибирск</vt:lpstr>
      <vt:lpstr>ИТОГО</vt:lpstr>
      <vt:lpstr>Другое</vt:lpstr>
      <vt:lpstr>Нижнекамск завод</vt:lpstr>
      <vt:lpstr>Резерв</vt:lpstr>
      <vt:lpstr>РВ Баумана</vt:lpstr>
      <vt:lpstr>РВ Березовая Пойма</vt:lpstr>
      <vt:lpstr>РВ Новикова-Прибоя</vt:lpstr>
      <vt:lpstr>Нижнекамск экспорт</vt:lpstr>
      <vt:lpstr>Баумана экспорт</vt:lpstr>
      <vt:lpstr>Литейные решения</vt:lpstr>
      <vt:lpstr>ЛС-Техномет</vt:lpstr>
      <vt:lpstr>Сандекс</vt:lpstr>
      <vt:lpstr>СтройТех</vt:lpstr>
      <vt:lpstr>Доктор Франк</vt:lpstr>
      <vt:lpstr>Ергарда</vt:lpstr>
      <vt:lpstr>Зеленодольск Доп услуги</vt:lpstr>
      <vt:lpstr>Казань_Приволжская экспорт</vt:lpstr>
      <vt:lpstr>Казань_Автосервисная экспорт</vt:lpstr>
      <vt:lpstr>Екатеринбург экспорт</vt:lpstr>
      <vt:lpstr>ИП Ксендз Нижнекамск</vt:lpstr>
      <vt:lpstr>Баумана KPI</vt:lpstr>
      <vt:lpstr>Баумана Полимеры</vt:lpstr>
      <vt:lpstr>Баумана Полиом</vt:lpstr>
      <vt:lpstr>Лист1 (2)</vt:lpstr>
      <vt:lpstr>Лист1 (3)</vt:lpstr>
      <vt:lpstr>Лист1 (4)</vt:lpstr>
      <vt:lpstr>Екатеринбург KPI</vt:lpstr>
      <vt:lpstr>Екатеринбург Полимеры</vt:lpstr>
      <vt:lpstr>Екатеринбург Полиом</vt:lpstr>
      <vt:lpstr>Екатеринбург НПЭГ</vt:lpstr>
      <vt:lpstr>Зеленодольск Полимеры</vt:lpstr>
      <vt:lpstr>Данафлекс Зеленодольск</vt:lpstr>
      <vt:lpstr>Казань_Автосервисная Полимеры</vt:lpstr>
      <vt:lpstr>Казань_Автосервисная Полиом</vt:lpstr>
      <vt:lpstr>Казань_Приволжская Полимеры</vt:lpstr>
      <vt:lpstr>Нижнекамск Каучук</vt:lpstr>
      <vt:lpstr>Нижнекамск НПЭГ</vt:lpstr>
      <vt:lpstr>Нижнекамск ПСОН</vt:lpstr>
      <vt:lpstr>Нижнекамск СБС</vt:lpstr>
      <vt:lpstr>Новикова-Прибоя KPI</vt:lpstr>
      <vt:lpstr>Новикова-Прибоя Полимеры</vt:lpstr>
      <vt:lpstr>Новикова-Прибоя Полиом</vt:lpstr>
      <vt:lpstr>Новосибирск KPI</vt:lpstr>
      <vt:lpstr>Новосибирск Полимеры</vt:lpstr>
      <vt:lpstr>Новосибирск Полиом</vt:lpstr>
      <vt:lpstr>Новосибирск Порошок</vt:lpstr>
      <vt:lpstr>Новосибирск_Пасечная Порошок</vt:lpstr>
      <vt:lpstr>Праздники</vt:lpstr>
      <vt:lpstr>АВР Березовая Пойма</vt:lpstr>
      <vt:lpstr>АВР Новикова</vt:lpstr>
      <vt:lpstr>АВР Баумана</vt:lpstr>
      <vt:lpstr>Окская Мешки</vt:lpstr>
      <vt:lpstr>Общее и резерв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2026-02-26T08:19:09Z</dcterms:created>
  <dcterms:modified xsi:type="dcterms:W3CDTF">2026-04-01T14:39:29Z</dcterms:modified>
</cp:coreProperties>
</file>
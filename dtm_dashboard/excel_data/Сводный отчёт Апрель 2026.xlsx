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gram Files\Foxit Software\Foxit PDF Editor\"/>
    </mc:Choice>
  </mc:AlternateContent>
  <xr:revisionPtr revIDLastSave="0" documentId="13_ncr:1_{6708FCFA-402B-4DC9-BD23-2BC7A4279AA5}" xr6:coauthVersionLast="47" xr6:coauthVersionMax="47" xr10:uidLastSave="{00000000-0000-0000-0000-000000000000}"/>
  <bookViews>
    <workbookView xWindow="-120" yWindow="-120" windowWidth="29040" windowHeight="15840" firstSheet="2" activeTab="2" xr2:uid="{EE9BFEC0-C7F2-4BBF-9B8F-549BA1508A07}"/>
  </bookViews>
  <sheets>
    <sheet name="Лист1" sheetId="1" r:id="rId1"/>
    <sheet name="Биаксплен Новосибирск" sheetId="2" r:id="rId2"/>
    <sheet name="ИТОГО" sheetId="3" r:id="rId3"/>
    <sheet name="Другое" sheetId="4" r:id="rId4"/>
    <sheet name="Нижнекамск завод" sheetId="5" r:id="rId5"/>
    <sheet name="Сводка" sheetId="6" r:id="rId6"/>
    <sheet name="Нижнекамск экспорт" sheetId="7" r:id="rId7"/>
    <sheet name="Зеленодольск экспорт" sheetId="8" r:id="rId8"/>
    <sheet name="Литейные решения" sheetId="9" r:id="rId9"/>
    <sheet name="ЛС-Техномет" sheetId="10" r:id="rId10"/>
    <sheet name="Сандекс" sheetId="11" r:id="rId11"/>
    <sheet name="СтройТех" sheetId="12" r:id="rId12"/>
    <sheet name="Ергарда" sheetId="13" r:id="rId13"/>
    <sheet name="Оникс Нижнекамск" sheetId="14" r:id="rId14"/>
    <sheet name="Зеленодольск Доп услуги" sheetId="15" r:id="rId15"/>
    <sheet name="Казань_Приволжская экспорт" sheetId="16" r:id="rId16"/>
    <sheet name="Казань_Автосервисная экспорт" sheetId="17" r:id="rId17"/>
    <sheet name="Екатеринбург экспорт" sheetId="18" r:id="rId18"/>
    <sheet name="Баумана KPI" sheetId="19" r:id="rId19"/>
    <sheet name="Баумана Полимеры" sheetId="20" r:id="rId20"/>
    <sheet name="Баумана Полиом" sheetId="21" r:id="rId21"/>
    <sheet name="Екатеринбург KPI" sheetId="22" r:id="rId22"/>
    <sheet name="Екатеринбург НПЭГ" sheetId="23" r:id="rId23"/>
    <sheet name="Екатеринбург Полимеры" sheetId="24" r:id="rId24"/>
    <sheet name="Екатеринбург Полиом" sheetId="25" r:id="rId25"/>
    <sheet name="Зеленодольск KPI" sheetId="26" r:id="rId26"/>
    <sheet name="Зеленодольск Данафлекс" sheetId="27" r:id="rId27"/>
    <sheet name="Зеленодольск Полимеры" sheetId="28" r:id="rId28"/>
    <sheet name="Казань_Автосервисная Полимеры" sheetId="29" r:id="rId29"/>
    <sheet name="Казань_Автосервисная Полиом" sheetId="30" r:id="rId30"/>
    <sheet name="Казань_Приволжская Полимеры" sheetId="31" r:id="rId31"/>
    <sheet name="Нижнекамск НПЭГ" sheetId="32" r:id="rId32"/>
    <sheet name="Нижнекамск ПСОН НПЭГ" sheetId="33" r:id="rId33"/>
    <sheet name="Нижнекамск ПСОН" sheetId="34" r:id="rId34"/>
    <sheet name="Новикова-Прибоя KPI" sheetId="35" r:id="rId35"/>
    <sheet name="Новикова-Прибоя Полимеры" sheetId="36" r:id="rId36"/>
    <sheet name="Новикова-Прибоя Полиом" sheetId="37" r:id="rId37"/>
    <sheet name="Новосибирск KPI" sheetId="38" r:id="rId38"/>
    <sheet name="Новосибирск Полимеры" sheetId="39" r:id="rId39"/>
    <sheet name="Новосибирск Полиом" sheetId="40" r:id="rId40"/>
    <sheet name="Новосибирск Порошок" sheetId="41" r:id="rId41"/>
    <sheet name="Новосибирск_Пасечная Порошок" sheetId="42" r:id="rId42"/>
    <sheet name="Праздники" sheetId="43" r:id="rId4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8" i="3" l="1"/>
  <c r="B14" i="18" l="1"/>
  <c r="F11" i="18"/>
  <c r="G11" i="18" s="1"/>
  <c r="F10" i="18"/>
  <c r="G10" i="18" s="1"/>
  <c r="G12" i="18" s="1"/>
  <c r="A7" i="18"/>
  <c r="A4" i="18"/>
  <c r="A3" i="18"/>
  <c r="F12" i="18" l="1"/>
  <c r="B14" i="17" l="1"/>
  <c r="F11" i="17"/>
  <c r="G11" i="17" s="1"/>
  <c r="F10" i="17"/>
  <c r="G10" i="17" s="1"/>
  <c r="G12" i="17" s="1"/>
  <c r="A7" i="17"/>
  <c r="A4" i="17"/>
  <c r="A3" i="17"/>
  <c r="F12" i="17" l="1"/>
  <c r="B14" i="16"/>
  <c r="F11" i="16"/>
  <c r="G11" i="16" s="1"/>
  <c r="F10" i="16"/>
  <c r="G10" i="16" s="1"/>
  <c r="G12" i="16" s="1"/>
  <c r="A7" i="16"/>
  <c r="A4" i="16"/>
  <c r="A3" i="16"/>
  <c r="F12" i="16" l="1"/>
  <c r="F11" i="15" l="1"/>
  <c r="F10" i="15"/>
  <c r="F12" i="15" s="1"/>
  <c r="F13" i="15" s="1"/>
  <c r="F14" i="15" s="1"/>
  <c r="D10" i="15"/>
  <c r="F9" i="15"/>
  <c r="A6" i="15"/>
  <c r="A3" i="15"/>
  <c r="A2" i="15"/>
  <c r="H36" i="14" l="1"/>
  <c r="G36" i="14"/>
  <c r="E36" i="14"/>
  <c r="D36" i="14"/>
  <c r="M35" i="14"/>
  <c r="N35" i="14" s="1"/>
  <c r="L35" i="14"/>
  <c r="K35" i="14"/>
  <c r="J35" i="14"/>
  <c r="I35" i="14"/>
  <c r="M34" i="14"/>
  <c r="L34" i="14"/>
  <c r="J34" i="14"/>
  <c r="I34" i="14"/>
  <c r="M33" i="14"/>
  <c r="L33" i="14"/>
  <c r="J33" i="14"/>
  <c r="I33" i="14"/>
  <c r="M32" i="14"/>
  <c r="L32" i="14"/>
  <c r="J32" i="14"/>
  <c r="I32" i="14"/>
  <c r="M31" i="14"/>
  <c r="L31" i="14"/>
  <c r="J31" i="14"/>
  <c r="I31" i="14"/>
  <c r="M30" i="14"/>
  <c r="L30" i="14"/>
  <c r="J30" i="14"/>
  <c r="I30" i="14"/>
  <c r="M29" i="14"/>
  <c r="L29" i="14"/>
  <c r="J29" i="14"/>
  <c r="I29" i="14"/>
  <c r="M28" i="14"/>
  <c r="L28" i="14"/>
  <c r="J28" i="14"/>
  <c r="I28" i="14"/>
  <c r="M27" i="14"/>
  <c r="L27" i="14"/>
  <c r="J27" i="14"/>
  <c r="I27" i="14"/>
  <c r="M26" i="14"/>
  <c r="L26" i="14"/>
  <c r="J26" i="14"/>
  <c r="I26" i="14"/>
  <c r="M25" i="14"/>
  <c r="L25" i="14"/>
  <c r="J25" i="14"/>
  <c r="I25" i="14"/>
  <c r="M24" i="14"/>
  <c r="L24" i="14"/>
  <c r="J24" i="14"/>
  <c r="I24" i="14"/>
  <c r="M23" i="14"/>
  <c r="L23" i="14"/>
  <c r="J23" i="14"/>
  <c r="I23" i="14"/>
  <c r="M22" i="14"/>
  <c r="L22" i="14"/>
  <c r="J22" i="14"/>
  <c r="I22" i="14"/>
  <c r="M21" i="14"/>
  <c r="L21" i="14"/>
  <c r="J21" i="14"/>
  <c r="I21" i="14"/>
  <c r="M20" i="14"/>
  <c r="L20" i="14"/>
  <c r="J20" i="14"/>
  <c r="I20" i="14"/>
  <c r="M19" i="14"/>
  <c r="L19" i="14"/>
  <c r="J19" i="14"/>
  <c r="I19" i="14"/>
  <c r="M18" i="14"/>
  <c r="L18" i="14"/>
  <c r="J18" i="14"/>
  <c r="I18" i="14"/>
  <c r="M17" i="14"/>
  <c r="L17" i="14"/>
  <c r="J17" i="14"/>
  <c r="I17" i="14"/>
  <c r="M16" i="14"/>
  <c r="L16" i="14"/>
  <c r="J16" i="14"/>
  <c r="I16" i="14"/>
  <c r="M15" i="14"/>
  <c r="L15" i="14"/>
  <c r="J15" i="14"/>
  <c r="I15" i="14"/>
  <c r="M14" i="14"/>
  <c r="L14" i="14"/>
  <c r="J14" i="14"/>
  <c r="I14" i="14"/>
  <c r="M13" i="14"/>
  <c r="L13" i="14"/>
  <c r="J13" i="14"/>
  <c r="I13" i="14"/>
  <c r="M12" i="14"/>
  <c r="L12" i="14"/>
  <c r="J12" i="14"/>
  <c r="I12" i="14"/>
  <c r="M11" i="14"/>
  <c r="L11" i="14"/>
  <c r="J11" i="14"/>
  <c r="I11" i="14"/>
  <c r="M10" i="14"/>
  <c r="L10" i="14"/>
  <c r="J10" i="14"/>
  <c r="I10" i="14"/>
  <c r="M9" i="14"/>
  <c r="M36" i="14" s="1"/>
  <c r="L9" i="14"/>
  <c r="J9" i="14"/>
  <c r="I9" i="14"/>
  <c r="M8" i="14"/>
  <c r="L8" i="14"/>
  <c r="J8" i="14"/>
  <c r="J36" i="14" s="1"/>
  <c r="I8" i="14"/>
  <c r="I36" i="14" s="1"/>
  <c r="M7" i="14"/>
  <c r="L7" i="14"/>
  <c r="J7" i="14"/>
  <c r="I7" i="14"/>
  <c r="M6" i="14"/>
  <c r="L6" i="14"/>
  <c r="J6" i="14"/>
  <c r="I6" i="14"/>
  <c r="F6" i="14"/>
  <c r="F7" i="14" s="1"/>
  <c r="N5" i="14"/>
  <c r="M5" i="14"/>
  <c r="L5" i="14"/>
  <c r="L36" i="14" s="1"/>
  <c r="K5" i="14"/>
  <c r="J5" i="14"/>
  <c r="I5" i="14"/>
  <c r="A2" i="14"/>
  <c r="F8" i="14" l="1"/>
  <c r="K7" i="14"/>
  <c r="N7" i="14"/>
  <c r="K6" i="14"/>
  <c r="F9" i="14" l="1"/>
  <c r="K8" i="14"/>
  <c r="N8" i="14" s="1"/>
  <c r="N6" i="14"/>
  <c r="K9" i="14" l="1"/>
  <c r="N9" i="14" s="1"/>
  <c r="F10" i="14"/>
  <c r="F11" i="14" l="1"/>
  <c r="K10" i="14"/>
  <c r="N10" i="14" s="1"/>
  <c r="F12" i="14" l="1"/>
  <c r="K11" i="14"/>
  <c r="N11" i="14" s="1"/>
  <c r="F13" i="14" l="1"/>
  <c r="K12" i="14"/>
  <c r="N12" i="14" s="1"/>
  <c r="F14" i="14" l="1"/>
  <c r="K13" i="14"/>
  <c r="N13" i="14" s="1"/>
  <c r="K14" i="14" l="1"/>
  <c r="N14" i="14" s="1"/>
  <c r="F15" i="14"/>
  <c r="F16" i="14" l="1"/>
  <c r="K15" i="14"/>
  <c r="N15" i="14" s="1"/>
  <c r="K16" i="14" l="1"/>
  <c r="N16" i="14" s="1"/>
  <c r="F17" i="14"/>
  <c r="F18" i="14" l="1"/>
  <c r="K17" i="14"/>
  <c r="N17" i="14" s="1"/>
  <c r="K18" i="14" l="1"/>
  <c r="N18" i="14" s="1"/>
  <c r="F19" i="14"/>
  <c r="F20" i="14" l="1"/>
  <c r="K19" i="14"/>
  <c r="N19" i="14" s="1"/>
  <c r="F21" i="14" l="1"/>
  <c r="K20" i="14"/>
  <c r="N20" i="14" s="1"/>
  <c r="F22" i="14" l="1"/>
  <c r="K21" i="14"/>
  <c r="N21" i="14" s="1"/>
  <c r="K22" i="14" l="1"/>
  <c r="N22" i="14" s="1"/>
  <c r="F23" i="14"/>
  <c r="F24" i="14" l="1"/>
  <c r="K23" i="14"/>
  <c r="N23" i="14" s="1"/>
  <c r="F25" i="14" l="1"/>
  <c r="K24" i="14"/>
  <c r="N24" i="14" s="1"/>
  <c r="F26" i="14" l="1"/>
  <c r="K25" i="14"/>
  <c r="N25" i="14" s="1"/>
  <c r="K26" i="14" l="1"/>
  <c r="N26" i="14" s="1"/>
  <c r="F27" i="14"/>
  <c r="F28" i="14" l="1"/>
  <c r="K27" i="14"/>
  <c r="N27" i="14" s="1"/>
  <c r="F29" i="14" l="1"/>
  <c r="K28" i="14"/>
  <c r="N28" i="14" s="1"/>
  <c r="F30" i="14" l="1"/>
  <c r="K29" i="14"/>
  <c r="N29" i="14" s="1"/>
  <c r="F31" i="14" l="1"/>
  <c r="K30" i="14"/>
  <c r="N30" i="14" s="1"/>
  <c r="K31" i="14" l="1"/>
  <c r="N31" i="14" s="1"/>
  <c r="F32" i="14"/>
  <c r="K32" i="14" l="1"/>
  <c r="N32" i="14" s="1"/>
  <c r="F33" i="14"/>
  <c r="K33" i="14" l="1"/>
  <c r="N33" i="14" s="1"/>
  <c r="F34" i="14"/>
  <c r="K34" i="14" l="1"/>
  <c r="F36" i="14"/>
  <c r="N34" i="14" l="1"/>
  <c r="N36" i="14" s="1"/>
  <c r="N37" i="14" s="1"/>
  <c r="A1" i="14" s="1"/>
  <c r="K36" i="14"/>
  <c r="I34" i="13" l="1"/>
  <c r="H34" i="13"/>
  <c r="G34" i="13"/>
  <c r="J34" i="13" s="1"/>
  <c r="I33" i="13"/>
  <c r="H33" i="13"/>
  <c r="G33" i="13"/>
  <c r="J33" i="13" s="1"/>
  <c r="I32" i="13"/>
  <c r="H32" i="13"/>
  <c r="G32" i="13"/>
  <c r="J32" i="13" s="1"/>
  <c r="I31" i="13"/>
  <c r="H31" i="13"/>
  <c r="G31" i="13"/>
  <c r="J31" i="13" s="1"/>
  <c r="I30" i="13"/>
  <c r="H30" i="13"/>
  <c r="G30" i="13"/>
  <c r="J30" i="13" s="1"/>
  <c r="I29" i="13"/>
  <c r="H29" i="13"/>
  <c r="G29" i="13"/>
  <c r="J29" i="13" s="1"/>
  <c r="I28" i="13"/>
  <c r="H28" i="13"/>
  <c r="G28" i="13"/>
  <c r="J28" i="13" s="1"/>
  <c r="I27" i="13"/>
  <c r="H27" i="13"/>
  <c r="G27" i="13"/>
  <c r="J27" i="13" s="1"/>
  <c r="I26" i="13"/>
  <c r="H26" i="13"/>
  <c r="G26" i="13"/>
  <c r="J26" i="13" s="1"/>
  <c r="I25" i="13"/>
  <c r="H25" i="13"/>
  <c r="G25" i="13"/>
  <c r="J25" i="13" s="1"/>
  <c r="I24" i="13"/>
  <c r="H24" i="13"/>
  <c r="G24" i="13"/>
  <c r="J24" i="13" s="1"/>
  <c r="I23" i="13"/>
  <c r="H23" i="13"/>
  <c r="G23" i="13"/>
  <c r="J23" i="13" s="1"/>
  <c r="I22" i="13"/>
  <c r="H22" i="13"/>
  <c r="G22" i="13"/>
  <c r="J22" i="13" s="1"/>
  <c r="I21" i="13"/>
  <c r="H21" i="13"/>
  <c r="G21" i="13"/>
  <c r="J21" i="13" s="1"/>
  <c r="I20" i="13"/>
  <c r="H20" i="13"/>
  <c r="G20" i="13"/>
  <c r="J20" i="13" s="1"/>
  <c r="I19" i="13"/>
  <c r="H19" i="13"/>
  <c r="G19" i="13"/>
  <c r="J19" i="13" s="1"/>
  <c r="I18" i="13"/>
  <c r="H18" i="13"/>
  <c r="G18" i="13"/>
  <c r="J18" i="13" s="1"/>
  <c r="I17" i="13"/>
  <c r="H17" i="13"/>
  <c r="G17" i="13"/>
  <c r="J17" i="13" s="1"/>
  <c r="I16" i="13"/>
  <c r="H16" i="13"/>
  <c r="G16" i="13"/>
  <c r="J16" i="13" s="1"/>
  <c r="I15" i="13"/>
  <c r="H15" i="13"/>
  <c r="G15" i="13"/>
  <c r="J15" i="13" s="1"/>
  <c r="I14" i="13"/>
  <c r="H14" i="13"/>
  <c r="G14" i="13"/>
  <c r="J14" i="13" s="1"/>
  <c r="I13" i="13"/>
  <c r="H13" i="13"/>
  <c r="G13" i="13"/>
  <c r="J13" i="13" s="1"/>
  <c r="I12" i="13"/>
  <c r="H12" i="13"/>
  <c r="G12" i="13"/>
  <c r="J12" i="13" s="1"/>
  <c r="I11" i="13"/>
  <c r="H11" i="13"/>
  <c r="G11" i="13"/>
  <c r="J11" i="13" s="1"/>
  <c r="I10" i="13"/>
  <c r="H10" i="13"/>
  <c r="G10" i="13"/>
  <c r="J10" i="13" s="1"/>
  <c r="I9" i="13"/>
  <c r="H9" i="13"/>
  <c r="G9" i="13"/>
  <c r="J9" i="13" s="1"/>
  <c r="I8" i="13"/>
  <c r="H8" i="13"/>
  <c r="G8" i="13"/>
  <c r="J8" i="13" s="1"/>
  <c r="I7" i="13"/>
  <c r="H7" i="13"/>
  <c r="G7" i="13"/>
  <c r="J7" i="13" s="1"/>
  <c r="I6" i="13"/>
  <c r="H6" i="13"/>
  <c r="G6" i="13"/>
  <c r="J6" i="13" s="1"/>
  <c r="I5" i="13"/>
  <c r="H5" i="13"/>
  <c r="G5" i="13"/>
  <c r="J5" i="13" s="1"/>
  <c r="I4" i="13"/>
  <c r="I35" i="13" s="1"/>
  <c r="H4" i="13"/>
  <c r="H35" i="13" s="1"/>
  <c r="G4" i="13"/>
  <c r="G35" i="13" s="1"/>
  <c r="G36" i="12"/>
  <c r="J35" i="12"/>
  <c r="I35" i="12"/>
  <c r="H35" i="12"/>
  <c r="K35" i="12" s="1"/>
  <c r="K34" i="12"/>
  <c r="J34" i="12"/>
  <c r="I34" i="12"/>
  <c r="H34" i="12"/>
  <c r="J33" i="12"/>
  <c r="I33" i="12"/>
  <c r="K33" i="12" s="1"/>
  <c r="H33" i="12"/>
  <c r="J32" i="12"/>
  <c r="I32" i="12"/>
  <c r="H32" i="12"/>
  <c r="K32" i="12" s="1"/>
  <c r="J31" i="12"/>
  <c r="I31" i="12"/>
  <c r="H31" i="12"/>
  <c r="K31" i="12" s="1"/>
  <c r="K30" i="12"/>
  <c r="J30" i="12"/>
  <c r="I30" i="12"/>
  <c r="H30" i="12"/>
  <c r="J29" i="12"/>
  <c r="I29" i="12"/>
  <c r="K29" i="12" s="1"/>
  <c r="H29" i="12"/>
  <c r="J28" i="12"/>
  <c r="I28" i="12"/>
  <c r="H28" i="12"/>
  <c r="K28" i="12" s="1"/>
  <c r="J27" i="12"/>
  <c r="I27" i="12"/>
  <c r="H27" i="12"/>
  <c r="K27" i="12" s="1"/>
  <c r="K26" i="12"/>
  <c r="J26" i="12"/>
  <c r="I26" i="12"/>
  <c r="H26" i="12"/>
  <c r="J25" i="12"/>
  <c r="I25" i="12"/>
  <c r="K25" i="12" s="1"/>
  <c r="H25" i="12"/>
  <c r="J24" i="12"/>
  <c r="I24" i="12"/>
  <c r="H24" i="12"/>
  <c r="K24" i="12" s="1"/>
  <c r="J23" i="12"/>
  <c r="I23" i="12"/>
  <c r="H23" i="12"/>
  <c r="K23" i="12" s="1"/>
  <c r="K22" i="12"/>
  <c r="J22" i="12"/>
  <c r="I22" i="12"/>
  <c r="H22" i="12"/>
  <c r="J21" i="12"/>
  <c r="I21" i="12"/>
  <c r="K21" i="12" s="1"/>
  <c r="H21" i="12"/>
  <c r="J20" i="12"/>
  <c r="I20" i="12"/>
  <c r="H20" i="12"/>
  <c r="K20" i="12" s="1"/>
  <c r="J19" i="12"/>
  <c r="I19" i="12"/>
  <c r="H19" i="12"/>
  <c r="K19" i="12" s="1"/>
  <c r="K18" i="12"/>
  <c r="J18" i="12"/>
  <c r="I18" i="12"/>
  <c r="H18" i="12"/>
  <c r="J17" i="12"/>
  <c r="I17" i="12"/>
  <c r="K17" i="12" s="1"/>
  <c r="H17" i="12"/>
  <c r="J16" i="12"/>
  <c r="I16" i="12"/>
  <c r="H16" i="12"/>
  <c r="K16" i="12" s="1"/>
  <c r="J15" i="12"/>
  <c r="I15" i="12"/>
  <c r="H15" i="12"/>
  <c r="K15" i="12" s="1"/>
  <c r="K14" i="12"/>
  <c r="J14" i="12"/>
  <c r="I14" i="12"/>
  <c r="H14" i="12"/>
  <c r="J13" i="12"/>
  <c r="I13" i="12"/>
  <c r="K13" i="12" s="1"/>
  <c r="H13" i="12"/>
  <c r="J12" i="12"/>
  <c r="I12" i="12"/>
  <c r="H12" i="12"/>
  <c r="K12" i="12" s="1"/>
  <c r="J11" i="12"/>
  <c r="I11" i="12"/>
  <c r="H11" i="12"/>
  <c r="K11" i="12" s="1"/>
  <c r="K10" i="12"/>
  <c r="J10" i="12"/>
  <c r="I10" i="12"/>
  <c r="H10" i="12"/>
  <c r="J9" i="12"/>
  <c r="I9" i="12"/>
  <c r="K9" i="12" s="1"/>
  <c r="H9" i="12"/>
  <c r="J8" i="12"/>
  <c r="I8" i="12"/>
  <c r="H8" i="12"/>
  <c r="K8" i="12" s="1"/>
  <c r="J7" i="12"/>
  <c r="I7" i="12"/>
  <c r="H7" i="12"/>
  <c r="K7" i="12" s="1"/>
  <c r="K6" i="12"/>
  <c r="J6" i="12"/>
  <c r="I6" i="12"/>
  <c r="H6" i="12"/>
  <c r="J5" i="12"/>
  <c r="J36" i="12" s="1"/>
  <c r="I5" i="12"/>
  <c r="I36" i="12" s="1"/>
  <c r="H5" i="12"/>
  <c r="H36" i="12" s="1"/>
  <c r="M38" i="11"/>
  <c r="K38" i="11"/>
  <c r="J38" i="11"/>
  <c r="I38" i="11"/>
  <c r="H38" i="11"/>
  <c r="G38" i="11"/>
  <c r="F38" i="11"/>
  <c r="E38" i="11"/>
  <c r="D38" i="11"/>
  <c r="C38" i="11"/>
  <c r="R37" i="11"/>
  <c r="Q37" i="11"/>
  <c r="P37" i="11"/>
  <c r="O37" i="11"/>
  <c r="N37" i="11"/>
  <c r="M37" i="11"/>
  <c r="L37" i="11"/>
  <c r="S37" i="11" s="1"/>
  <c r="R36" i="11"/>
  <c r="Q36" i="11"/>
  <c r="P36" i="11"/>
  <c r="O36" i="11"/>
  <c r="N36" i="11"/>
  <c r="S36" i="11" s="1"/>
  <c r="M36" i="11"/>
  <c r="L36" i="11"/>
  <c r="R35" i="11"/>
  <c r="Q35" i="11"/>
  <c r="P35" i="11"/>
  <c r="O35" i="11"/>
  <c r="N35" i="11"/>
  <c r="M35" i="11"/>
  <c r="L35" i="11"/>
  <c r="S35" i="11" s="1"/>
  <c r="R34" i="11"/>
  <c r="Q34" i="11"/>
  <c r="P34" i="11"/>
  <c r="O34" i="11"/>
  <c r="N34" i="11"/>
  <c r="S34" i="11" s="1"/>
  <c r="M34" i="11"/>
  <c r="L34" i="11"/>
  <c r="R33" i="11"/>
  <c r="Q33" i="11"/>
  <c r="P33" i="11"/>
  <c r="O33" i="11"/>
  <c r="N33" i="11"/>
  <c r="M33" i="11"/>
  <c r="L33" i="11"/>
  <c r="S33" i="11" s="1"/>
  <c r="R32" i="11"/>
  <c r="Q32" i="11"/>
  <c r="P32" i="11"/>
  <c r="O32" i="11"/>
  <c r="N32" i="11"/>
  <c r="S32" i="11" s="1"/>
  <c r="M32" i="11"/>
  <c r="L32" i="11"/>
  <c r="R31" i="11"/>
  <c r="Q31" i="11"/>
  <c r="P31" i="11"/>
  <c r="O31" i="11"/>
  <c r="N31" i="11"/>
  <c r="M31" i="11"/>
  <c r="L31" i="11"/>
  <c r="S31" i="11" s="1"/>
  <c r="R30" i="11"/>
  <c r="Q30" i="11"/>
  <c r="P30" i="11"/>
  <c r="O30" i="11"/>
  <c r="N30" i="11"/>
  <c r="S30" i="11" s="1"/>
  <c r="M30" i="11"/>
  <c r="L30" i="11"/>
  <c r="R29" i="11"/>
  <c r="Q29" i="11"/>
  <c r="P29" i="11"/>
  <c r="O29" i="11"/>
  <c r="N29" i="11"/>
  <c r="M29" i="11"/>
  <c r="L29" i="11"/>
  <c r="S29" i="11" s="1"/>
  <c r="R28" i="11"/>
  <c r="Q28" i="11"/>
  <c r="P28" i="11"/>
  <c r="O28" i="11"/>
  <c r="N28" i="11"/>
  <c r="S28" i="11" s="1"/>
  <c r="M28" i="11"/>
  <c r="L28" i="11"/>
  <c r="R27" i="11"/>
  <c r="Q27" i="11"/>
  <c r="P27" i="11"/>
  <c r="O27" i="11"/>
  <c r="N27" i="11"/>
  <c r="M27" i="11"/>
  <c r="L27" i="11"/>
  <c r="S27" i="11" s="1"/>
  <c r="R26" i="11"/>
  <c r="Q26" i="11"/>
  <c r="P26" i="11"/>
  <c r="O26" i="11"/>
  <c r="N26" i="11"/>
  <c r="S26" i="11" s="1"/>
  <c r="M26" i="11"/>
  <c r="L26" i="11"/>
  <c r="R25" i="11"/>
  <c r="Q25" i="11"/>
  <c r="P25" i="11"/>
  <c r="O25" i="11"/>
  <c r="N25" i="11"/>
  <c r="M25" i="11"/>
  <c r="L25" i="11"/>
  <c r="S25" i="11" s="1"/>
  <c r="R24" i="11"/>
  <c r="Q24" i="11"/>
  <c r="P24" i="11"/>
  <c r="O24" i="11"/>
  <c r="N24" i="11"/>
  <c r="S24" i="11" s="1"/>
  <c r="M24" i="11"/>
  <c r="L24" i="11"/>
  <c r="R23" i="11"/>
  <c r="Q23" i="11"/>
  <c r="P23" i="11"/>
  <c r="O23" i="11"/>
  <c r="N23" i="11"/>
  <c r="M23" i="11"/>
  <c r="L23" i="11"/>
  <c r="S23" i="11" s="1"/>
  <c r="R22" i="11"/>
  <c r="Q22" i="11"/>
  <c r="P22" i="11"/>
  <c r="O22" i="11"/>
  <c r="N22" i="11"/>
  <c r="S22" i="11" s="1"/>
  <c r="M22" i="11"/>
  <c r="L22" i="11"/>
  <c r="R21" i="11"/>
  <c r="Q21" i="11"/>
  <c r="P21" i="11"/>
  <c r="O21" i="11"/>
  <c r="N21" i="11"/>
  <c r="M21" i="11"/>
  <c r="L21" i="11"/>
  <c r="S21" i="11" s="1"/>
  <c r="R20" i="11"/>
  <c r="Q20" i="11"/>
  <c r="P20" i="11"/>
  <c r="O20" i="11"/>
  <c r="N20" i="11"/>
  <c r="S20" i="11" s="1"/>
  <c r="M20" i="11"/>
  <c r="L20" i="11"/>
  <c r="R19" i="11"/>
  <c r="Q19" i="11"/>
  <c r="P19" i="11"/>
  <c r="O19" i="11"/>
  <c r="N19" i="11"/>
  <c r="M19" i="11"/>
  <c r="L19" i="11"/>
  <c r="S19" i="11" s="1"/>
  <c r="R18" i="11"/>
  <c r="Q18" i="11"/>
  <c r="P18" i="11"/>
  <c r="O18" i="11"/>
  <c r="N18" i="11"/>
  <c r="S18" i="11" s="1"/>
  <c r="M18" i="11"/>
  <c r="L18" i="11"/>
  <c r="R17" i="11"/>
  <c r="Q17" i="11"/>
  <c r="P17" i="11"/>
  <c r="O17" i="11"/>
  <c r="N17" i="11"/>
  <c r="M17" i="11"/>
  <c r="L17" i="11"/>
  <c r="S17" i="11" s="1"/>
  <c r="R16" i="11"/>
  <c r="Q16" i="11"/>
  <c r="P16" i="11"/>
  <c r="O16" i="11"/>
  <c r="N16" i="11"/>
  <c r="S16" i="11" s="1"/>
  <c r="M16" i="11"/>
  <c r="L16" i="11"/>
  <c r="R15" i="11"/>
  <c r="Q15" i="11"/>
  <c r="P15" i="11"/>
  <c r="O15" i="11"/>
  <c r="N15" i="11"/>
  <c r="M15" i="11"/>
  <c r="L15" i="11"/>
  <c r="S15" i="11" s="1"/>
  <c r="R14" i="11"/>
  <c r="Q14" i="11"/>
  <c r="P14" i="11"/>
  <c r="O14" i="11"/>
  <c r="N14" i="11"/>
  <c r="S14" i="11" s="1"/>
  <c r="M14" i="11"/>
  <c r="L14" i="11"/>
  <c r="R13" i="11"/>
  <c r="Q13" i="11"/>
  <c r="P13" i="11"/>
  <c r="O13" i="11"/>
  <c r="N13" i="11"/>
  <c r="M13" i="11"/>
  <c r="L13" i="11"/>
  <c r="S13" i="11" s="1"/>
  <c r="R12" i="11"/>
  <c r="Q12" i="11"/>
  <c r="P12" i="11"/>
  <c r="O12" i="11"/>
  <c r="N12" i="11"/>
  <c r="S12" i="11" s="1"/>
  <c r="M12" i="11"/>
  <c r="L12" i="11"/>
  <c r="R11" i="11"/>
  <c r="Q11" i="11"/>
  <c r="P11" i="11"/>
  <c r="O11" i="11"/>
  <c r="N11" i="11"/>
  <c r="M11" i="11"/>
  <c r="L11" i="11"/>
  <c r="S11" i="11" s="1"/>
  <c r="R10" i="11"/>
  <c r="Q10" i="11"/>
  <c r="P10" i="11"/>
  <c r="O10" i="11"/>
  <c r="N10" i="11"/>
  <c r="S10" i="11" s="1"/>
  <c r="M10" i="11"/>
  <c r="L10" i="11"/>
  <c r="R9" i="11"/>
  <c r="Q9" i="11"/>
  <c r="P9" i="11"/>
  <c r="O9" i="11"/>
  <c r="N9" i="11"/>
  <c r="M9" i="11"/>
  <c r="L9" i="11"/>
  <c r="S9" i="11" s="1"/>
  <c r="R8" i="11"/>
  <c r="Q8" i="11"/>
  <c r="P8" i="11"/>
  <c r="O8" i="11"/>
  <c r="N8" i="11"/>
  <c r="S8" i="11" s="1"/>
  <c r="M8" i="11"/>
  <c r="L8" i="11"/>
  <c r="R7" i="11"/>
  <c r="R38" i="11" s="1"/>
  <c r="Q7" i="11"/>
  <c r="Q38" i="11" s="1"/>
  <c r="P7" i="11"/>
  <c r="P38" i="11" s="1"/>
  <c r="O7" i="11"/>
  <c r="O38" i="11" s="1"/>
  <c r="N7" i="11"/>
  <c r="N38" i="11" s="1"/>
  <c r="M7" i="11"/>
  <c r="L7" i="11"/>
  <c r="S7" i="11" s="1"/>
  <c r="H36" i="10"/>
  <c r="F36" i="10"/>
  <c r="E36" i="10"/>
  <c r="D36" i="10"/>
  <c r="Q35" i="10"/>
  <c r="P35" i="10"/>
  <c r="O35" i="10"/>
  <c r="R35" i="10" s="1"/>
  <c r="N35" i="10"/>
  <c r="M35" i="10"/>
  <c r="L35" i="10"/>
  <c r="K35" i="10"/>
  <c r="Q34" i="10"/>
  <c r="P34" i="10"/>
  <c r="O34" i="10"/>
  <c r="N34" i="10"/>
  <c r="M34" i="10"/>
  <c r="L34" i="10"/>
  <c r="K34" i="10"/>
  <c r="R34" i="10" s="1"/>
  <c r="Q33" i="10"/>
  <c r="P33" i="10"/>
  <c r="O33" i="10"/>
  <c r="R33" i="10" s="1"/>
  <c r="N33" i="10"/>
  <c r="M33" i="10"/>
  <c r="L33" i="10"/>
  <c r="K33" i="10"/>
  <c r="Q32" i="10"/>
  <c r="P32" i="10"/>
  <c r="O32" i="10"/>
  <c r="N32" i="10"/>
  <c r="M32" i="10"/>
  <c r="L32" i="10"/>
  <c r="K32" i="10"/>
  <c r="R32" i="10" s="1"/>
  <c r="Q31" i="10"/>
  <c r="P31" i="10"/>
  <c r="O31" i="10"/>
  <c r="R31" i="10" s="1"/>
  <c r="N31" i="10"/>
  <c r="M31" i="10"/>
  <c r="L31" i="10"/>
  <c r="K31" i="10"/>
  <c r="Q30" i="10"/>
  <c r="P30" i="10"/>
  <c r="O30" i="10"/>
  <c r="N30" i="10"/>
  <c r="M30" i="10"/>
  <c r="L30" i="10"/>
  <c r="K30" i="10"/>
  <c r="R30" i="10" s="1"/>
  <c r="Q29" i="10"/>
  <c r="P29" i="10"/>
  <c r="O29" i="10"/>
  <c r="R29" i="10" s="1"/>
  <c r="N29" i="10"/>
  <c r="M29" i="10"/>
  <c r="L29" i="10"/>
  <c r="K29" i="10"/>
  <c r="Q28" i="10"/>
  <c r="P28" i="10"/>
  <c r="O28" i="10"/>
  <c r="N28" i="10"/>
  <c r="M28" i="10"/>
  <c r="L28" i="10"/>
  <c r="K28" i="10"/>
  <c r="R28" i="10" s="1"/>
  <c r="Q27" i="10"/>
  <c r="P27" i="10"/>
  <c r="O27" i="10"/>
  <c r="R27" i="10" s="1"/>
  <c r="N27" i="10"/>
  <c r="M27" i="10"/>
  <c r="L27" i="10"/>
  <c r="K27" i="10"/>
  <c r="Q26" i="10"/>
  <c r="P26" i="10"/>
  <c r="O26" i="10"/>
  <c r="N26" i="10"/>
  <c r="M26" i="10"/>
  <c r="L26" i="10"/>
  <c r="K26" i="10"/>
  <c r="R26" i="10" s="1"/>
  <c r="Q25" i="10"/>
  <c r="P25" i="10"/>
  <c r="O25" i="10"/>
  <c r="R25" i="10" s="1"/>
  <c r="N25" i="10"/>
  <c r="M25" i="10"/>
  <c r="L25" i="10"/>
  <c r="K25" i="10"/>
  <c r="Q24" i="10"/>
  <c r="P24" i="10"/>
  <c r="O24" i="10"/>
  <c r="N24" i="10"/>
  <c r="M24" i="10"/>
  <c r="L24" i="10"/>
  <c r="K24" i="10"/>
  <c r="R24" i="10" s="1"/>
  <c r="Q23" i="10"/>
  <c r="P23" i="10"/>
  <c r="O23" i="10"/>
  <c r="R23" i="10" s="1"/>
  <c r="N23" i="10"/>
  <c r="M23" i="10"/>
  <c r="L23" i="10"/>
  <c r="K23" i="10"/>
  <c r="Q22" i="10"/>
  <c r="P22" i="10"/>
  <c r="O22" i="10"/>
  <c r="N22" i="10"/>
  <c r="M22" i="10"/>
  <c r="L22" i="10"/>
  <c r="K22" i="10"/>
  <c r="R22" i="10" s="1"/>
  <c r="Q21" i="10"/>
  <c r="P21" i="10"/>
  <c r="O21" i="10"/>
  <c r="R21" i="10" s="1"/>
  <c r="N21" i="10"/>
  <c r="M21" i="10"/>
  <c r="L21" i="10"/>
  <c r="K21" i="10"/>
  <c r="Q20" i="10"/>
  <c r="P20" i="10"/>
  <c r="O20" i="10"/>
  <c r="N20" i="10"/>
  <c r="M20" i="10"/>
  <c r="L20" i="10"/>
  <c r="K20" i="10"/>
  <c r="R20" i="10" s="1"/>
  <c r="Q19" i="10"/>
  <c r="P19" i="10"/>
  <c r="O19" i="10"/>
  <c r="R19" i="10" s="1"/>
  <c r="N19" i="10"/>
  <c r="M19" i="10"/>
  <c r="L19" i="10"/>
  <c r="K19" i="10"/>
  <c r="Q18" i="10"/>
  <c r="P18" i="10"/>
  <c r="O18" i="10"/>
  <c r="N18" i="10"/>
  <c r="M18" i="10"/>
  <c r="L18" i="10"/>
  <c r="K18" i="10"/>
  <c r="R18" i="10" s="1"/>
  <c r="Q17" i="10"/>
  <c r="P17" i="10"/>
  <c r="O17" i="10"/>
  <c r="R17" i="10" s="1"/>
  <c r="N17" i="10"/>
  <c r="M17" i="10"/>
  <c r="L17" i="10"/>
  <c r="K17" i="10"/>
  <c r="Q16" i="10"/>
  <c r="P16" i="10"/>
  <c r="O16" i="10"/>
  <c r="N16" i="10"/>
  <c r="M16" i="10"/>
  <c r="L16" i="10"/>
  <c r="K16" i="10"/>
  <c r="R16" i="10" s="1"/>
  <c r="Q15" i="10"/>
  <c r="P15" i="10"/>
  <c r="O15" i="10"/>
  <c r="R15" i="10" s="1"/>
  <c r="N15" i="10"/>
  <c r="M15" i="10"/>
  <c r="L15" i="10"/>
  <c r="K15" i="10"/>
  <c r="Q14" i="10"/>
  <c r="P14" i="10"/>
  <c r="O14" i="10"/>
  <c r="N14" i="10"/>
  <c r="M14" i="10"/>
  <c r="L14" i="10"/>
  <c r="K14" i="10"/>
  <c r="R14" i="10" s="1"/>
  <c r="Q13" i="10"/>
  <c r="P13" i="10"/>
  <c r="O13" i="10"/>
  <c r="R13" i="10" s="1"/>
  <c r="N13" i="10"/>
  <c r="M13" i="10"/>
  <c r="L13" i="10"/>
  <c r="K13" i="10"/>
  <c r="Q12" i="10"/>
  <c r="P12" i="10"/>
  <c r="O12" i="10"/>
  <c r="N12" i="10"/>
  <c r="M12" i="10"/>
  <c r="L12" i="10"/>
  <c r="K12" i="10"/>
  <c r="R12" i="10" s="1"/>
  <c r="Q11" i="10"/>
  <c r="P11" i="10"/>
  <c r="O11" i="10"/>
  <c r="R11" i="10" s="1"/>
  <c r="N11" i="10"/>
  <c r="M11" i="10"/>
  <c r="L11" i="10"/>
  <c r="K11" i="10"/>
  <c r="Q10" i="10"/>
  <c r="P10" i="10"/>
  <c r="O10" i="10"/>
  <c r="N10" i="10"/>
  <c r="M10" i="10"/>
  <c r="L10" i="10"/>
  <c r="K10" i="10"/>
  <c r="R10" i="10" s="1"/>
  <c r="Q9" i="10"/>
  <c r="P9" i="10"/>
  <c r="O9" i="10"/>
  <c r="R9" i="10" s="1"/>
  <c r="N9" i="10"/>
  <c r="M9" i="10"/>
  <c r="L9" i="10"/>
  <c r="K9" i="10"/>
  <c r="Q8" i="10"/>
  <c r="P8" i="10"/>
  <c r="O8" i="10"/>
  <c r="N8" i="10"/>
  <c r="M8" i="10"/>
  <c r="L8" i="10"/>
  <c r="K8" i="10"/>
  <c r="R8" i="10" s="1"/>
  <c r="Q7" i="10"/>
  <c r="P7" i="10"/>
  <c r="O7" i="10"/>
  <c r="R7" i="10" s="1"/>
  <c r="N7" i="10"/>
  <c r="M7" i="10"/>
  <c r="L7" i="10"/>
  <c r="K7" i="10"/>
  <c r="Q6" i="10"/>
  <c r="P6" i="10"/>
  <c r="O6" i="10"/>
  <c r="N6" i="10"/>
  <c r="M6" i="10"/>
  <c r="L6" i="10"/>
  <c r="L36" i="10" s="1"/>
  <c r="K6" i="10"/>
  <c r="R6" i="10" s="1"/>
  <c r="Q5" i="10"/>
  <c r="Q36" i="10" s="1"/>
  <c r="P5" i="10"/>
  <c r="P36" i="10" s="1"/>
  <c r="O5" i="10"/>
  <c r="O36" i="10" s="1"/>
  <c r="N5" i="10"/>
  <c r="N36" i="10" s="1"/>
  <c r="M5" i="10"/>
  <c r="M36" i="10" s="1"/>
  <c r="L5" i="10"/>
  <c r="K5" i="10"/>
  <c r="F36" i="9"/>
  <c r="E36" i="9"/>
  <c r="D36" i="9"/>
  <c r="Q35" i="9"/>
  <c r="P35" i="9"/>
  <c r="O35" i="9"/>
  <c r="N35" i="9"/>
  <c r="M35" i="9"/>
  <c r="L35" i="9"/>
  <c r="R35" i="9" s="1"/>
  <c r="K35" i="9"/>
  <c r="Q34" i="9"/>
  <c r="P34" i="9"/>
  <c r="N34" i="9"/>
  <c r="M34" i="9"/>
  <c r="L34" i="9"/>
  <c r="K34" i="9"/>
  <c r="Q33" i="9"/>
  <c r="P33" i="9"/>
  <c r="N33" i="9"/>
  <c r="M33" i="9"/>
  <c r="L33" i="9"/>
  <c r="K33" i="9"/>
  <c r="Q32" i="9"/>
  <c r="P32" i="9"/>
  <c r="N32" i="9"/>
  <c r="M32" i="9"/>
  <c r="L32" i="9"/>
  <c r="K32" i="9"/>
  <c r="Q31" i="9"/>
  <c r="P31" i="9"/>
  <c r="N31" i="9"/>
  <c r="M31" i="9"/>
  <c r="L31" i="9"/>
  <c r="K31" i="9"/>
  <c r="Q30" i="9"/>
  <c r="P30" i="9"/>
  <c r="N30" i="9"/>
  <c r="M30" i="9"/>
  <c r="L30" i="9"/>
  <c r="K30" i="9"/>
  <c r="Q29" i="9"/>
  <c r="P29" i="9"/>
  <c r="N29" i="9"/>
  <c r="M29" i="9"/>
  <c r="L29" i="9"/>
  <c r="K29" i="9"/>
  <c r="Q28" i="9"/>
  <c r="P28" i="9"/>
  <c r="N28" i="9"/>
  <c r="M28" i="9"/>
  <c r="L28" i="9"/>
  <c r="K28" i="9"/>
  <c r="Q27" i="9"/>
  <c r="P27" i="9"/>
  <c r="N27" i="9"/>
  <c r="M27" i="9"/>
  <c r="L27" i="9"/>
  <c r="K27" i="9"/>
  <c r="Q26" i="9"/>
  <c r="P26" i="9"/>
  <c r="N26" i="9"/>
  <c r="M26" i="9"/>
  <c r="L26" i="9"/>
  <c r="K26" i="9"/>
  <c r="Q25" i="9"/>
  <c r="P25" i="9"/>
  <c r="N25" i="9"/>
  <c r="M25" i="9"/>
  <c r="L25" i="9"/>
  <c r="K25" i="9"/>
  <c r="Q24" i="9"/>
  <c r="P24" i="9"/>
  <c r="N24" i="9"/>
  <c r="M24" i="9"/>
  <c r="L24" i="9"/>
  <c r="K24" i="9"/>
  <c r="Q23" i="9"/>
  <c r="P23" i="9"/>
  <c r="N23" i="9"/>
  <c r="M23" i="9"/>
  <c r="L23" i="9"/>
  <c r="K23" i="9"/>
  <c r="Q22" i="9"/>
  <c r="P22" i="9"/>
  <c r="N22" i="9"/>
  <c r="M22" i="9"/>
  <c r="L22" i="9"/>
  <c r="K22" i="9"/>
  <c r="Q21" i="9"/>
  <c r="P21" i="9"/>
  <c r="N21" i="9"/>
  <c r="M21" i="9"/>
  <c r="L21" i="9"/>
  <c r="K21" i="9"/>
  <c r="Q20" i="9"/>
  <c r="P20" i="9"/>
  <c r="N20" i="9"/>
  <c r="M20" i="9"/>
  <c r="L20" i="9"/>
  <c r="K20" i="9"/>
  <c r="Q19" i="9"/>
  <c r="P19" i="9"/>
  <c r="N19" i="9"/>
  <c r="M19" i="9"/>
  <c r="L19" i="9"/>
  <c r="K19" i="9"/>
  <c r="Q18" i="9"/>
  <c r="P18" i="9"/>
  <c r="N18" i="9"/>
  <c r="M18" i="9"/>
  <c r="L18" i="9"/>
  <c r="K18" i="9"/>
  <c r="Q17" i="9"/>
  <c r="P17" i="9"/>
  <c r="N17" i="9"/>
  <c r="M17" i="9"/>
  <c r="L17" i="9"/>
  <c r="K17" i="9"/>
  <c r="Q16" i="9"/>
  <c r="P16" i="9"/>
  <c r="N16" i="9"/>
  <c r="M16" i="9"/>
  <c r="L16" i="9"/>
  <c r="K16" i="9"/>
  <c r="Q15" i="9"/>
  <c r="P15" i="9"/>
  <c r="N15" i="9"/>
  <c r="M15" i="9"/>
  <c r="L15" i="9"/>
  <c r="K15" i="9"/>
  <c r="Q14" i="9"/>
  <c r="P14" i="9"/>
  <c r="N14" i="9"/>
  <c r="M14" i="9"/>
  <c r="L14" i="9"/>
  <c r="K14" i="9"/>
  <c r="Q13" i="9"/>
  <c r="P13" i="9"/>
  <c r="N13" i="9"/>
  <c r="M13" i="9"/>
  <c r="L13" i="9"/>
  <c r="K13" i="9"/>
  <c r="Q12" i="9"/>
  <c r="P12" i="9"/>
  <c r="N12" i="9"/>
  <c r="M12" i="9"/>
  <c r="L12" i="9"/>
  <c r="K12" i="9"/>
  <c r="Q11" i="9"/>
  <c r="P11" i="9"/>
  <c r="N11" i="9"/>
  <c r="M11" i="9"/>
  <c r="L11" i="9"/>
  <c r="K11" i="9"/>
  <c r="Q10" i="9"/>
  <c r="P10" i="9"/>
  <c r="N10" i="9"/>
  <c r="M10" i="9"/>
  <c r="L10" i="9"/>
  <c r="K10" i="9"/>
  <c r="Q9" i="9"/>
  <c r="P9" i="9"/>
  <c r="N9" i="9"/>
  <c r="M9" i="9"/>
  <c r="L9" i="9"/>
  <c r="K9" i="9"/>
  <c r="Q8" i="9"/>
  <c r="P8" i="9"/>
  <c r="N8" i="9"/>
  <c r="M8" i="9"/>
  <c r="L8" i="9"/>
  <c r="K8" i="9"/>
  <c r="Q7" i="9"/>
  <c r="P7" i="9"/>
  <c r="N7" i="9"/>
  <c r="M7" i="9"/>
  <c r="L7" i="9"/>
  <c r="K7" i="9"/>
  <c r="Q6" i="9"/>
  <c r="P6" i="9"/>
  <c r="P36" i="9" s="1"/>
  <c r="N6" i="9"/>
  <c r="M6" i="9"/>
  <c r="L6" i="9"/>
  <c r="K6" i="9"/>
  <c r="H6" i="9"/>
  <c r="O6" i="9" s="1"/>
  <c r="R6" i="9" s="1"/>
  <c r="Q5" i="9"/>
  <c r="Q36" i="9" s="1"/>
  <c r="P5" i="9"/>
  <c r="O5" i="9"/>
  <c r="N5" i="9"/>
  <c r="N36" i="9" s="1"/>
  <c r="M5" i="9"/>
  <c r="M36" i="9" s="1"/>
  <c r="L5" i="9"/>
  <c r="L36" i="9" s="1"/>
  <c r="K5" i="9"/>
  <c r="K36" i="9" s="1"/>
  <c r="J4" i="13" l="1"/>
  <c r="J35" i="13" s="1"/>
  <c r="A1" i="13" s="1"/>
  <c r="K5" i="12"/>
  <c r="K36" i="12" s="1"/>
  <c r="A1" i="12" s="1"/>
  <c r="S38" i="11"/>
  <c r="S39" i="11" s="1"/>
  <c r="A1" i="11" s="1"/>
  <c r="L38" i="11"/>
  <c r="K36" i="10"/>
  <c r="R5" i="10"/>
  <c r="R36" i="10" s="1"/>
  <c r="A1" i="10" s="1"/>
  <c r="H7" i="9"/>
  <c r="R5" i="9"/>
  <c r="O7" i="9" l="1"/>
  <c r="H8" i="9"/>
  <c r="H9" i="9" l="1"/>
  <c r="O8" i="9"/>
  <c r="R8" i="9" s="1"/>
  <c r="R7" i="9"/>
  <c r="H10" i="9" l="1"/>
  <c r="O9" i="9"/>
  <c r="R9" i="9" l="1"/>
  <c r="H11" i="9"/>
  <c r="O10" i="9"/>
  <c r="R10" i="9" s="1"/>
  <c r="O11" i="9" l="1"/>
  <c r="H12" i="9"/>
  <c r="H13" i="9" l="1"/>
  <c r="O12" i="9"/>
  <c r="R12" i="9" s="1"/>
  <c r="R11" i="9"/>
  <c r="H14" i="9" l="1"/>
  <c r="O13" i="9"/>
  <c r="R13" i="9" s="1"/>
  <c r="H15" i="9" l="1"/>
  <c r="O14" i="9"/>
  <c r="R14" i="9" s="1"/>
  <c r="O15" i="9" l="1"/>
  <c r="R15" i="9" s="1"/>
  <c r="H16" i="9"/>
  <c r="H17" i="9" l="1"/>
  <c r="O16" i="9"/>
  <c r="R16" i="9" s="1"/>
  <c r="H18" i="9" l="1"/>
  <c r="O17" i="9"/>
  <c r="R17" i="9" s="1"/>
  <c r="H19" i="9" l="1"/>
  <c r="O18" i="9"/>
  <c r="R18" i="9" s="1"/>
  <c r="H20" i="9" l="1"/>
  <c r="O19" i="9"/>
  <c r="R19" i="9" s="1"/>
  <c r="O20" i="9" l="1"/>
  <c r="R20" i="9" s="1"/>
  <c r="H21" i="9"/>
  <c r="H22" i="9" l="1"/>
  <c r="O21" i="9"/>
  <c r="R21" i="9" s="1"/>
  <c r="O22" i="9" l="1"/>
  <c r="R22" i="9" s="1"/>
  <c r="H23" i="9"/>
  <c r="H24" i="9" l="1"/>
  <c r="O23" i="9"/>
  <c r="R23" i="9" s="1"/>
  <c r="H25" i="9" l="1"/>
  <c r="O24" i="9"/>
  <c r="R24" i="9" s="1"/>
  <c r="H26" i="9" l="1"/>
  <c r="O25" i="9"/>
  <c r="R25" i="9" s="1"/>
  <c r="H27" i="9" l="1"/>
  <c r="O26" i="9"/>
  <c r="R26" i="9" s="1"/>
  <c r="H28" i="9" l="1"/>
  <c r="O27" i="9"/>
  <c r="R27" i="9" s="1"/>
  <c r="H29" i="9" l="1"/>
  <c r="O28" i="9"/>
  <c r="R28" i="9" s="1"/>
  <c r="O29" i="9" l="1"/>
  <c r="R29" i="9" s="1"/>
  <c r="H30" i="9"/>
  <c r="H31" i="9" l="1"/>
  <c r="O30" i="9"/>
  <c r="R30" i="9" s="1"/>
  <c r="O31" i="9" l="1"/>
  <c r="R31" i="9" s="1"/>
  <c r="H32" i="9"/>
  <c r="H33" i="9" l="1"/>
  <c r="O32" i="9"/>
  <c r="R32" i="9" s="1"/>
  <c r="H34" i="9" l="1"/>
  <c r="O33" i="9"/>
  <c r="R33" i="9" s="1"/>
  <c r="O34" i="9" l="1"/>
  <c r="H36" i="9"/>
  <c r="R34" i="9" l="1"/>
  <c r="R36" i="9" s="1"/>
  <c r="A1" i="9" s="1"/>
  <c r="O36" i="9"/>
  <c r="B14" i="8" l="1"/>
  <c r="F11" i="8"/>
  <c r="G11" i="8" s="1"/>
  <c r="F10" i="8"/>
  <c r="G10" i="8" s="1"/>
  <c r="G12" i="8" s="1"/>
  <c r="A7" i="8"/>
  <c r="A4" i="8"/>
  <c r="A3" i="8"/>
  <c r="F12" i="8" l="1"/>
  <c r="B14" i="7" l="1"/>
  <c r="F11" i="7"/>
  <c r="G11" i="7" s="1"/>
  <c r="G10" i="7"/>
  <c r="F10" i="7"/>
  <c r="F12" i="7" s="1"/>
  <c r="A4" i="7"/>
  <c r="A3" i="7"/>
  <c r="G12" i="7" l="1"/>
  <c r="F15" i="5" l="1"/>
  <c r="F16" i="5" s="1"/>
  <c r="F14" i="5"/>
  <c r="C37" i="3"/>
  <c r="F15" i="3"/>
  <c r="E15" i="3"/>
  <c r="F14" i="3"/>
  <c r="E14" i="3"/>
  <c r="F13" i="3"/>
  <c r="E13" i="3"/>
  <c r="F12" i="3"/>
  <c r="F11" i="3"/>
  <c r="F10" i="3"/>
  <c r="F9" i="3"/>
  <c r="F8" i="3"/>
  <c r="E8" i="3"/>
  <c r="F7" i="3"/>
  <c r="F6" i="3"/>
  <c r="B60" i="3" a="1"/>
  <c r="H45" i="3" a="1"/>
  <c r="J51" i="3" a="1"/>
  <c r="G39" i="3" a="1"/>
  <c r="D50" i="3" a="1"/>
  <c r="E54" i="3" a="1"/>
  <c r="G27" i="3" a="1"/>
  <c r="L47" i="3" a="1"/>
  <c r="G31" i="3" a="1"/>
  <c r="G48" i="3" a="1"/>
  <c r="C19" i="3" a="1"/>
  <c r="J45" i="3" a="1"/>
  <c r="J50" i="3" a="1"/>
  <c r="L46" i="3" a="1"/>
  <c r="F52" i="3" a="1"/>
  <c r="G40" i="3" a="1"/>
  <c r="B52" i="3" a="1"/>
  <c r="G53" i="3" a="1"/>
  <c r="C22" i="3" a="1"/>
  <c r="L50" i="3" a="1"/>
  <c r="I54" i="3" a="1"/>
  <c r="G25" i="3" a="1"/>
  <c r="B51" i="3" a="1"/>
  <c r="G33" i="3" a="1"/>
  <c r="K48" i="3" a="1"/>
  <c r="L52" i="3" a="1"/>
  <c r="G23" i="3" a="1"/>
  <c r="D47" i="3" a="1"/>
  <c r="F53" i="3" a="1"/>
  <c r="F46" i="3" a="1"/>
  <c r="B66" i="3" a="1"/>
  <c r="E48" i="3" a="1"/>
  <c r="G24" i="3" a="1"/>
  <c r="D46" i="3" a="1"/>
  <c r="E50" i="3" a="1"/>
  <c r="L45" i="3" a="1"/>
  <c r="K53" i="3" a="1"/>
  <c r="C46" i="3" a="1"/>
  <c r="H50" i="3" a="1"/>
  <c r="H52" i="3" a="1"/>
  <c r="G21" i="3" a="1"/>
  <c r="I49" i="3" a="1"/>
  <c r="G29" i="3" a="1"/>
  <c r="C48" i="3" a="1"/>
  <c r="D52" i="3" a="1"/>
  <c r="G19" i="3" a="1"/>
  <c r="K45" i="3" a="1"/>
  <c r="E51" i="3" a="1"/>
  <c r="C35" i="3" a="1"/>
  <c r="K52" i="3" a="1"/>
  <c r="B62" i="3" a="1"/>
  <c r="F45" i="3" a="1"/>
  <c r="G54" i="3" a="1"/>
  <c r="B50" i="3" a="1"/>
  <c r="J52" i="3" a="1"/>
  <c r="E45" i="3" a="1"/>
  <c r="D48" i="3" a="1"/>
  <c r="F51" i="3" a="1"/>
  <c r="C53" i="3" a="1"/>
  <c r="C110" i="6" a="1"/>
  <c r="G50" i="3" a="1"/>
  <c r="B67" i="3" a="1"/>
  <c r="H47" i="3" a="1"/>
  <c r="J53" i="3" a="1"/>
  <c r="J46" i="3" a="1"/>
  <c r="K50" i="3" a="1"/>
  <c r="B63" i="3" a="1"/>
  <c r="C45" i="3" a="1"/>
  <c r="L49" i="3" a="1"/>
  <c r="C31" i="3" a="1"/>
  <c r="G47" i="3" a="1"/>
  <c r="H51" i="3" a="1"/>
  <c r="B45" i="3" a="1"/>
  <c r="H53" i="3" a="1"/>
  <c r="I48" i="3" a="1"/>
  <c r="H46" i="3" a="1"/>
  <c r="H48" i="3" a="1"/>
  <c r="B49" i="3" a="1"/>
  <c r="B64" i="3" a="1"/>
  <c r="C109" i="6" a="1"/>
  <c r="F48" i="3" a="1"/>
  <c r="B59" i="3" a="1"/>
  <c r="G45" i="3" a="1"/>
  <c r="B53" i="3" a="1"/>
  <c r="B46" i="3" a="1"/>
  <c r="C50" i="3" a="1"/>
  <c r="L54" i="3" a="1"/>
  <c r="C27" i="3" a="1"/>
  <c r="D49" i="3" a="1"/>
  <c r="B48" i="3" a="1"/>
  <c r="I46" i="3" a="1"/>
  <c r="B58" i="3" a="1"/>
  <c r="K54" i="3" a="1"/>
  <c r="C54" i="3" a="1"/>
  <c r="F47" i="3" a="1"/>
  <c r="B47" i="3" a="1"/>
  <c r="B61" i="3" a="1"/>
  <c r="K46" i="3" a="1"/>
  <c r="I52" i="3" a="1"/>
  <c r="G36" i="3" a="1"/>
  <c r="E53" i="3" a="1"/>
  <c r="E46" i="3" a="1"/>
  <c r="H54" i="3" a="1"/>
  <c r="C25" i="3" a="1"/>
  <c r="I51" i="3" a="1"/>
  <c r="G38" i="3" a="1"/>
  <c r="J48" i="3" a="1"/>
  <c r="D54" i="3" a="1"/>
  <c r="C23" i="3" a="1"/>
  <c r="K47" i="3" a="1"/>
  <c r="H49" i="3" a="1"/>
  <c r="C52" i="3" a="1"/>
  <c r="G32" i="3" a="1"/>
  <c r="G49" i="3" a="1"/>
  <c r="G20" i="3" a="1"/>
  <c r="K51" i="3" a="1"/>
  <c r="C30" i="3" a="1"/>
  <c r="B54" i="3" a="1"/>
  <c r="E52" i="3" a="1"/>
  <c r="G37" i="3" a="1"/>
  <c r="L51" i="3" a="1"/>
  <c r="G41" i="3" a="1"/>
  <c r="G52" i="3" a="1"/>
  <c r="C21" i="3" a="1"/>
  <c r="C33" i="3" a="1"/>
  <c r="C47" i="3" a="1"/>
  <c r="G30" i="3" a="1"/>
  <c r="G26" i="3" a="1"/>
  <c r="G51" i="3" a="1"/>
  <c r="G22" i="3" a="1"/>
  <c r="F49" i="3" a="1"/>
  <c r="C24" i="3" a="1"/>
  <c r="D45" i="3" a="1"/>
  <c r="I47" i="3" a="1"/>
  <c r="D51" i="3" a="1"/>
  <c r="G34" i="3" a="1"/>
  <c r="F50" i="3" a="1"/>
  <c r="I53" i="3" a="1"/>
  <c r="L53" i="3" a="1"/>
  <c r="D53" i="3" a="1"/>
  <c r="B65" i="3" a="1"/>
  <c r="F54" i="3" a="1"/>
  <c r="C20" i="3" a="1"/>
  <c r="E49" i="3" a="1"/>
  <c r="K49" i="3" a="1"/>
  <c r="C49" i="3" a="1"/>
  <c r="J47" i="3" a="1"/>
  <c r="I45" i="3" a="1"/>
  <c r="C51" i="3" a="1"/>
  <c r="C34" i="3" a="1"/>
  <c r="L48" i="3" a="1"/>
  <c r="B57" i="3" a="1"/>
  <c r="G28" i="3" a="1"/>
  <c r="E47" i="3" a="1"/>
  <c r="C32" i="3" a="1"/>
  <c r="I50" i="3" a="1"/>
  <c r="J54" i="3" a="1"/>
  <c r="J49" i="3" a="1"/>
  <c r="G46" i="3" a="1"/>
  <c r="B68" i="3" a="1"/>
  <c r="C26" i="3" a="1"/>
  <c r="C109" i="6" l="1"/>
  <c r="C110" i="6"/>
  <c r="C31" i="3"/>
  <c r="C35" i="3"/>
  <c r="F46" i="3"/>
  <c r="G48" i="3"/>
  <c r="H50" i="3"/>
  <c r="I52" i="3"/>
  <c r="B54" i="3"/>
  <c r="J54" i="3"/>
  <c r="B61" i="3"/>
  <c r="D7" i="3" s="1"/>
  <c r="G22" i="3"/>
  <c r="G26" i="3"/>
  <c r="B45" i="3"/>
  <c r="J45" i="3"/>
  <c r="C47" i="3"/>
  <c r="K47" i="3"/>
  <c r="D49" i="3"/>
  <c r="L49" i="3"/>
  <c r="E51" i="3"/>
  <c r="F53" i="3"/>
  <c r="G31" i="3"/>
  <c r="G36" i="3"/>
  <c r="G46" i="3"/>
  <c r="H48" i="3"/>
  <c r="I50" i="3"/>
  <c r="B52" i="3"/>
  <c r="J52" i="3"/>
  <c r="C54" i="3"/>
  <c r="K54" i="3"/>
  <c r="B62" i="3"/>
  <c r="D10" i="3" s="1"/>
  <c r="C19" i="3"/>
  <c r="C23" i="3"/>
  <c r="C27" i="3"/>
  <c r="C45" i="3"/>
  <c r="K45" i="3"/>
  <c r="D47" i="3"/>
  <c r="L47" i="3"/>
  <c r="E49" i="3"/>
  <c r="F51" i="3"/>
  <c r="G53" i="3"/>
  <c r="C32" i="3"/>
  <c r="H46" i="3"/>
  <c r="I48" i="3"/>
  <c r="B50" i="3"/>
  <c r="J50" i="3"/>
  <c r="C52" i="3"/>
  <c r="K52" i="3"/>
  <c r="D54" i="3"/>
  <c r="L54" i="3"/>
  <c r="B63" i="3"/>
  <c r="D9" i="3" s="1"/>
  <c r="G19" i="3"/>
  <c r="G23" i="3"/>
  <c r="G27" i="3"/>
  <c r="G37" i="3"/>
  <c r="D45" i="3"/>
  <c r="L45" i="3"/>
  <c r="E47" i="3"/>
  <c r="F49" i="3"/>
  <c r="G51" i="3"/>
  <c r="H53" i="3"/>
  <c r="G32" i="3"/>
  <c r="I46" i="3"/>
  <c r="B48" i="3"/>
  <c r="J48" i="3"/>
  <c r="C50" i="3"/>
  <c r="K50" i="3"/>
  <c r="D52" i="3"/>
  <c r="L52" i="3"/>
  <c r="E54" i="3"/>
  <c r="B64" i="3"/>
  <c r="D11" i="3" s="1"/>
  <c r="C20" i="3"/>
  <c r="C24" i="3"/>
  <c r="G28" i="3"/>
  <c r="E45" i="3"/>
  <c r="F47" i="3"/>
  <c r="G49" i="3"/>
  <c r="H51" i="3"/>
  <c r="I53" i="3"/>
  <c r="C33" i="3"/>
  <c r="G38" i="3"/>
  <c r="B46" i="3"/>
  <c r="J46" i="3"/>
  <c r="C48" i="3"/>
  <c r="K48" i="3"/>
  <c r="D50" i="3"/>
  <c r="L50" i="3"/>
  <c r="E52" i="3"/>
  <c r="F54" i="3"/>
  <c r="B57" i="3"/>
  <c r="B65" i="3"/>
  <c r="D12" i="3" s="1"/>
  <c r="G20" i="3"/>
  <c r="G24" i="3"/>
  <c r="F45" i="3"/>
  <c r="G47" i="3"/>
  <c r="H49" i="3"/>
  <c r="I51" i="3"/>
  <c r="B53" i="3"/>
  <c r="J53" i="3"/>
  <c r="G29" i="3"/>
  <c r="G33" i="3"/>
  <c r="G39" i="3"/>
  <c r="C46" i="3"/>
  <c r="K46" i="3"/>
  <c r="D48" i="3"/>
  <c r="L48" i="3"/>
  <c r="E50" i="3"/>
  <c r="F52" i="3"/>
  <c r="G54" i="3"/>
  <c r="B58" i="3"/>
  <c r="B66" i="3"/>
  <c r="D13" i="3" s="1"/>
  <c r="C21" i="3"/>
  <c r="C25" i="3"/>
  <c r="G45" i="3"/>
  <c r="H47" i="3"/>
  <c r="I49" i="3"/>
  <c r="B51" i="3"/>
  <c r="J51" i="3"/>
  <c r="C53" i="3"/>
  <c r="K53" i="3"/>
  <c r="C30" i="3"/>
  <c r="C34" i="3"/>
  <c r="G40" i="3"/>
  <c r="D46" i="3"/>
  <c r="L46" i="3"/>
  <c r="E48" i="3"/>
  <c r="F50" i="3"/>
  <c r="G52" i="3"/>
  <c r="H54" i="3"/>
  <c r="B59" i="3"/>
  <c r="D14" i="3" s="1"/>
  <c r="G14" i="3" s="1"/>
  <c r="B67" i="3"/>
  <c r="G21" i="3"/>
  <c r="G25" i="3"/>
  <c r="H45" i="3"/>
  <c r="I47" i="3"/>
  <c r="B49" i="3"/>
  <c r="J49" i="3"/>
  <c r="C51" i="3"/>
  <c r="K51" i="3"/>
  <c r="D53" i="3"/>
  <c r="L53" i="3"/>
  <c r="G30" i="3"/>
  <c r="G34" i="3"/>
  <c r="G41" i="3"/>
  <c r="E46" i="3"/>
  <c r="F48" i="3"/>
  <c r="G50" i="3"/>
  <c r="H52" i="3"/>
  <c r="I54" i="3"/>
  <c r="B60" i="3"/>
  <c r="D6" i="3" s="1"/>
  <c r="B68" i="3"/>
  <c r="D8" i="3" s="1"/>
  <c r="C22" i="3"/>
  <c r="C26" i="3"/>
  <c r="I45" i="3"/>
  <c r="B47" i="3"/>
  <c r="J47" i="3"/>
  <c r="C49" i="3"/>
  <c r="K49" i="3"/>
  <c r="D51" i="3"/>
  <c r="L51" i="3"/>
  <c r="E53" i="3"/>
  <c r="C121" i="6" a="1"/>
  <c r="C107" i="6" a="1"/>
  <c r="C29" i="6"/>
  <c r="C65" i="6"/>
  <c r="C14" i="6"/>
  <c r="C7" i="6"/>
  <c r="C1" i="6"/>
  <c r="C106" i="6" a="1"/>
  <c r="C43" i="6"/>
  <c r="C5" i="6"/>
  <c r="C104" i="6" a="1"/>
  <c r="C22" i="6"/>
  <c r="C89" i="6"/>
  <c r="C78" i="6"/>
  <c r="C63" i="6"/>
  <c r="C127" i="6" a="1"/>
  <c r="C53" i="6"/>
  <c r="C115" i="6" a="1"/>
  <c r="C46" i="6"/>
  <c r="C77" i="6"/>
  <c r="C95" i="6"/>
  <c r="C133" i="6" a="1"/>
  <c r="C68" i="6"/>
  <c r="C86" i="6"/>
  <c r="C35" i="6"/>
  <c r="C72" i="6"/>
  <c r="C113" i="6" a="1"/>
  <c r="C131" i="6" a="1"/>
  <c r="C73" i="6"/>
  <c r="C108" i="6" a="1"/>
  <c r="C16" i="6"/>
  <c r="C111" i="6" a="1"/>
  <c r="C20" i="6"/>
  <c r="C112" i="6" a="1"/>
  <c r="C27" i="6"/>
  <c r="C28" i="6"/>
  <c r="C15" i="6"/>
  <c r="C45" i="6"/>
  <c r="C13" i="6"/>
  <c r="C25" i="6"/>
  <c r="C48" i="6"/>
  <c r="C126" i="6" a="1"/>
  <c r="C136" i="6" a="1"/>
  <c r="C4" i="6"/>
  <c r="C52" i="6"/>
  <c r="C120" i="6" a="1"/>
  <c r="C62" i="6"/>
  <c r="C69" i="6"/>
  <c r="C31" i="6"/>
  <c r="C55" i="6"/>
  <c r="C84" i="6"/>
  <c r="C75" i="6"/>
  <c r="C59" i="6"/>
  <c r="C81" i="6"/>
  <c r="C64" i="6"/>
  <c r="C91" i="6"/>
  <c r="C2" i="6"/>
  <c r="C19" i="6"/>
  <c r="C24" i="6"/>
  <c r="C101" i="6" a="1"/>
  <c r="C39" i="6"/>
  <c r="C87" i="6"/>
  <c r="C17" i="6"/>
  <c r="C54" i="6"/>
  <c r="C137" i="6" a="1"/>
  <c r="C92" i="6"/>
  <c r="C50" i="6"/>
  <c r="C134" i="6" a="1"/>
  <c r="C99" i="6"/>
  <c r="C10" i="6"/>
  <c r="C66" i="6"/>
  <c r="C74" i="6"/>
  <c r="C105" i="6" a="1"/>
  <c r="C44" i="6"/>
  <c r="C51" i="6"/>
  <c r="C30" i="6"/>
  <c r="C96" i="6"/>
  <c r="C8" i="6"/>
  <c r="C41" i="6"/>
  <c r="C83" i="6"/>
  <c r="C80" i="6"/>
  <c r="C76" i="6"/>
  <c r="C82" i="6"/>
  <c r="C60" i="6"/>
  <c r="C26" i="6"/>
  <c r="C79" i="6"/>
  <c r="C102" i="6" a="1"/>
  <c r="C116" i="6" a="1"/>
  <c r="C21" i="6"/>
  <c r="C130" i="6" a="1"/>
  <c r="C132" i="6" a="1"/>
  <c r="C125" i="6" a="1"/>
  <c r="C9" i="6"/>
  <c r="C12" i="6"/>
  <c r="C3" i="6"/>
  <c r="C32" i="6"/>
  <c r="C122" i="6" a="1"/>
  <c r="C70" i="6"/>
  <c r="C37" i="6"/>
  <c r="C85" i="6"/>
  <c r="C33" i="6"/>
  <c r="C67" i="6"/>
  <c r="C47" i="6"/>
  <c r="C117" i="6" a="1"/>
  <c r="C98" i="6"/>
  <c r="C97" i="6"/>
  <c r="C11" i="6"/>
  <c r="C23" i="6"/>
  <c r="C58" i="6"/>
  <c r="C57" i="6"/>
  <c r="C114" i="6" a="1"/>
  <c r="C61" i="6"/>
  <c r="C88" i="6"/>
  <c r="C103" i="6" a="1"/>
  <c r="C123" i="6" a="1"/>
  <c r="C100" i="6" a="1"/>
  <c r="C6" i="6"/>
  <c r="C128" i="6" a="1"/>
  <c r="C94" i="6"/>
  <c r="C18" i="6"/>
  <c r="C40" i="6"/>
  <c r="C71" i="6"/>
  <c r="C118" i="6" a="1"/>
  <c r="C90" i="6"/>
  <c r="C124" i="6" a="1"/>
  <c r="C56" i="6"/>
  <c r="C129" i="6" a="1"/>
  <c r="C49" i="6"/>
  <c r="C93" i="6"/>
  <c r="C38" i="6"/>
  <c r="C36" i="6"/>
  <c r="C34" i="6"/>
  <c r="C135" i="6" a="1"/>
  <c r="C119" i="6" a="1"/>
  <c r="C42" i="6"/>
  <c r="C111" i="6" l="1"/>
  <c r="C131" i="6"/>
  <c r="C106" i="6"/>
  <c r="C129" i="6"/>
  <c r="C123" i="6"/>
  <c r="C117" i="6"/>
  <c r="C125" i="6"/>
  <c r="C113" i="6"/>
  <c r="C127" i="6"/>
  <c r="C119" i="6"/>
  <c r="C132" i="6"/>
  <c r="C135" i="6"/>
  <c r="C124" i="6"/>
  <c r="C128" i="6"/>
  <c r="C122" i="6"/>
  <c r="C130" i="6"/>
  <c r="C101" i="6"/>
  <c r="C105" i="6"/>
  <c r="C103" i="6"/>
  <c r="C114" i="6"/>
  <c r="C112" i="6"/>
  <c r="C133" i="6"/>
  <c r="C120" i="6"/>
  <c r="C118" i="6"/>
  <c r="C126" i="6"/>
  <c r="C116" i="6"/>
  <c r="C108" i="6"/>
  <c r="C102" i="6"/>
  <c r="C104" i="6"/>
  <c r="C107" i="6"/>
  <c r="C137" i="6"/>
  <c r="C121" i="6"/>
  <c r="C136" i="6"/>
  <c r="C100" i="6"/>
  <c r="C134" i="6"/>
  <c r="C115" i="6"/>
  <c r="E7" i="3"/>
  <c r="E5" i="3"/>
  <c r="E6" i="3"/>
  <c r="D5" i="3"/>
  <c r="E9" i="3"/>
  <c r="D15" i="3"/>
  <c r="M53" i="3"/>
  <c r="B12" i="3" s="1"/>
  <c r="M46" i="3"/>
  <c r="B5" i="3" s="1"/>
  <c r="F5" i="3"/>
  <c r="E10" i="3"/>
  <c r="C29" i="3"/>
  <c r="C13" i="3" s="1"/>
  <c r="C16" i="3" s="1"/>
  <c r="F4" i="3"/>
  <c r="C18" i="3"/>
  <c r="M50" i="3"/>
  <c r="B9" i="3" s="1"/>
  <c r="M54" i="3"/>
  <c r="B15" i="3" s="1"/>
  <c r="M45" i="3"/>
  <c r="D4" i="3"/>
  <c r="B56" i="3"/>
  <c r="M49" i="3"/>
  <c r="B8" i="3" s="1"/>
  <c r="G8" i="3" s="1"/>
  <c r="M48" i="3"/>
  <c r="B7" i="3" s="1"/>
  <c r="E12" i="3"/>
  <c r="M47" i="3"/>
  <c r="B6" i="3" s="1"/>
  <c r="M51" i="3"/>
  <c r="B10" i="3" s="1"/>
  <c r="E11" i="3"/>
  <c r="E4" i="3"/>
  <c r="G18" i="3"/>
  <c r="M52" i="3"/>
  <c r="B11" i="3" s="1"/>
  <c r="G12" i="3" l="1"/>
  <c r="G7" i="3"/>
  <c r="G5" i="3"/>
  <c r="G10" i="3"/>
  <c r="G6" i="3"/>
  <c r="D16" i="3"/>
  <c r="G13" i="3"/>
  <c r="G9" i="3"/>
  <c r="G15" i="3"/>
  <c r="F16" i="3"/>
  <c r="K43" i="3"/>
  <c r="B4" i="3"/>
  <c r="G11" i="3"/>
  <c r="E16" i="3"/>
  <c r="B16" i="3" l="1"/>
  <c r="G4" i="3"/>
  <c r="G16" i="3" s="1"/>
  <c r="A1" i="3" s="1"/>
  <c r="K36" i="2" l="1"/>
  <c r="J36" i="2"/>
  <c r="I36" i="2"/>
  <c r="H36" i="2"/>
  <c r="S35" i="2"/>
  <c r="R35" i="2"/>
  <c r="Q35" i="2"/>
  <c r="P35" i="2"/>
  <c r="O35" i="2"/>
  <c r="T35" i="2" s="1"/>
  <c r="N35" i="2"/>
  <c r="M35" i="2"/>
  <c r="L35" i="2"/>
  <c r="S34" i="2"/>
  <c r="R34" i="2"/>
  <c r="Q34" i="2"/>
  <c r="N34" i="2"/>
  <c r="M34" i="2"/>
  <c r="L34" i="2"/>
  <c r="S33" i="2"/>
  <c r="R33" i="2"/>
  <c r="Q33" i="2"/>
  <c r="N33" i="2"/>
  <c r="M33" i="2"/>
  <c r="L33" i="2"/>
  <c r="S32" i="2"/>
  <c r="R32" i="2"/>
  <c r="Q32" i="2"/>
  <c r="N32" i="2"/>
  <c r="M32" i="2"/>
  <c r="L32" i="2"/>
  <c r="S31" i="2"/>
  <c r="R31" i="2"/>
  <c r="Q31" i="2"/>
  <c r="N31" i="2"/>
  <c r="M31" i="2"/>
  <c r="L31" i="2"/>
  <c r="S30" i="2"/>
  <c r="R30" i="2"/>
  <c r="Q30" i="2"/>
  <c r="N30" i="2"/>
  <c r="M30" i="2"/>
  <c r="L30" i="2"/>
  <c r="S29" i="2"/>
  <c r="R29" i="2"/>
  <c r="Q29" i="2"/>
  <c r="N29" i="2"/>
  <c r="M29" i="2"/>
  <c r="L29" i="2"/>
  <c r="S28" i="2"/>
  <c r="R28" i="2"/>
  <c r="Q28" i="2"/>
  <c r="N28" i="2"/>
  <c r="M28" i="2"/>
  <c r="L28" i="2"/>
  <c r="S27" i="2"/>
  <c r="R27" i="2"/>
  <c r="Q27" i="2"/>
  <c r="N27" i="2"/>
  <c r="M27" i="2"/>
  <c r="L27" i="2"/>
  <c r="S26" i="2"/>
  <c r="R26" i="2"/>
  <c r="Q26" i="2"/>
  <c r="N26" i="2"/>
  <c r="M26" i="2"/>
  <c r="L26" i="2"/>
  <c r="S25" i="2"/>
  <c r="R25" i="2"/>
  <c r="Q25" i="2"/>
  <c r="N25" i="2"/>
  <c r="M25" i="2"/>
  <c r="L25" i="2"/>
  <c r="S24" i="2"/>
  <c r="R24" i="2"/>
  <c r="Q24" i="2"/>
  <c r="N24" i="2"/>
  <c r="M24" i="2"/>
  <c r="L24" i="2"/>
  <c r="S23" i="2"/>
  <c r="R23" i="2"/>
  <c r="Q23" i="2"/>
  <c r="N23" i="2"/>
  <c r="M23" i="2"/>
  <c r="L23" i="2"/>
  <c r="S22" i="2"/>
  <c r="R22" i="2"/>
  <c r="Q22" i="2"/>
  <c r="N22" i="2"/>
  <c r="M22" i="2"/>
  <c r="L22" i="2"/>
  <c r="S21" i="2"/>
  <c r="R21" i="2"/>
  <c r="Q21" i="2"/>
  <c r="N21" i="2"/>
  <c r="M21" i="2"/>
  <c r="L21" i="2"/>
  <c r="S20" i="2"/>
  <c r="R20" i="2"/>
  <c r="Q20" i="2"/>
  <c r="N20" i="2"/>
  <c r="M20" i="2"/>
  <c r="L20" i="2"/>
  <c r="S19" i="2"/>
  <c r="R19" i="2"/>
  <c r="Q19" i="2"/>
  <c r="N19" i="2"/>
  <c r="M19" i="2"/>
  <c r="L19" i="2"/>
  <c r="S18" i="2"/>
  <c r="R18" i="2"/>
  <c r="Q18" i="2"/>
  <c r="N18" i="2"/>
  <c r="M18" i="2"/>
  <c r="L18" i="2"/>
  <c r="S17" i="2"/>
  <c r="R17" i="2"/>
  <c r="Q17" i="2"/>
  <c r="N17" i="2"/>
  <c r="M17" i="2"/>
  <c r="L17" i="2"/>
  <c r="S16" i="2"/>
  <c r="R16" i="2"/>
  <c r="Q16" i="2"/>
  <c r="N16" i="2"/>
  <c r="M16" i="2"/>
  <c r="L16" i="2"/>
  <c r="S15" i="2"/>
  <c r="R15" i="2"/>
  <c r="Q15" i="2"/>
  <c r="N15" i="2"/>
  <c r="M15" i="2"/>
  <c r="L15" i="2"/>
  <c r="S14" i="2"/>
  <c r="R14" i="2"/>
  <c r="Q14" i="2"/>
  <c r="N14" i="2"/>
  <c r="M14" i="2"/>
  <c r="L14" i="2"/>
  <c r="S13" i="2"/>
  <c r="R13" i="2"/>
  <c r="Q13" i="2"/>
  <c r="N13" i="2"/>
  <c r="M13" i="2"/>
  <c r="L13" i="2"/>
  <c r="S12" i="2"/>
  <c r="R12" i="2"/>
  <c r="Q12" i="2"/>
  <c r="N12" i="2"/>
  <c r="M12" i="2"/>
  <c r="L12" i="2"/>
  <c r="S11" i="2"/>
  <c r="R11" i="2"/>
  <c r="Q11" i="2"/>
  <c r="N11" i="2"/>
  <c r="M11" i="2"/>
  <c r="L11" i="2"/>
  <c r="S10" i="2"/>
  <c r="R10" i="2"/>
  <c r="Q10" i="2"/>
  <c r="N10" i="2"/>
  <c r="M10" i="2"/>
  <c r="L10" i="2"/>
  <c r="S9" i="2"/>
  <c r="R9" i="2"/>
  <c r="Q9" i="2"/>
  <c r="N9" i="2"/>
  <c r="M9" i="2"/>
  <c r="L9" i="2"/>
  <c r="S8" i="2"/>
  <c r="R8" i="2"/>
  <c r="Q8" i="2"/>
  <c r="N8" i="2"/>
  <c r="M8" i="2"/>
  <c r="L8" i="2"/>
  <c r="S7" i="2"/>
  <c r="S36" i="2" s="1"/>
  <c r="R7" i="2"/>
  <c r="R36" i="2" s="1"/>
  <c r="Q7" i="2"/>
  <c r="Q36" i="2" s="1"/>
  <c r="N7" i="2"/>
  <c r="M7" i="2"/>
  <c r="L7" i="2"/>
  <c r="S6" i="2"/>
  <c r="R6" i="2"/>
  <c r="Q6" i="2"/>
  <c r="N6" i="2"/>
  <c r="M6" i="2"/>
  <c r="L6" i="2"/>
  <c r="S5" i="2"/>
  <c r="R5" i="2"/>
  <c r="Q5" i="2"/>
  <c r="O5" i="2"/>
  <c r="N5" i="2"/>
  <c r="N36" i="2" s="1"/>
  <c r="M5" i="2"/>
  <c r="M36" i="2" s="1"/>
  <c r="L5" i="2"/>
  <c r="F5" i="2"/>
  <c r="F6" i="2" s="1"/>
  <c r="A2" i="2"/>
  <c r="F7" i="2" l="1"/>
  <c r="O6" i="2"/>
  <c r="L36" i="2"/>
  <c r="G7" i="2"/>
  <c r="P7" i="2" s="1"/>
  <c r="G6" i="2"/>
  <c r="P6" i="2" s="1"/>
  <c r="T6" i="2" s="1"/>
  <c r="G5" i="2"/>
  <c r="P5" i="2" l="1"/>
  <c r="O7" i="2"/>
  <c r="F8" i="2"/>
  <c r="T7" i="2" l="1"/>
  <c r="F9" i="2"/>
  <c r="O8" i="2"/>
  <c r="G8" i="2"/>
  <c r="T5" i="2"/>
  <c r="P8" i="2" l="1"/>
  <c r="T8" i="2"/>
  <c r="F10" i="2"/>
  <c r="O9" i="2"/>
  <c r="G9" i="2"/>
  <c r="P9" i="2" s="1"/>
  <c r="T9" i="2" l="1"/>
  <c r="O10" i="2"/>
  <c r="F11" i="2"/>
  <c r="G10" i="2"/>
  <c r="P10" i="2" s="1"/>
  <c r="F12" i="2" l="1"/>
  <c r="O11" i="2"/>
  <c r="G11" i="2"/>
  <c r="P11" i="2" s="1"/>
  <c r="T10" i="2"/>
  <c r="T11" i="2" l="1"/>
  <c r="F13" i="2"/>
  <c r="O12" i="2"/>
  <c r="G12" i="2"/>
  <c r="P12" i="2" s="1"/>
  <c r="O13" i="2" l="1"/>
  <c r="F14" i="2"/>
  <c r="G13" i="2"/>
  <c r="P13" i="2" s="1"/>
  <c r="T12" i="2"/>
  <c r="O14" i="2" l="1"/>
  <c r="F15" i="2"/>
  <c r="G14" i="2"/>
  <c r="P14" i="2" s="1"/>
  <c r="T13" i="2"/>
  <c r="F16" i="2" l="1"/>
  <c r="O15" i="2"/>
  <c r="G15" i="2"/>
  <c r="P15" i="2" s="1"/>
  <c r="T14" i="2"/>
  <c r="T15" i="2" l="1"/>
  <c r="O16" i="2"/>
  <c r="F17" i="2"/>
  <c r="G16" i="2"/>
  <c r="P16" i="2" s="1"/>
  <c r="O17" i="2" l="1"/>
  <c r="F18" i="2"/>
  <c r="G17" i="2"/>
  <c r="P17" i="2" s="1"/>
  <c r="T16" i="2"/>
  <c r="F19" i="2" l="1"/>
  <c r="O18" i="2"/>
  <c r="G18" i="2"/>
  <c r="P18" i="2" s="1"/>
  <c r="T17" i="2"/>
  <c r="T18" i="2" l="1"/>
  <c r="O19" i="2"/>
  <c r="F20" i="2"/>
  <c r="G19" i="2"/>
  <c r="P19" i="2" s="1"/>
  <c r="O20" i="2" l="1"/>
  <c r="F21" i="2"/>
  <c r="G20" i="2"/>
  <c r="P20" i="2" s="1"/>
  <c r="T19" i="2"/>
  <c r="F22" i="2" l="1"/>
  <c r="O21" i="2"/>
  <c r="G21" i="2"/>
  <c r="P21" i="2" s="1"/>
  <c r="T20" i="2"/>
  <c r="T21" i="2" l="1"/>
  <c r="F23" i="2"/>
  <c r="O22" i="2"/>
  <c r="G22" i="2"/>
  <c r="P22" i="2" s="1"/>
  <c r="T22" i="2" l="1"/>
  <c r="O23" i="2"/>
  <c r="F24" i="2"/>
  <c r="G23" i="2"/>
  <c r="P23" i="2" s="1"/>
  <c r="T23" i="2" l="1"/>
  <c r="F25" i="2"/>
  <c r="O24" i="2"/>
  <c r="G24" i="2"/>
  <c r="P24" i="2" s="1"/>
  <c r="T24" i="2" l="1"/>
  <c r="F26" i="2"/>
  <c r="O25" i="2"/>
  <c r="G25" i="2"/>
  <c r="P25" i="2" s="1"/>
  <c r="T25" i="2" l="1"/>
  <c r="O26" i="2"/>
  <c r="F27" i="2"/>
  <c r="G26" i="2"/>
  <c r="P26" i="2" s="1"/>
  <c r="O27" i="2" l="1"/>
  <c r="F28" i="2"/>
  <c r="G27" i="2"/>
  <c r="P27" i="2" s="1"/>
  <c r="T26" i="2"/>
  <c r="F29" i="2" l="1"/>
  <c r="O28" i="2"/>
  <c r="G28" i="2"/>
  <c r="P28" i="2" s="1"/>
  <c r="T27" i="2"/>
  <c r="T28" i="2" l="1"/>
  <c r="O29" i="2"/>
  <c r="F30" i="2"/>
  <c r="G29" i="2"/>
  <c r="P29" i="2" s="1"/>
  <c r="F31" i="2" l="1"/>
  <c r="O30" i="2"/>
  <c r="G30" i="2"/>
  <c r="P30" i="2" s="1"/>
  <c r="T29" i="2"/>
  <c r="T30" i="2" l="1"/>
  <c r="F32" i="2"/>
  <c r="O31" i="2"/>
  <c r="G31" i="2"/>
  <c r="P31" i="2" s="1"/>
  <c r="F33" i="2" l="1"/>
  <c r="O32" i="2"/>
  <c r="G32" i="2"/>
  <c r="P32" i="2" s="1"/>
  <c r="T31" i="2"/>
  <c r="T32" i="2" l="1"/>
  <c r="F34" i="2"/>
  <c r="O33" i="2"/>
  <c r="G33" i="2"/>
  <c r="P33" i="2" s="1"/>
  <c r="T33" i="2" l="1"/>
  <c r="O34" i="2"/>
  <c r="G34" i="2"/>
  <c r="F36" i="2"/>
  <c r="P34" i="2" l="1"/>
  <c r="P36" i="2" s="1"/>
  <c r="G36" i="2"/>
  <c r="T34" i="2"/>
  <c r="T36" i="2" s="1"/>
  <c r="T37" i="2" s="1"/>
  <c r="A1" i="2" s="1"/>
  <c r="O3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<sst xmlns="http://schemas.openxmlformats.org/spreadsheetml/2006/main" count="1875" uniqueCount="225">
  <si>
    <t>№</t>
  </si>
  <si>
    <t>дата</t>
  </si>
  <si>
    <t>Выгрузка кол-во</t>
  </si>
  <si>
    <t>Загрузка кол-во</t>
  </si>
  <si>
    <t>Хранение</t>
  </si>
  <si>
    <t>Резервирование 70 т</t>
  </si>
  <si>
    <t>Мин. Суточный резерв 0 т</t>
  </si>
  <si>
    <t>переконсолидация (тонн)</t>
  </si>
  <si>
    <t>Паллетирование</t>
  </si>
  <si>
    <t xml:space="preserve">Ночная загруска выгрузка </t>
  </si>
  <si>
    <t>стоимость ночной загруски</t>
  </si>
  <si>
    <t>стоимость выгрузки</t>
  </si>
  <si>
    <t>стоимость загрузки</t>
  </si>
  <si>
    <t>стоимость хранения</t>
  </si>
  <si>
    <t>Стоимость резервирования</t>
  </si>
  <si>
    <t>Стоимость мин.суточной бработки</t>
  </si>
  <si>
    <t>стоимость переконс.</t>
  </si>
  <si>
    <t>Стоимость паллетирования</t>
  </si>
  <si>
    <t>итого</t>
  </si>
  <si>
    <t>ТОП</t>
  </si>
  <si>
    <t>Склад</t>
  </si>
  <si>
    <t>Сибур</t>
  </si>
  <si>
    <t>Завод</t>
  </si>
  <si>
    <t>Русвинил</t>
  </si>
  <si>
    <t>Клиенты сибура</t>
  </si>
  <si>
    <t>Остальные</t>
  </si>
  <si>
    <t>Итого</t>
  </si>
  <si>
    <t>Казань_Автосервисная</t>
  </si>
  <si>
    <t>Баумана</t>
  </si>
  <si>
    <t>Нижнекамск завод</t>
  </si>
  <si>
    <t>Новикова-Прибоя</t>
  </si>
  <si>
    <t>Екатеринбург</t>
  </si>
  <si>
    <t>Новосибирск</t>
  </si>
  <si>
    <t>Новосибирск_Пасечная</t>
  </si>
  <si>
    <t>Казань_Приволжская</t>
  </si>
  <si>
    <t>Зеленодольск</t>
  </si>
  <si>
    <t>Нижнекамск</t>
  </si>
  <si>
    <t>ГАЗ</t>
  </si>
  <si>
    <t>Монастырка</t>
  </si>
  <si>
    <t>Березовая Пойма</t>
  </si>
  <si>
    <t>Остальные клиенты</t>
  </si>
  <si>
    <t>Стройтех</t>
  </si>
  <si>
    <t>Приоритет</t>
  </si>
  <si>
    <t>Ергарда</t>
  </si>
  <si>
    <t>Фармпласт</t>
  </si>
  <si>
    <t>Литейные решения</t>
  </si>
  <si>
    <t>Юг Полимер</t>
  </si>
  <si>
    <t>Сандекс</t>
  </si>
  <si>
    <t>Центрополимер</t>
  </si>
  <si>
    <t>ЛС-Техномет</t>
  </si>
  <si>
    <t>РусДжам</t>
  </si>
  <si>
    <t>Виго</t>
  </si>
  <si>
    <t>Доктор Франк</t>
  </si>
  <si>
    <t>Данафлекс</t>
  </si>
  <si>
    <t>Нефтезол</t>
  </si>
  <si>
    <t>ИП Ксендз</t>
  </si>
  <si>
    <t>ПРР</t>
  </si>
  <si>
    <t>Кладовки</t>
  </si>
  <si>
    <t>Стропальщики</t>
  </si>
  <si>
    <t>Биаксплен</t>
  </si>
  <si>
    <t>Мойка контейнеров</t>
  </si>
  <si>
    <t>МТО</t>
  </si>
  <si>
    <t>МТО 2520</t>
  </si>
  <si>
    <t>Контейнерные площадки</t>
  </si>
  <si>
    <t>КОС</t>
  </si>
  <si>
    <t>Оникс</t>
  </si>
  <si>
    <t>СИБУР</t>
  </si>
  <si>
    <t>KPI</t>
  </si>
  <si>
    <t>Полиом</t>
  </si>
  <si>
    <t>Полимеры</t>
  </si>
  <si>
    <t>Каучук</t>
  </si>
  <si>
    <t>ПСОН</t>
  </si>
  <si>
    <t>СБС</t>
  </si>
  <si>
    <t>Порошок</t>
  </si>
  <si>
    <t>НПЭГ</t>
  </si>
  <si>
    <t>Экспорт</t>
  </si>
  <si>
    <t>Доп услуги</t>
  </si>
  <si>
    <t>ИТОГО</t>
  </si>
  <si>
    <t xml:space="preserve">Наименование услуг (работ) </t>
  </si>
  <si>
    <t>Ед. изм.</t>
  </si>
  <si>
    <t>Количество</t>
  </si>
  <si>
    <t>Цена</t>
  </si>
  <si>
    <t>Сумма</t>
  </si>
  <si>
    <t>Итого:</t>
  </si>
  <si>
    <t>Без налога (НДС)</t>
  </si>
  <si>
    <t>Всего (с учетом НДС)</t>
  </si>
  <si>
    <t>Вышеперечисленные услуги (работы) выполнены полностью.</t>
  </si>
  <si>
    <t>ПОКЛАЖЕДАТЕЛЬ претензий по объему, качеству и срокам оказания услуг претензий не имеет.</t>
  </si>
  <si>
    <t>Контейнеры</t>
  </si>
  <si>
    <t>ООО "ДТМ"</t>
  </si>
  <si>
    <t>ПАО "Нижнекамскнефтехим"</t>
  </si>
  <si>
    <t>____________________Молькова Т.Ю.</t>
  </si>
  <si>
    <t>Расстегаев Д.О.</t>
  </si>
  <si>
    <t>____________________</t>
  </si>
  <si>
    <t>КП КОС</t>
  </si>
  <si>
    <t>КП Нижнекамск</t>
  </si>
  <si>
    <t xml:space="preserve">по Договору хранения № СХ.47103 от «10» апреля 2025 г.      </t>
  </si>
  <si>
    <t xml:space="preserve">     </t>
  </si>
  <si>
    <t>Во исполнение Договора в период с 01 Апрель 2026 г. По 30 Апрель 2026  г. ХРАНИТЕЛЬ оказал ПОКЛАЖЕДАТЕЛЮ следующие услуги (работы):</t>
  </si>
  <si>
    <t xml:space="preserve">Сумма без НДС </t>
  </si>
  <si>
    <t>Сумма с НДС</t>
  </si>
  <si>
    <t>оформление документов</t>
  </si>
  <si>
    <t>шт.</t>
  </si>
  <si>
    <t>Оформление сертификата</t>
  </si>
  <si>
    <t xml:space="preserve">Итого: </t>
  </si>
  <si>
    <t>шесть тысяч рублей ноль копеек</t>
  </si>
  <si>
    <t xml:space="preserve">Без налога (НДС): </t>
  </si>
  <si>
    <t>семь тысяч триста двадцать рублей ноль копеек</t>
  </si>
  <si>
    <t>ПАО "СИБУР Холдинг"</t>
  </si>
  <si>
    <t>____________________Расстегаев Д.О.</t>
  </si>
  <si>
    <t>тридцать восемь тысяч рублей ноль копеек</t>
  </si>
  <si>
    <t>сорок шесть тысяч триста шестьдесят рублей ноль копеек</t>
  </si>
  <si>
    <t>Отчет по хранению  товара  за Апрель</t>
  </si>
  <si>
    <t>Выгрузка кол-во паллет</t>
  </si>
  <si>
    <t>Загрузка кол-во паллет</t>
  </si>
  <si>
    <t>Ручная загрузка</t>
  </si>
  <si>
    <t>Ручная выгрузка</t>
  </si>
  <si>
    <t>предоставление паллеты</t>
  </si>
  <si>
    <t>Фильмаж (паллет)</t>
  </si>
  <si>
    <t>Стоимость ручной загрузки</t>
  </si>
  <si>
    <t>Стоимость ручной выгрузки</t>
  </si>
  <si>
    <t>Стоимость предоставления паллета</t>
  </si>
  <si>
    <t>стоимость услуги фильмаж</t>
  </si>
  <si>
    <t>(кол-во паллет)</t>
  </si>
  <si>
    <t>Отчет "Сандекс" Апрель 2025</t>
  </si>
  <si>
    <t>Стоимость</t>
  </si>
  <si>
    <t>Выгрузка паллет</t>
  </si>
  <si>
    <t>Выгрузка короб</t>
  </si>
  <si>
    <t>Загрузка паллет</t>
  </si>
  <si>
    <t>Загрузка короб</t>
  </si>
  <si>
    <t>Наборка короб</t>
  </si>
  <si>
    <t>Палетирование</t>
  </si>
  <si>
    <t>Выгрузка палллет</t>
  </si>
  <si>
    <t>Наборка</t>
  </si>
  <si>
    <t>Отчет по хранению  товара  СтройТех за Апрель</t>
  </si>
  <si>
    <t>ручная загрузка</t>
  </si>
  <si>
    <t>стоимость загр.. Работ</t>
  </si>
  <si>
    <t>мультипак</t>
  </si>
  <si>
    <t>шт,.</t>
  </si>
  <si>
    <t>Отчет по хранению  товара  Ергарда за Апрель</t>
  </si>
  <si>
    <t>Цены</t>
  </si>
  <si>
    <t>Выгрузка</t>
  </si>
  <si>
    <t>Загрузка</t>
  </si>
  <si>
    <t>Переконсолидация</t>
  </si>
  <si>
    <t xml:space="preserve">по Договору хранения № СХ.45411 от «01» января 2025 г.      </t>
  </si>
  <si>
    <t>Переконсолидация Товара</t>
  </si>
  <si>
    <t>тонна</t>
  </si>
  <si>
    <t>Предоставление фито поддона</t>
  </si>
  <si>
    <t>штука</t>
  </si>
  <si>
    <t>шестнадцать тысяч рублей ноль копеек</t>
  </si>
  <si>
    <t>девятнадцать тысяч пятьсот двадцать рублей ноль копеек</t>
  </si>
  <si>
    <t>семьдесят восемь тысяч рублей ноль копеек</t>
  </si>
  <si>
    <t>девяносто пять тысяч сто шестьдесят рублей ноль копеек</t>
  </si>
  <si>
    <t>сто тридцать тысяч рублей ноль копеек</t>
  </si>
  <si>
    <t>сто пятьдесят восемь тысяч шестьсот рублей ноль копеек</t>
  </si>
  <si>
    <t>Отчет по хранению товара за Апрель 2026 Баумана KPI</t>
  </si>
  <si>
    <t>Резервирование 0</t>
  </si>
  <si>
    <t>Мин. Суточный резерв 0</t>
  </si>
  <si>
    <t>Взвешивание</t>
  </si>
  <si>
    <t>стоимость взвешивания</t>
  </si>
  <si>
    <t>стоимость выгрузки за 1 месяц</t>
  </si>
  <si>
    <t>стоимость загрузки за 1 месяц</t>
  </si>
  <si>
    <t>стоимость хранения 
за 1 месяц</t>
  </si>
  <si>
    <t>Доплата за хранение за 1 месяц</t>
  </si>
  <si>
    <t>Доплата за ПРР за 1 месяц</t>
  </si>
  <si>
    <t>01.04.2026</t>
  </si>
  <si>
    <t>02.04.2026</t>
  </si>
  <si>
    <t>03.04.2026</t>
  </si>
  <si>
    <t>04.04.2026</t>
  </si>
  <si>
    <t>05.04.2026</t>
  </si>
  <si>
    <t>06.04.2026</t>
  </si>
  <si>
    <t>07.04.2026</t>
  </si>
  <si>
    <t>08.04.2026</t>
  </si>
  <si>
    <t>09.04.2026</t>
  </si>
  <si>
    <t>10.04.2026</t>
  </si>
  <si>
    <t>11.04.2026</t>
  </si>
  <si>
    <t>12.04.2026</t>
  </si>
  <si>
    <t>13.04.2026</t>
  </si>
  <si>
    <t>14.04.2026</t>
  </si>
  <si>
    <t>15.04.2026</t>
  </si>
  <si>
    <t>16.04.2026</t>
  </si>
  <si>
    <t>17.04.2026</t>
  </si>
  <si>
    <t>18.04.2026</t>
  </si>
  <si>
    <t>19.04.2026</t>
  </si>
  <si>
    <t>20.04.2026</t>
  </si>
  <si>
    <t>21.04.2026</t>
  </si>
  <si>
    <t>22.04.2026</t>
  </si>
  <si>
    <t>23.04.2026</t>
  </si>
  <si>
    <t>24.04.2026</t>
  </si>
  <si>
    <t>25.04.2026</t>
  </si>
  <si>
    <t>26.04.2026</t>
  </si>
  <si>
    <t>27.04.2026</t>
  </si>
  <si>
    <t>28.04.2026</t>
  </si>
  <si>
    <t>29.04.2026</t>
  </si>
  <si>
    <t>30.04.2026</t>
  </si>
  <si>
    <t>Отчет по хранению товара за Апрель 2026 Баумана Полимеры</t>
  </si>
  <si>
    <t>Отчет по хранению товара за Апрель 2026 Баумана Полиом</t>
  </si>
  <si>
    <t>Отчет по хранению товара за Апрель 2026 Екатеринбург KPI</t>
  </si>
  <si>
    <t>Отчет по хранению товара за Апрель 2026 Екатеринбург НПЭГ</t>
  </si>
  <si>
    <t>Отчет по хранению товара за Апрель 2026 Екатеринбург Полимеры</t>
  </si>
  <si>
    <t>Отчет по хранению товара за Апрель 2026 Екатеринбург Полиом</t>
  </si>
  <si>
    <t>Отчет по хранению товара за Апрель 2026 Зеленодольск KPI</t>
  </si>
  <si>
    <t>Отчет по хранению товара за Апрель 2026 Зеленодольск Данафлекс</t>
  </si>
  <si>
    <t>Отчет по хранению товара за Апрель 2026 Зеленодольск Полимеры</t>
  </si>
  <si>
    <t>Отчет по хранению товара за Апрель 2026 Казань_Автосервисная Полимеры</t>
  </si>
  <si>
    <t>Резервирование 0 т</t>
  </si>
  <si>
    <t>стоимость хранения за 1 месяц</t>
  </si>
  <si>
    <t>Отчет по хранению товара за Апрель 2026 Казань_Автосервисная Полиом</t>
  </si>
  <si>
    <t>Отчет по хранению товара за Апрель 2026 Казань_Приволжская Полимеры</t>
  </si>
  <si>
    <t>Отчет по хранению товара за Апрель 2026 Нижнекамск НПЭГ НПЭГ</t>
  </si>
  <si>
    <t>Резервирование 1000 ГЕ</t>
  </si>
  <si>
    <t>Мин. Суточный резерв 100</t>
  </si>
  <si>
    <t>Отчет по хранению товара за Апрель 2026 Нижнекамск ПСОН НПЭГ</t>
  </si>
  <si>
    <t>Резервирование 3800 т</t>
  </si>
  <si>
    <t>Отчет по хранению товара за Апрель 2026 Нижнекамск ПСОН ПСОН</t>
  </si>
  <si>
    <t>Отчет по хранению товара за Апрель 2026 Новикова-Прибоя KPI</t>
  </si>
  <si>
    <t>Отчет по хранению товара за Апрель 2026 Новикова-Прибоя Полимеры</t>
  </si>
  <si>
    <t>Отчет по хранению товара за Апрель 2026 Новикова-Прибоя Полиом</t>
  </si>
  <si>
    <t>Отчет по хранению товара за Апрель 2026 Новосибирск KPI</t>
  </si>
  <si>
    <t>Отчет по хранению товара за Апрель 2026 Новосибирск Полимеры</t>
  </si>
  <si>
    <t>Отчет по хранению товара за Апрель 2026 Новосибирск Полиом</t>
  </si>
  <si>
    <t>Отчет по хранению товара за Апрель 2026 Новосибирск Порошок Порошок</t>
  </si>
  <si>
    <t>Отчет по хранению товара за Апрель 2026 Новосибирск_Пасечная Порошок</t>
  </si>
  <si>
    <t>Резервирование 1870 т</t>
  </si>
  <si>
    <t>Мин. Суточный резерв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</si>
</sst>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₽&quot;#,##0.00_);\(&quot;₽&quot;#,##0.00\)"/>
    <numFmt numFmtId="165" formatCode="_(&quot;₽&quot;* #,##0.00_);_(&quot;₽&quot;* \(#,##0.00\);_(&quot;₽&quot;* &quot;-&quot;??_);_(@_)"/>
    <numFmt numFmtId="166" formatCode="0.000000"/>
    <numFmt numFmtId="167" formatCode="0.000"/>
    <numFmt numFmtId="168" formatCode="0.0000"/>
    <numFmt numFmtId="169" formatCode="#,##0.00\ &quot;₽&quot;"/>
    <numFmt numFmtId="170" formatCode="_-* #,##0.00\ &quot;₽&quot;_-;\-* #,##0.00\ &quot;₽&quot;_-;_-* &quot;-&quot;??\ &quot;₽&quot;_-;_-@"/>
  </numFmts>
  <fonts count="12">
    <font>
      <sz val="11"/>
      <color theme="1"/>
      <name val="Calibri"/>
      <family val="2"/>
      <charset val="204"/>
    </font>
    <font>
      <sz val="12"/>
      <color theme="1"/>
      <name val="0xProto"/>
      <family val="2"/>
      <charset val="204"/>
    </font>
    <font>
      <sz val="11"/>
      <color theme="1"/>
      <name val="Calibri"/>
      <family val="2"/>
      <charset val="204"/>
    </font>
    <font>
      <sz val="11"/>
      <color theme="1"/>
      <name val="Aptos Narrow"/>
      <family val="2"/>
      <scheme val="minor"/>
    </font>
    <font>
      <sz val="8"/>
      <name val="Arial"/>
      <family val="2"/>
    </font>
    <font>
      <sz val="11"/>
      <name val="Aptos Narrow"/>
      <family val="2"/>
      <charset val="204"/>
      <scheme val="minor"/>
    </font>
    <font>
      <sz val="11"/>
      <name val="Calibri"/>
      <family val="2"/>
      <charset val="204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1"/>
      <color rgb="FF00B05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72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</fills>
  <borders count="5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4">
    <xf numFmtId="0" fontId="0" fillId="0" borderId="0"/>
    <xf numFmtId="0" fontId="3" fillId="0" borderId="0"/>
    <xf numFmtId="0" fontId="4" fillId="0" borderId="0"/>
    <xf numFmtId="0" fontId="4" fillId="0" borderId="0"/>
    <xf numFmtId="0" fontId="4" fillId="0" borderId="0"/>
    <xf numFmtId="165" fontId="3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195">
    <xf numFmtId="0" fontId="0" fillId="0" borderId="0" xfId="0"/>
    <xf numFmtId="0" fontId="6" fillId="0" borderId="9" xfId="6" applyFont="1" applyBorder="1" applyAlignment="1">
      <alignment horizontal="center"/>
    </xf>
    <xf numFmtId="0" fontId="6" fillId="0" borderId="24" xfId="6" applyFont="1" applyBorder="1" applyAlignment="1">
      <alignment horizontal="center"/>
    </xf>
    <xf numFmtId="0" fontId="6" fillId="0" borderId="16" xfId="6" applyFont="1" applyBorder="1"/>
    <xf numFmtId="0" fontId="6" fillId="0" borderId="0" xfId="6" applyFont="1"/>
    <xf numFmtId="0" fontId="6" fillId="0" borderId="5" xfId="6" applyFont="1" applyBorder="1"/>
    <xf numFmtId="169" fontId="6" fillId="0" borderId="5" xfId="6" applyNumberFormat="1" applyFont="1" applyBorder="1"/>
    <xf numFmtId="169" fontId="7" fillId="0" borderId="5" xfId="5" applyNumberFormat="1" applyFont="1" applyBorder="1" applyAlignment="1">
      <alignment horizontal="right" vertical="center" wrapText="1"/>
    </xf>
    <xf numFmtId="169" fontId="7" fillId="0" borderId="8" xfId="5" applyNumberFormat="1" applyFont="1" applyBorder="1" applyAlignment="1">
      <alignment horizontal="right" vertical="center" wrapText="1"/>
    </xf>
    <xf numFmtId="165" fontId="7" fillId="0" borderId="0" xfId="5" applyFont="1" applyBorder="1" applyAlignment="1">
      <alignment horizontal="center" vertical="center" wrapText="1"/>
    </xf>
    <xf numFmtId="0" fontId="6" fillId="0" borderId="8" xfId="6" applyFont="1" applyBorder="1"/>
    <xf numFmtId="169" fontId="6" fillId="0" borderId="8" xfId="6" applyNumberFormat="1" applyFont="1" applyBorder="1"/>
    <xf numFmtId="169" fontId="6" fillId="0" borderId="0" xfId="6" applyNumberFormat="1" applyFont="1"/>
    <xf numFmtId="0" fontId="6" fillId="0" borderId="0" xfId="6" applyFont="1" applyAlignment="1">
      <alignment horizontal="center"/>
    </xf>
    <xf numFmtId="169" fontId="7" fillId="0" borderId="0" xfId="5" applyNumberFormat="1" applyFont="1" applyBorder="1" applyAlignment="1">
      <alignment horizontal="right" vertical="center" wrapText="1"/>
    </xf>
    <xf numFmtId="169" fontId="7" fillId="0" borderId="0" xfId="5" applyNumberFormat="1" applyFont="1" applyBorder="1" applyAlignment="1">
      <alignment horizontal="center" vertical="center" wrapText="1"/>
    </xf>
    <xf numFmtId="0" fontId="7" fillId="0" borderId="8" xfId="6" applyFont="1" applyBorder="1" applyAlignment="1">
      <alignment horizontal="center"/>
    </xf>
    <xf numFmtId="0" fontId="8" fillId="0" borderId="41" xfId="1" applyFont="1" applyBorder="1" applyAlignment="1">
      <alignment horizontal="center" vertical="center" wrapText="1"/>
    </xf>
    <xf numFmtId="0" fontId="8" fillId="0" borderId="47" xfId="1" applyFont="1" applyBorder="1" applyAlignment="1">
      <alignment horizontal="center" vertical="center" wrapText="1"/>
    </xf>
    <xf numFmtId="169" fontId="2" fillId="0" borderId="5" xfId="1" applyNumberFormat="1" applyFont="1" applyBorder="1" applyAlignment="1">
      <alignment horizontal="right"/>
    </xf>
    <xf numFmtId="170" fontId="8" fillId="0" borderId="5" xfId="1" applyNumberFormat="1" applyFont="1" applyBorder="1" applyAlignment="1">
      <alignment horizontal="right"/>
    </xf>
    <xf numFmtId="170" fontId="8" fillId="0" borderId="8" xfId="1" applyNumberFormat="1" applyFont="1" applyBorder="1" applyAlignment="1">
      <alignment horizontal="right"/>
    </xf>
    <xf numFmtId="0" fontId="8" fillId="0" borderId="16" xfId="1" applyFont="1" applyBorder="1" applyAlignment="1">
      <alignment horizontal="center"/>
    </xf>
    <xf numFmtId="169" fontId="8" fillId="0" borderId="17" xfId="1" applyNumberFormat="1" applyFont="1" applyBorder="1" applyAlignment="1">
      <alignment horizontal="right"/>
    </xf>
    <xf numFmtId="169" fontId="8" fillId="0" borderId="54" xfId="1" applyNumberFormat="1" applyFont="1" applyBorder="1" applyAlignment="1">
      <alignment horizontal="right"/>
    </xf>
    <xf numFmtId="170" fontId="8" fillId="0" borderId="55" xfId="1" applyNumberFormat="1" applyFont="1" applyBorder="1" applyAlignment="1">
      <alignment horizontal="right"/>
    </xf>
    <xf numFmtId="0" fontId="0" fillId="0" borderId="0" xfId="0" applyFont="1"/>
    <xf numFmtId="165" fontId="2" fillId="0" borderId="0" xfId="1" applyNumberFormat="1" applyFont="1"/>
    <xf numFmtId="0" fontId="2" fillId="0" borderId="0" xfId="1" applyFont="1"/>
    <xf numFmtId="0" fontId="2" fillId="0" borderId="0" xfId="1" quotePrefix="1" applyFont="1"/>
    <xf numFmtId="0" fontId="8" fillId="0" borderId="2" xfId="1" applyFont="1" applyBorder="1" applyAlignment="1">
      <alignment horizontal="center" wrapText="1"/>
    </xf>
    <xf numFmtId="0" fontId="8" fillId="0" borderId="5" xfId="1" applyFont="1" applyBorder="1" applyAlignment="1">
      <alignment horizontal="center" wrapText="1"/>
    </xf>
    <xf numFmtId="0" fontId="2" fillId="0" borderId="8" xfId="1" applyFont="1" applyBorder="1" applyAlignment="1">
      <alignment horizontal="center"/>
    </xf>
    <xf numFmtId="0" fontId="6" fillId="0" borderId="10" xfId="3" applyFont="1" applyBorder="1" applyAlignment="1">
      <alignment vertical="top"/>
    </xf>
    <xf numFmtId="166" fontId="6" fillId="0" borderId="10" xfId="4" applyNumberFormat="1" applyFont="1" applyBorder="1" applyAlignment="1">
      <alignment horizontal="right" vertical="top"/>
    </xf>
    <xf numFmtId="166" fontId="6" fillId="0" borderId="11" xfId="2" applyNumberFormat="1" applyFont="1" applyBorder="1" applyAlignment="1">
      <alignment horizontal="right" vertical="top"/>
    </xf>
    <xf numFmtId="167" fontId="2" fillId="0" borderId="11" xfId="1" applyNumberFormat="1" applyFont="1" applyBorder="1"/>
    <xf numFmtId="0" fontId="2" fillId="0" borderId="11" xfId="1" applyFont="1" applyBorder="1"/>
    <xf numFmtId="165" fontId="2" fillId="0" borderId="11" xfId="1" applyNumberFormat="1" applyFont="1" applyBorder="1"/>
    <xf numFmtId="0" fontId="2" fillId="0" borderId="11" xfId="1" applyFont="1" applyBorder="1" applyAlignment="1">
      <alignment horizontal="center"/>
    </xf>
    <xf numFmtId="0" fontId="6" fillId="0" borderId="10" xfId="3" applyFont="1" applyBorder="1" applyAlignment="1">
      <alignment horizontal="right" vertical="top"/>
    </xf>
    <xf numFmtId="168" fontId="6" fillId="0" borderId="10" xfId="3" applyNumberFormat="1" applyFont="1" applyBorder="1" applyAlignment="1">
      <alignment horizontal="right" vertical="top"/>
    </xf>
    <xf numFmtId="0" fontId="2" fillId="0" borderId="12" xfId="1" applyFont="1" applyBorder="1"/>
    <xf numFmtId="167" fontId="8" fillId="0" borderId="11" xfId="1" applyNumberFormat="1" applyFont="1" applyBorder="1"/>
    <xf numFmtId="1" fontId="8" fillId="0" borderId="11" xfId="1" applyNumberFormat="1" applyFont="1" applyBorder="1"/>
    <xf numFmtId="165" fontId="8" fillId="0" borderId="11" xfId="1" applyNumberFormat="1" applyFont="1" applyBorder="1"/>
    <xf numFmtId="0" fontId="8" fillId="0" borderId="0" xfId="1" applyFont="1"/>
    <xf numFmtId="165" fontId="9" fillId="0" borderId="11" xfId="1" applyNumberFormat="1" applyFont="1" applyBorder="1"/>
    <xf numFmtId="166" fontId="2" fillId="0" borderId="0" xfId="1" applyNumberFormat="1" applyFont="1"/>
    <xf numFmtId="0" fontId="7" fillId="0" borderId="16" xfId="6" applyFont="1" applyBorder="1" applyAlignment="1">
      <alignment horizontal="center"/>
    </xf>
    <xf numFmtId="0" fontId="7" fillId="0" borderId="17" xfId="6" applyFont="1" applyBorder="1" applyAlignment="1">
      <alignment horizontal="center"/>
    </xf>
    <xf numFmtId="0" fontId="7" fillId="0" borderId="18" xfId="6" applyFont="1" applyBorder="1" applyAlignment="1">
      <alignment horizontal="center"/>
    </xf>
    <xf numFmtId="165" fontId="6" fillId="0" borderId="19" xfId="5" applyFont="1" applyBorder="1"/>
    <xf numFmtId="169" fontId="6" fillId="0" borderId="20" xfId="5" applyNumberFormat="1" applyFont="1" applyBorder="1"/>
    <xf numFmtId="0" fontId="6" fillId="0" borderId="21" xfId="6" applyFont="1" applyBorder="1" applyAlignment="1">
      <alignment horizontal="center"/>
    </xf>
    <xf numFmtId="169" fontId="6" fillId="0" borderId="5" xfId="5" applyNumberFormat="1" applyFont="1" applyBorder="1" applyAlignment="1">
      <alignment horizontal="right"/>
    </xf>
    <xf numFmtId="169" fontId="9" fillId="0" borderId="22" xfId="5" applyNumberFormat="1" applyFont="1" applyBorder="1" applyAlignment="1">
      <alignment horizontal="right"/>
    </xf>
    <xf numFmtId="165" fontId="6" fillId="0" borderId="9" xfId="5" applyFont="1" applyBorder="1"/>
    <xf numFmtId="169" fontId="6" fillId="0" borderId="23" xfId="5" applyNumberFormat="1" applyFont="1" applyBorder="1"/>
    <xf numFmtId="165" fontId="6" fillId="0" borderId="25" xfId="5" applyFont="1" applyBorder="1"/>
    <xf numFmtId="169" fontId="6" fillId="0" borderId="26" xfId="5" applyNumberFormat="1" applyFont="1" applyBorder="1"/>
    <xf numFmtId="169" fontId="8" fillId="0" borderId="27" xfId="5" applyNumberFormat="1" applyFont="1" applyBorder="1" applyAlignment="1">
      <alignment horizontal="right" vertical="center"/>
    </xf>
    <xf numFmtId="165" fontId="8" fillId="0" borderId="0" xfId="5" applyFont="1" applyBorder="1" applyAlignment="1"/>
    <xf numFmtId="169" fontId="9" fillId="0" borderId="30" xfId="6" applyNumberFormat="1" applyFont="1" applyBorder="1" applyAlignment="1">
      <alignment horizontal="right"/>
    </xf>
    <xf numFmtId="169" fontId="9" fillId="0" borderId="18" xfId="6" applyNumberFormat="1" applyFont="1" applyBorder="1" applyAlignment="1">
      <alignment horizontal="right"/>
    </xf>
    <xf numFmtId="165" fontId="9" fillId="0" borderId="0" xfId="6" applyNumberFormat="1" applyFont="1"/>
    <xf numFmtId="0" fontId="7" fillId="0" borderId="0" xfId="6" applyFont="1" applyAlignment="1">
      <alignment horizontal="center"/>
    </xf>
    <xf numFmtId="0" fontId="7" fillId="0" borderId="35" xfId="6" applyFont="1" applyBorder="1" applyAlignment="1">
      <alignment horizontal="center"/>
    </xf>
    <xf numFmtId="0" fontId="7" fillId="0" borderId="29" xfId="6" applyFont="1" applyBorder="1" applyAlignment="1">
      <alignment horizontal="center"/>
    </xf>
    <xf numFmtId="0" fontId="7" fillId="0" borderId="27" xfId="6" applyFont="1" applyBorder="1" applyAlignment="1">
      <alignment horizontal="center"/>
    </xf>
    <xf numFmtId="0" fontId="7" fillId="0" borderId="5" xfId="6" applyFont="1" applyBorder="1" applyAlignment="1">
      <alignment horizontal="center"/>
    </xf>
    <xf numFmtId="169" fontId="6" fillId="0" borderId="5" xfId="5" applyNumberFormat="1" applyFont="1" applyBorder="1"/>
    <xf numFmtId="169" fontId="7" fillId="0" borderId="5" xfId="6" applyNumberFormat="1" applyFont="1" applyBorder="1"/>
    <xf numFmtId="165" fontId="6" fillId="0" borderId="0" xfId="5" applyFont="1" applyBorder="1"/>
    <xf numFmtId="165" fontId="7" fillId="0" borderId="0" xfId="6" applyNumberFormat="1" applyFont="1"/>
    <xf numFmtId="0" fontId="7" fillId="0" borderId="28" xfId="6" applyFont="1" applyBorder="1" applyAlignment="1">
      <alignment horizontal="center"/>
    </xf>
    <xf numFmtId="165" fontId="7" fillId="0" borderId="13" xfId="6" applyNumberFormat="1" applyFont="1" applyBorder="1" applyAlignment="1">
      <alignment vertical="center"/>
    </xf>
    <xf numFmtId="0" fontId="7" fillId="0" borderId="13" xfId="6" applyFont="1" applyBorder="1" applyAlignment="1">
      <alignment vertical="center"/>
    </xf>
    <xf numFmtId="169" fontId="9" fillId="0" borderId="27" xfId="5" applyNumberFormat="1" applyFont="1" applyBorder="1" applyAlignment="1">
      <alignment horizontal="right" vertical="center"/>
    </xf>
    <xf numFmtId="165" fontId="9" fillId="0" borderId="0" xfId="5" applyFont="1" applyBorder="1" applyAlignment="1"/>
    <xf numFmtId="165" fontId="2" fillId="0" borderId="0" xfId="5" applyFont="1"/>
    <xf numFmtId="0" fontId="10" fillId="0" borderId="0" xfId="1" applyFont="1"/>
    <xf numFmtId="0" fontId="2" fillId="0" borderId="8" xfId="1" applyFont="1" applyBorder="1"/>
    <xf numFmtId="0" fontId="2" fillId="0" borderId="8" xfId="1" applyFont="1" applyBorder="1" applyAlignment="1">
      <alignment horizontal="center" vertical="center"/>
    </xf>
    <xf numFmtId="0" fontId="2" fillId="0" borderId="0" xfId="1" applyFont="1" applyAlignment="1">
      <alignment wrapText="1"/>
    </xf>
    <xf numFmtId="1" fontId="2" fillId="0" borderId="8" xfId="1" applyNumberFormat="1" applyFont="1" applyBorder="1" applyAlignment="1">
      <alignment horizontal="center" vertical="center"/>
    </xf>
    <xf numFmtId="165" fontId="2" fillId="0" borderId="8" xfId="5" applyFont="1" applyBorder="1" applyAlignment="1">
      <alignment vertical="center"/>
    </xf>
    <xf numFmtId="0" fontId="2" fillId="0" borderId="36" xfId="1" applyFont="1" applyBorder="1" applyAlignment="1">
      <alignment vertical="center" wrapText="1"/>
    </xf>
    <xf numFmtId="0" fontId="2" fillId="0" borderId="8" xfId="1" applyFont="1" applyBorder="1" applyAlignment="1">
      <alignment horizontal="left" vertical="top" wrapText="1"/>
    </xf>
    <xf numFmtId="165" fontId="2" fillId="0" borderId="8" xfId="5" applyFont="1" applyBorder="1"/>
    <xf numFmtId="165" fontId="8" fillId="0" borderId="0" xfId="5" applyFont="1"/>
    <xf numFmtId="165" fontId="8" fillId="0" borderId="0" xfId="5" applyFont="1" applyFill="1" applyBorder="1"/>
    <xf numFmtId="165" fontId="2" fillId="0" borderId="0" xfId="8" applyFont="1"/>
    <xf numFmtId="0" fontId="2" fillId="0" borderId="0" xfId="7" applyFont="1"/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/>
    </xf>
    <xf numFmtId="1" fontId="2" fillId="0" borderId="0" xfId="1" applyNumberFormat="1" applyFont="1"/>
    <xf numFmtId="169" fontId="2" fillId="0" borderId="8" xfId="1" applyNumberFormat="1" applyFont="1" applyBorder="1" applyAlignment="1">
      <alignment horizontal="center"/>
    </xf>
    <xf numFmtId="0" fontId="2" fillId="3" borderId="8" xfId="1" applyFont="1" applyFill="1" applyBorder="1" applyAlignment="1">
      <alignment horizontal="center"/>
    </xf>
    <xf numFmtId="0" fontId="2" fillId="3" borderId="8" xfId="1" applyFont="1" applyFill="1" applyBorder="1" applyAlignment="1">
      <alignment horizontal="center" vertical="center"/>
    </xf>
    <xf numFmtId="0" fontId="2" fillId="3" borderId="8" xfId="1" applyFont="1" applyFill="1" applyBorder="1"/>
    <xf numFmtId="0" fontId="8" fillId="0" borderId="16" xfId="1" applyFont="1" applyBorder="1"/>
    <xf numFmtId="0" fontId="8" fillId="0" borderId="17" xfId="1" applyFont="1" applyBorder="1"/>
    <xf numFmtId="1" fontId="8" fillId="0" borderId="17" xfId="1" applyNumberFormat="1" applyFont="1" applyBorder="1"/>
    <xf numFmtId="167" fontId="8" fillId="0" borderId="17" xfId="1" applyNumberFormat="1" applyFont="1" applyBorder="1"/>
    <xf numFmtId="169" fontId="9" fillId="0" borderId="18" xfId="1" applyNumberFormat="1" applyFont="1" applyBorder="1"/>
    <xf numFmtId="0" fontId="6" fillId="0" borderId="8" xfId="10" applyFont="1" applyBorder="1" applyAlignment="1">
      <alignment horizontal="center" vertical="top"/>
    </xf>
    <xf numFmtId="0" fontId="6" fillId="3" borderId="8" xfId="10" applyFont="1" applyFill="1" applyBorder="1" applyAlignment="1">
      <alignment horizontal="center" vertical="top"/>
    </xf>
    <xf numFmtId="170" fontId="2" fillId="0" borderId="0" xfId="1" applyNumberFormat="1" applyFont="1"/>
    <xf numFmtId="0" fontId="2" fillId="0" borderId="5" xfId="1" applyFont="1" applyBorder="1" applyAlignment="1">
      <alignment horizontal="center" vertical="top"/>
    </xf>
    <xf numFmtId="0" fontId="2" fillId="0" borderId="5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wrapText="1"/>
    </xf>
    <xf numFmtId="0" fontId="2" fillId="0" borderId="8" xfId="1" applyFont="1" applyBorder="1" applyAlignment="1">
      <alignment horizontal="center" vertical="top"/>
    </xf>
    <xf numFmtId="0" fontId="2" fillId="0" borderId="8" xfId="1" applyFont="1" applyBorder="1" applyAlignment="1">
      <alignment horizontal="center" wrapText="1"/>
    </xf>
    <xf numFmtId="0" fontId="2" fillId="5" borderId="8" xfId="1" applyFont="1" applyFill="1" applyBorder="1" applyAlignment="1">
      <alignment horizontal="center" vertical="top"/>
    </xf>
    <xf numFmtId="0" fontId="2" fillId="5" borderId="8" xfId="1" applyFont="1" applyFill="1" applyBorder="1" applyAlignment="1">
      <alignment horizontal="center" vertical="center"/>
    </xf>
    <xf numFmtId="0" fontId="2" fillId="5" borderId="8" xfId="1" applyFont="1" applyFill="1" applyBorder="1" applyAlignment="1">
      <alignment horizontal="center" wrapText="1"/>
    </xf>
    <xf numFmtId="0" fontId="8" fillId="0" borderId="19" xfId="1" applyFont="1" applyBorder="1" applyAlignment="1">
      <alignment horizontal="center"/>
    </xf>
    <xf numFmtId="170" fontId="9" fillId="0" borderId="20" xfId="1" applyNumberFormat="1" applyFont="1" applyBorder="1" applyAlignment="1">
      <alignment horizontal="center"/>
    </xf>
    <xf numFmtId="4" fontId="2" fillId="0" borderId="0" xfId="1" applyNumberFormat="1" applyFont="1"/>
    <xf numFmtId="0" fontId="8" fillId="0" borderId="8" xfId="1" applyFont="1" applyBorder="1" applyAlignment="1">
      <alignment horizontal="center"/>
    </xf>
    <xf numFmtId="4" fontId="2" fillId="0" borderId="8" xfId="1" applyNumberFormat="1" applyFont="1" applyBorder="1"/>
    <xf numFmtId="0" fontId="6" fillId="0" borderId="8" xfId="11" applyFont="1" applyBorder="1" applyAlignment="1">
      <alignment horizontal="center" vertical="top"/>
    </xf>
    <xf numFmtId="0" fontId="6" fillId="0" borderId="8" xfId="12" applyFont="1" applyBorder="1" applyAlignment="1">
      <alignment horizontal="center" vertical="top"/>
    </xf>
    <xf numFmtId="0" fontId="8" fillId="0" borderId="8" xfId="1" applyFont="1" applyBorder="1" applyAlignment="1">
      <alignment wrapText="1"/>
    </xf>
    <xf numFmtId="165" fontId="8" fillId="0" borderId="8" xfId="5" applyFont="1" applyBorder="1" applyAlignment="1">
      <alignment wrapText="1"/>
    </xf>
    <xf numFmtId="0" fontId="6" fillId="0" borderId="10" xfId="13" applyFont="1" applyBorder="1" applyAlignment="1">
      <alignment vertical="top"/>
    </xf>
    <xf numFmtId="167" fontId="6" fillId="0" borderId="10" xfId="4" applyNumberFormat="1" applyFont="1" applyBorder="1" applyAlignment="1">
      <alignment horizontal="right" vertical="top"/>
    </xf>
    <xf numFmtId="0" fontId="8" fillId="0" borderId="11" xfId="1" applyFont="1" applyBorder="1" applyAlignment="1">
      <alignment wrapText="1"/>
    </xf>
    <xf numFmtId="165" fontId="8" fillId="0" borderId="11" xfId="5" applyFont="1" applyBorder="1" applyAlignment="1">
      <alignment wrapText="1"/>
    </xf>
    <xf numFmtId="0" fontId="6" fillId="0" borderId="10" xfId="13" applyFont="1" applyBorder="1" applyAlignment="1">
      <alignment horizontal="right" vertical="top"/>
    </xf>
    <xf numFmtId="1" fontId="6" fillId="0" borderId="10" xfId="13" applyNumberFormat="1" applyFont="1" applyBorder="1" applyAlignment="1">
      <alignment horizontal="right" vertical="top"/>
    </xf>
    <xf numFmtId="2" fontId="6" fillId="0" borderId="10" xfId="13" applyNumberFormat="1" applyFont="1" applyBorder="1" applyAlignment="1">
      <alignment horizontal="right" vertical="top"/>
    </xf>
    <xf numFmtId="0" fontId="2" fillId="0" borderId="11" xfId="1" applyFont="1" applyBorder="1" applyAlignment="1">
      <alignment horizontal="center" vertical="center"/>
    </xf>
    <xf numFmtId="167" fontId="2" fillId="0" borderId="11" xfId="1" applyNumberFormat="1" applyFont="1" applyBorder="1" applyAlignment="1">
      <alignment horizontal="center"/>
    </xf>
    <xf numFmtId="169" fontId="2" fillId="0" borderId="11" xfId="5" applyNumberFormat="1" applyFont="1" applyBorder="1"/>
    <xf numFmtId="165" fontId="2" fillId="0" borderId="11" xfId="5" applyFont="1" applyBorder="1"/>
    <xf numFmtId="167" fontId="6" fillId="0" borderId="11" xfId="2" applyNumberFormat="1" applyFont="1" applyBorder="1" applyAlignment="1">
      <alignment horizontal="right" vertical="top"/>
    </xf>
    <xf numFmtId="164" fontId="2" fillId="0" borderId="11" xfId="1" applyNumberFormat="1" applyFont="1" applyBorder="1"/>
    <xf numFmtId="164" fontId="8" fillId="0" borderId="11" xfId="1" applyNumberFormat="1" applyFont="1" applyBorder="1"/>
    <xf numFmtId="164" fontId="9" fillId="0" borderId="11" xfId="1" applyNumberFormat="1" applyFont="1" applyBorder="1"/>
    <xf numFmtId="167" fontId="6" fillId="0" borderId="56" xfId="4" applyNumberFormat="1" applyFont="1" applyBorder="1" applyAlignment="1">
      <alignment horizontal="right" vertical="top"/>
    </xf>
    <xf numFmtId="2" fontId="2" fillId="0" borderId="0" xfId="1" applyNumberFormat="1" applyFont="1"/>
    <xf numFmtId="14" fontId="2" fillId="0" borderId="0" xfId="1" applyNumberFormat="1" applyFont="1"/>
    <xf numFmtId="14" fontId="7" fillId="2" borderId="9" xfId="2" applyNumberFormat="1" applyFont="1" applyFill="1" applyBorder="1" applyAlignment="1">
      <alignment horizontal="center" vertical="top"/>
    </xf>
    <xf numFmtId="0" fontId="7" fillId="2" borderId="9" xfId="2" applyFont="1" applyFill="1" applyBorder="1" applyAlignment="1">
      <alignment horizontal="center" vertical="top"/>
    </xf>
    <xf numFmtId="0" fontId="8" fillId="0" borderId="2" xfId="1" applyFont="1" applyBorder="1" applyAlignment="1">
      <alignment horizontal="center" wrapText="1"/>
    </xf>
    <xf numFmtId="0" fontId="8" fillId="0" borderId="5" xfId="1" applyFont="1" applyBorder="1" applyAlignment="1">
      <alignment horizontal="center" wrapText="1"/>
    </xf>
    <xf numFmtId="0" fontId="2" fillId="0" borderId="5" xfId="1" applyFont="1" applyBorder="1" applyAlignment="1">
      <alignment horizontal="center" wrapText="1"/>
    </xf>
    <xf numFmtId="0" fontId="8" fillId="0" borderId="1" xfId="1" applyFont="1" applyBorder="1" applyAlignment="1">
      <alignment horizontal="center"/>
    </xf>
    <xf numFmtId="0" fontId="8" fillId="0" borderId="3" xfId="1" applyFont="1" applyBorder="1" applyAlignment="1">
      <alignment horizontal="center" wrapText="1"/>
    </xf>
    <xf numFmtId="0" fontId="8" fillId="0" borderId="4" xfId="1" applyFont="1" applyBorder="1" applyAlignment="1">
      <alignment horizontal="center" wrapText="1"/>
    </xf>
    <xf numFmtId="0" fontId="8" fillId="0" borderId="6" xfId="1" applyFont="1" applyBorder="1" applyAlignment="1">
      <alignment horizontal="center" wrapText="1"/>
    </xf>
    <xf numFmtId="0" fontId="8" fillId="0" borderId="7" xfId="1" applyFont="1" applyBorder="1" applyAlignment="1">
      <alignment horizontal="center" wrapText="1"/>
    </xf>
    <xf numFmtId="169" fontId="9" fillId="0" borderId="28" xfId="6" applyNumberFormat="1" applyFont="1" applyBorder="1" applyAlignment="1">
      <alignment horizontal="center"/>
    </xf>
    <xf numFmtId="169" fontId="9" fillId="0" borderId="29" xfId="6" applyNumberFormat="1" applyFont="1" applyBorder="1" applyAlignment="1">
      <alignment horizontal="center"/>
    </xf>
    <xf numFmtId="169" fontId="9" fillId="0" borderId="30" xfId="6" applyNumberFormat="1" applyFont="1" applyBorder="1" applyAlignment="1">
      <alignment horizontal="center"/>
    </xf>
    <xf numFmtId="0" fontId="6" fillId="0" borderId="31" xfId="6" applyFont="1" applyBorder="1" applyAlignment="1">
      <alignment horizontal="center"/>
    </xf>
    <xf numFmtId="0" fontId="6" fillId="0" borderId="32" xfId="6" applyFont="1" applyBorder="1" applyAlignment="1">
      <alignment horizontal="center"/>
    </xf>
    <xf numFmtId="0" fontId="6" fillId="0" borderId="33" xfId="6" applyFont="1" applyBorder="1" applyAlignment="1">
      <alignment horizontal="center"/>
    </xf>
    <xf numFmtId="0" fontId="6" fillId="0" borderId="34" xfId="6" applyFont="1" applyBorder="1" applyAlignment="1">
      <alignment horizontal="center"/>
    </xf>
    <xf numFmtId="0" fontId="7" fillId="0" borderId="28" xfId="6" applyFont="1" applyBorder="1" applyAlignment="1">
      <alignment horizontal="center"/>
    </xf>
    <xf numFmtId="0" fontId="7" fillId="0" borderId="29" xfId="6" applyFont="1" applyBorder="1" applyAlignment="1">
      <alignment horizontal="center"/>
    </xf>
    <xf numFmtId="0" fontId="7" fillId="0" borderId="30" xfId="6" applyFont="1" applyBorder="1" applyAlignment="1">
      <alignment horizontal="center"/>
    </xf>
    <xf numFmtId="169" fontId="11" fillId="0" borderId="0" xfId="5" applyNumberFormat="1" applyFont="1" applyBorder="1" applyAlignment="1">
      <alignment horizontal="center" vertical="center"/>
    </xf>
    <xf numFmtId="169" fontId="7" fillId="0" borderId="0" xfId="5" applyNumberFormat="1" applyFont="1" applyBorder="1" applyAlignment="1">
      <alignment horizontal="center" vertical="center"/>
    </xf>
    <xf numFmtId="0" fontId="7" fillId="0" borderId="14" xfId="6" applyFont="1" applyBorder="1" applyAlignment="1">
      <alignment horizontal="center"/>
    </xf>
    <xf numFmtId="0" fontId="7" fillId="0" borderId="15" xfId="6" applyFont="1" applyBorder="1" applyAlignment="1">
      <alignment horizontal="center"/>
    </xf>
    <xf numFmtId="0" fontId="7" fillId="0" borderId="16" xfId="6" applyFont="1" applyBorder="1" applyAlignment="1">
      <alignment horizontal="center"/>
    </xf>
    <xf numFmtId="0" fontId="7" fillId="0" borderId="17" xfId="6" applyFont="1" applyBorder="1" applyAlignment="1">
      <alignment horizontal="center"/>
    </xf>
    <xf numFmtId="14" fontId="7" fillId="3" borderId="9" xfId="9" applyNumberFormat="1" applyFont="1" applyFill="1" applyBorder="1" applyAlignment="1">
      <alignment horizontal="center" vertical="top"/>
    </xf>
    <xf numFmtId="0" fontId="7" fillId="3" borderId="9" xfId="9" applyFont="1" applyFill="1" applyBorder="1" applyAlignment="1">
      <alignment horizontal="center" vertical="top"/>
    </xf>
    <xf numFmtId="14" fontId="8" fillId="4" borderId="52" xfId="1" applyNumberFormat="1" applyFont="1" applyFill="1" applyBorder="1" applyAlignment="1">
      <alignment horizontal="center" vertical="top"/>
    </xf>
    <xf numFmtId="0" fontId="6" fillId="0" borderId="53" xfId="1" applyFont="1" applyBorder="1"/>
    <xf numFmtId="14" fontId="8" fillId="4" borderId="50" xfId="1" applyNumberFormat="1" applyFont="1" applyFill="1" applyBorder="1" applyAlignment="1">
      <alignment horizontal="center" vertical="top"/>
    </xf>
    <xf numFmtId="0" fontId="6" fillId="0" borderId="51" xfId="1" applyFont="1" applyBorder="1"/>
    <xf numFmtId="0" fontId="8" fillId="0" borderId="40" xfId="1" applyFont="1" applyBorder="1" applyAlignment="1">
      <alignment horizontal="center" vertical="center" wrapText="1"/>
    </xf>
    <xf numFmtId="0" fontId="6" fillId="0" borderId="46" xfId="1" applyFont="1" applyBorder="1"/>
    <xf numFmtId="170" fontId="8" fillId="0" borderId="43" xfId="1" applyNumberFormat="1" applyFont="1" applyBorder="1" applyAlignment="1">
      <alignment horizontal="center" vertical="center" wrapText="1"/>
    </xf>
    <xf numFmtId="0" fontId="6" fillId="0" borderId="49" xfId="1" applyFont="1" applyBorder="1"/>
    <xf numFmtId="0" fontId="8" fillId="0" borderId="46" xfId="1" applyFont="1" applyBorder="1" applyAlignment="1">
      <alignment horizontal="center" vertical="center" wrapText="1"/>
    </xf>
    <xf numFmtId="0" fontId="8" fillId="0" borderId="42" xfId="1" applyFont="1" applyBorder="1" applyAlignment="1">
      <alignment horizontal="center" vertical="center" wrapText="1"/>
    </xf>
    <xf numFmtId="0" fontId="6" fillId="0" borderId="48" xfId="1" applyFont="1" applyBorder="1"/>
    <xf numFmtId="0" fontId="8" fillId="0" borderId="14" xfId="1" applyFont="1" applyBorder="1" applyAlignment="1">
      <alignment horizontal="center" vertical="center" wrapText="1"/>
    </xf>
    <xf numFmtId="0" fontId="6" fillId="0" borderId="39" xfId="1" applyFont="1" applyBorder="1"/>
    <xf numFmtId="0" fontId="6" fillId="0" borderId="44" xfId="1" applyFont="1" applyBorder="1"/>
    <xf numFmtId="0" fontId="6" fillId="0" borderId="45" xfId="1" applyFont="1" applyBorder="1"/>
    <xf numFmtId="0" fontId="8" fillId="0" borderId="0" xfId="1" applyFont="1" applyAlignment="1">
      <alignment horizontal="center"/>
    </xf>
    <xf numFmtId="0" fontId="2" fillId="0" borderId="0" xfId="1" applyFont="1"/>
    <xf numFmtId="0" fontId="8" fillId="0" borderId="13" xfId="1" applyFont="1" applyBorder="1" applyAlignment="1">
      <alignment horizontal="center"/>
    </xf>
    <xf numFmtId="0" fontId="8" fillId="0" borderId="37" xfId="1" applyFont="1" applyBorder="1" applyAlignment="1">
      <alignment horizontal="center"/>
    </xf>
    <xf numFmtId="0" fontId="6" fillId="0" borderId="38" xfId="1" applyFont="1" applyBorder="1"/>
    <xf numFmtId="0" fontId="6" fillId="0" borderId="36" xfId="1" applyFont="1" applyBorder="1"/>
    <xf numFmtId="0" fontId="8" fillId="0" borderId="33" xfId="1" applyFont="1" applyBorder="1" applyAlignment="1">
      <alignment horizontal="center"/>
    </xf>
    <xf numFmtId="0" fontId="8" fillId="0" borderId="34" xfId="1" applyFont="1" applyBorder="1" applyAlignment="1">
      <alignment horizontal="center"/>
    </xf>
  </cellXfs>
  <cellStyles count="14">
    <cellStyle name="Денежный 2" xfId="5" xr:uid="{2C64A15D-B0A6-4FC1-9F1C-AE417DD82F14}"/>
    <cellStyle name="Денежный 2 2" xfId="8" xr:uid="{3AA1E8C5-A7E8-46B2-A661-02BDE1D4CF70}"/>
    <cellStyle name="Обычный" xfId="0" builtinId="0" customBuiltin="1"/>
    <cellStyle name="Обычный 2" xfId="1" xr:uid="{5BE92918-27FF-490C-8E24-E9C7BCF05136}"/>
    <cellStyle name="Обычный 5" xfId="6" xr:uid="{352060EF-14BF-4D8A-9273-773420FC2370}"/>
    <cellStyle name="Обычный 6" xfId="7" xr:uid="{346E5581-7B22-4490-BFFB-596C8286C04F}"/>
    <cellStyle name="Обычный_Биаксплен Новосибирск" xfId="3" xr:uid="{EABEC21B-FECD-4B1F-ACAC-B6C562B4523A}"/>
    <cellStyle name="Обычный_Ергарда" xfId="12" xr:uid="{074758AA-F14C-46F2-B882-C7098402FFE3}"/>
    <cellStyle name="Обычный_Лист1" xfId="10" xr:uid="{4C6B9415-103B-4177-BF26-2C781338F314}"/>
    <cellStyle name="Обычный_Оникс Нижнекамск" xfId="13" xr:uid="{4BDD88FB-1EBF-43B1-9791-ADFB5728484E}"/>
    <cellStyle name="Обычный_РусВинил ББ" xfId="9" xr:uid="{5FEBECD7-8301-4CF9-9AAF-E2EE765858C6}"/>
    <cellStyle name="Обычный_Сибур" xfId="2" xr:uid="{7D4A3A1D-200A-47BB-8A65-A95B39FA334C}"/>
    <cellStyle name="Обычный_Сибур 1" xfId="4" xr:uid="{73170DDA-4F0B-4744-843F-60077C3C87B3}"/>
    <cellStyle name="Обычный_СтройТех" xfId="11" xr:uid="{82E0DBF5-0839-4FAB-95F8-57256F6623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eetMetadata" Target="metadata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31568-1412-4F0C-A3C1-B8D1E996687E}">
  <dimension ref="A1"/>
  <sheetViews>
    <sheetView workbookViewId="0"/>
  </sheetViews>
  <sheetFormatPr defaultRowHeight="15"/>
  <cols>
    <col min="1" max="16384" width="9.140625" style="26"/>
  </cols>
  <sheetData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D041B-A92C-4C0D-B94E-F01833B94F01}">
  <dimension ref="A1:T40"/>
  <sheetViews>
    <sheetView topLeftCell="A17" workbookViewId="0">
      <selection activeCell="J28" sqref="J28"/>
    </sheetView>
  </sheetViews>
  <sheetFormatPr defaultRowHeight="15"/>
  <cols>
    <col min="1" max="1" width="13.140625" style="28" bestFit="1" customWidth="1"/>
    <col min="2" max="3" width="9.140625" style="28"/>
    <col min="4" max="4" width="11.7109375" style="28" customWidth="1"/>
    <col min="5" max="5" width="12.140625" style="28" customWidth="1"/>
    <col min="6" max="6" width="13.28515625" style="28" customWidth="1"/>
    <col min="7" max="7" width="11.42578125" style="28" customWidth="1"/>
    <col min="8" max="8" width="10.42578125" style="28" customWidth="1"/>
    <col min="9" max="9" width="10.5703125" style="28" bestFit="1" customWidth="1"/>
    <col min="10" max="10" width="9.42578125" style="28" bestFit="1" customWidth="1"/>
    <col min="11" max="12" width="9.140625" style="28"/>
    <col min="13" max="13" width="15.140625" style="28" customWidth="1"/>
    <col min="14" max="14" width="13.5703125" style="28" customWidth="1"/>
    <col min="15" max="15" width="14.5703125" style="28" customWidth="1"/>
    <col min="16" max="16" width="14.5703125" style="28" bestFit="1" customWidth="1"/>
    <col min="17" max="17" width="15" style="28" customWidth="1"/>
    <col min="18" max="18" width="13.28515625" style="28" customWidth="1"/>
    <col min="19" max="19" width="11.7109375" style="28" customWidth="1"/>
    <col min="20" max="20" width="24.28515625" style="28" customWidth="1"/>
    <col min="21" max="16384" width="9.140625" style="28"/>
  </cols>
  <sheetData>
    <row r="1" spans="1:20">
      <c r="A1" s="27">
        <f>T37</f>
        <v>144133.37664</v>
      </c>
      <c r="I1" s="29"/>
    </row>
    <row r="2" spans="1:20" ht="28.9" customHeight="1">
      <c r="A2" s="149" t="str">
        <f>"Отчет по хранению товара за " &amp; TEXT(B5,"ММММ ГГГГ")</f>
        <v>Отчет по хранению товара за Апрель 2026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</row>
    <row r="3" spans="1:20" ht="28.9" customHeight="1">
      <c r="A3" s="146" t="s">
        <v>0</v>
      </c>
      <c r="B3" s="150" t="s">
        <v>1</v>
      </c>
      <c r="C3" s="151"/>
      <c r="D3" s="146" t="s">
        <v>2</v>
      </c>
      <c r="E3" s="146" t="s">
        <v>3</v>
      </c>
      <c r="F3" s="30" t="s">
        <v>4</v>
      </c>
      <c r="G3" s="146" t="s">
        <v>5</v>
      </c>
      <c r="H3" s="146" t="s">
        <v>6</v>
      </c>
      <c r="I3" s="146" t="s">
        <v>7</v>
      </c>
      <c r="J3" s="146" t="s">
        <v>8</v>
      </c>
      <c r="K3" s="146" t="s">
        <v>9</v>
      </c>
      <c r="L3" s="146" t="s">
        <v>10</v>
      </c>
      <c r="M3" s="146" t="s">
        <v>11</v>
      </c>
      <c r="N3" s="146" t="s">
        <v>12</v>
      </c>
      <c r="O3" s="146" t="s">
        <v>13</v>
      </c>
      <c r="P3" s="146" t="s">
        <v>14</v>
      </c>
      <c r="Q3" s="146" t="s">
        <v>15</v>
      </c>
      <c r="R3" s="146" t="s">
        <v>16</v>
      </c>
      <c r="S3" s="146" t="s">
        <v>17</v>
      </c>
      <c r="T3" s="146" t="s">
        <v>18</v>
      </c>
    </row>
    <row r="4" spans="1:20">
      <c r="A4" s="147"/>
      <c r="B4" s="152"/>
      <c r="C4" s="153"/>
      <c r="D4" s="147"/>
      <c r="E4" s="147"/>
      <c r="F4" s="31"/>
      <c r="G4" s="147"/>
      <c r="H4" s="147"/>
      <c r="I4" s="147"/>
      <c r="J4" s="147"/>
      <c r="K4" s="148"/>
      <c r="L4" s="148"/>
      <c r="M4" s="147"/>
      <c r="N4" s="147"/>
      <c r="O4" s="147"/>
      <c r="P4" s="147"/>
      <c r="Q4" s="147"/>
      <c r="R4" s="147"/>
      <c r="S4" s="147"/>
      <c r="T4" s="147"/>
    </row>
    <row r="5" spans="1:20">
      <c r="A5" s="32">
        <v>1</v>
      </c>
      <c r="B5" s="144">
        <v>46113</v>
      </c>
      <c r="C5" s="145"/>
      <c r="D5" s="33"/>
      <c r="E5" s="33"/>
      <c r="F5" s="34">
        <f>24.4954+D5-E5</f>
        <v>24.4954</v>
      </c>
      <c r="G5" s="35">
        <f>IF(OR(B5="",NOT(ISERROR(SEARCH("KPI",$A$2))),NOT(ISERROR(SEARCH("Полиом",$A$2)))),0,IF(70-F5&lt;=0,0,70-F5))</f>
        <v>45.504599999999996</v>
      </c>
      <c r="H5" s="35"/>
      <c r="I5" s="36"/>
      <c r="J5" s="36"/>
      <c r="K5" s="37"/>
      <c r="L5" s="38">
        <f>SUM(K5*240)</f>
        <v>0</v>
      </c>
      <c r="M5" s="38">
        <f>SUM(D5*120)</f>
        <v>0</v>
      </c>
      <c r="N5" s="38">
        <f>SUM(E5*120)</f>
        <v>0</v>
      </c>
      <c r="O5" s="38">
        <f>SUM(F5*54)</f>
        <v>1322.7516000000001</v>
      </c>
      <c r="P5" s="38">
        <f>SUM(G5*54)</f>
        <v>2457.2483999999999</v>
      </c>
      <c r="Q5" s="38">
        <f>SUM(H5*120)</f>
        <v>0</v>
      </c>
      <c r="R5" s="38">
        <f>SUM(I5*1000)</f>
        <v>0</v>
      </c>
      <c r="S5" s="38">
        <f>SUM(J5*140)</f>
        <v>0</v>
      </c>
      <c r="T5" s="38">
        <f>SUM(L5:S5)</f>
        <v>3780</v>
      </c>
    </row>
    <row r="6" spans="1:20">
      <c r="A6" s="39">
        <v>2</v>
      </c>
      <c r="B6" s="144">
        <v>46114</v>
      </c>
      <c r="C6" s="145"/>
      <c r="D6" s="33"/>
      <c r="E6" s="33"/>
      <c r="F6" s="34">
        <f>F5-E6+D6</f>
        <v>24.4954</v>
      </c>
      <c r="G6" s="35">
        <f t="shared" ref="G6:G33" si="0">IF(OR(B6="",NOT(ISERROR(SEARCH("KPI",$A$2))),NOT(ISERROR(SEARCH("Полиом",$A$2)))),0,IF(70-F6&lt;=0,0,70-F6))</f>
        <v>45.504599999999996</v>
      </c>
      <c r="H6" s="35"/>
      <c r="I6" s="36"/>
      <c r="J6" s="36"/>
      <c r="K6" s="37"/>
      <c r="L6" s="38">
        <f t="shared" ref="L6:L35" si="1">SUM(K6*240)</f>
        <v>0</v>
      </c>
      <c r="M6" s="38">
        <f t="shared" ref="M6:N35" si="2">SUM(D6*120)</f>
        <v>0</v>
      </c>
      <c r="N6" s="38">
        <f t="shared" si="2"/>
        <v>0</v>
      </c>
      <c r="O6" s="38">
        <f t="shared" ref="O6:P35" si="3">SUM(F6*54)</f>
        <v>1322.7516000000001</v>
      </c>
      <c r="P6" s="38">
        <f t="shared" si="3"/>
        <v>2457.2483999999999</v>
      </c>
      <c r="Q6" s="38">
        <f t="shared" ref="Q6:Q35" si="4">SUM(H6*120)</f>
        <v>0</v>
      </c>
      <c r="R6" s="38">
        <f t="shared" ref="R6:R35" si="5">SUM(I6*1000)</f>
        <v>0</v>
      </c>
      <c r="S6" s="38">
        <f t="shared" ref="S6:S35" si="6">SUM(J6*140)</f>
        <v>0</v>
      </c>
      <c r="T6" s="38">
        <f t="shared" ref="T6:T35" si="7">SUM(L6:S6)</f>
        <v>3780</v>
      </c>
    </row>
    <row r="7" spans="1:20">
      <c r="A7" s="39">
        <v>3</v>
      </c>
      <c r="B7" s="144">
        <v>46115</v>
      </c>
      <c r="C7" s="145"/>
      <c r="D7" s="33"/>
      <c r="E7" s="33"/>
      <c r="F7" s="34">
        <f t="shared" ref="F7:F31" si="8">F6-E7+D7</f>
        <v>24.4954</v>
      </c>
      <c r="G7" s="35">
        <f t="shared" si="0"/>
        <v>45.504599999999996</v>
      </c>
      <c r="H7" s="35"/>
      <c r="I7" s="36"/>
      <c r="J7" s="36"/>
      <c r="K7" s="37"/>
      <c r="L7" s="38">
        <f t="shared" si="1"/>
        <v>0</v>
      </c>
      <c r="M7" s="38">
        <f t="shared" si="2"/>
        <v>0</v>
      </c>
      <c r="N7" s="38">
        <f t="shared" si="2"/>
        <v>0</v>
      </c>
      <c r="O7" s="38">
        <f t="shared" si="3"/>
        <v>1322.7516000000001</v>
      </c>
      <c r="P7" s="38">
        <f t="shared" si="3"/>
        <v>2457.2483999999999</v>
      </c>
      <c r="Q7" s="38">
        <f t="shared" si="4"/>
        <v>0</v>
      </c>
      <c r="R7" s="38">
        <f t="shared" si="5"/>
        <v>0</v>
      </c>
      <c r="S7" s="38">
        <f t="shared" si="6"/>
        <v>0</v>
      </c>
      <c r="T7" s="38">
        <f t="shared" si="7"/>
        <v>3780</v>
      </c>
    </row>
    <row r="8" spans="1:20">
      <c r="A8" s="39">
        <v>4</v>
      </c>
      <c r="B8" s="144">
        <v>46116</v>
      </c>
      <c r="C8" s="145"/>
      <c r="D8" s="33"/>
      <c r="E8" s="33"/>
      <c r="F8" s="34">
        <f t="shared" si="8"/>
        <v>24.4954</v>
      </c>
      <c r="G8" s="35">
        <f t="shared" si="0"/>
        <v>45.504599999999996</v>
      </c>
      <c r="H8" s="35"/>
      <c r="I8" s="36"/>
      <c r="J8" s="36"/>
      <c r="K8" s="37"/>
      <c r="L8" s="38">
        <f t="shared" si="1"/>
        <v>0</v>
      </c>
      <c r="M8" s="38">
        <f t="shared" si="2"/>
        <v>0</v>
      </c>
      <c r="N8" s="38">
        <f t="shared" si="2"/>
        <v>0</v>
      </c>
      <c r="O8" s="38">
        <f t="shared" si="3"/>
        <v>1322.7516000000001</v>
      </c>
      <c r="P8" s="38">
        <f t="shared" si="3"/>
        <v>2457.2483999999999</v>
      </c>
      <c r="Q8" s="38">
        <f t="shared" si="4"/>
        <v>0</v>
      </c>
      <c r="R8" s="38">
        <f t="shared" si="5"/>
        <v>0</v>
      </c>
      <c r="S8" s="38">
        <f t="shared" si="6"/>
        <v>0</v>
      </c>
      <c r="T8" s="38">
        <f t="shared" si="7"/>
        <v>3780</v>
      </c>
    </row>
    <row r="9" spans="1:20">
      <c r="A9" s="39">
        <v>5</v>
      </c>
      <c r="B9" s="144">
        <v>46117</v>
      </c>
      <c r="C9" s="145"/>
      <c r="D9" s="33"/>
      <c r="E9" s="33"/>
      <c r="F9" s="34">
        <f t="shared" si="8"/>
        <v>24.4954</v>
      </c>
      <c r="G9" s="35">
        <f t="shared" si="0"/>
        <v>45.504599999999996</v>
      </c>
      <c r="H9" s="35"/>
      <c r="I9" s="36"/>
      <c r="J9" s="36"/>
      <c r="K9" s="37"/>
      <c r="L9" s="38">
        <f t="shared" si="1"/>
        <v>0</v>
      </c>
      <c r="M9" s="38">
        <f t="shared" si="2"/>
        <v>0</v>
      </c>
      <c r="N9" s="38">
        <f t="shared" si="2"/>
        <v>0</v>
      </c>
      <c r="O9" s="38">
        <f t="shared" si="3"/>
        <v>1322.7516000000001</v>
      </c>
      <c r="P9" s="38">
        <f t="shared" si="3"/>
        <v>2457.2483999999999</v>
      </c>
      <c r="Q9" s="38">
        <f t="shared" si="4"/>
        <v>0</v>
      </c>
      <c r="R9" s="38">
        <f t="shared" si="5"/>
        <v>0</v>
      </c>
      <c r="S9" s="38">
        <f t="shared" si="6"/>
        <v>0</v>
      </c>
      <c r="T9" s="38">
        <f t="shared" si="7"/>
        <v>3780</v>
      </c>
    </row>
    <row r="10" spans="1:20">
      <c r="A10" s="39">
        <v>6</v>
      </c>
      <c r="B10" s="144">
        <v>46118</v>
      </c>
      <c r="C10" s="145"/>
      <c r="D10" s="33"/>
      <c r="E10" s="33"/>
      <c r="F10" s="34">
        <f t="shared" si="8"/>
        <v>24.4954</v>
      </c>
      <c r="G10" s="35">
        <f t="shared" si="0"/>
        <v>45.504599999999996</v>
      </c>
      <c r="H10" s="35"/>
      <c r="I10" s="36"/>
      <c r="J10" s="36"/>
      <c r="K10" s="37"/>
      <c r="L10" s="38">
        <f t="shared" si="1"/>
        <v>0</v>
      </c>
      <c r="M10" s="38">
        <f t="shared" si="2"/>
        <v>0</v>
      </c>
      <c r="N10" s="38">
        <f t="shared" si="2"/>
        <v>0</v>
      </c>
      <c r="O10" s="38">
        <f t="shared" si="3"/>
        <v>1322.7516000000001</v>
      </c>
      <c r="P10" s="38">
        <f t="shared" si="3"/>
        <v>2457.2483999999999</v>
      </c>
      <c r="Q10" s="38">
        <f t="shared" si="4"/>
        <v>0</v>
      </c>
      <c r="R10" s="38">
        <f t="shared" si="5"/>
        <v>0</v>
      </c>
      <c r="S10" s="38">
        <f t="shared" si="6"/>
        <v>0</v>
      </c>
      <c r="T10" s="38">
        <f t="shared" si="7"/>
        <v>3780</v>
      </c>
    </row>
    <row r="11" spans="1:20">
      <c r="A11" s="39">
        <v>7</v>
      </c>
      <c r="B11" s="144">
        <v>46119</v>
      </c>
      <c r="C11" s="145"/>
      <c r="D11" s="40"/>
      <c r="E11" s="41">
        <v>5.3566000000000003</v>
      </c>
      <c r="F11" s="34">
        <f t="shared" si="8"/>
        <v>19.1388</v>
      </c>
      <c r="G11" s="35">
        <f t="shared" si="0"/>
        <v>50.861199999999997</v>
      </c>
      <c r="H11" s="35"/>
      <c r="I11" s="36"/>
      <c r="J11" s="36"/>
      <c r="K11" s="37"/>
      <c r="L11" s="38">
        <f t="shared" si="1"/>
        <v>0</v>
      </c>
      <c r="M11" s="38">
        <f t="shared" si="2"/>
        <v>0</v>
      </c>
      <c r="N11" s="38">
        <f t="shared" si="2"/>
        <v>642.79200000000003</v>
      </c>
      <c r="O11" s="38">
        <f t="shared" si="3"/>
        <v>1033.4952000000001</v>
      </c>
      <c r="P11" s="38">
        <f t="shared" si="3"/>
        <v>2746.5047999999997</v>
      </c>
      <c r="Q11" s="38">
        <f t="shared" si="4"/>
        <v>0</v>
      </c>
      <c r="R11" s="38">
        <f t="shared" si="5"/>
        <v>0</v>
      </c>
      <c r="S11" s="38">
        <f t="shared" si="6"/>
        <v>0</v>
      </c>
      <c r="T11" s="38">
        <f t="shared" si="7"/>
        <v>4422.7919999999995</v>
      </c>
    </row>
    <row r="12" spans="1:20">
      <c r="A12" s="39">
        <v>8</v>
      </c>
      <c r="B12" s="144">
        <v>46120</v>
      </c>
      <c r="C12" s="145"/>
      <c r="D12" s="33"/>
      <c r="E12" s="33"/>
      <c r="F12" s="34">
        <f t="shared" si="8"/>
        <v>19.1388</v>
      </c>
      <c r="G12" s="35">
        <f t="shared" si="0"/>
        <v>50.861199999999997</v>
      </c>
      <c r="H12" s="35"/>
      <c r="I12" s="36"/>
      <c r="J12" s="36"/>
      <c r="K12" s="37"/>
      <c r="L12" s="38">
        <f t="shared" si="1"/>
        <v>0</v>
      </c>
      <c r="M12" s="38">
        <f t="shared" si="2"/>
        <v>0</v>
      </c>
      <c r="N12" s="38">
        <f t="shared" si="2"/>
        <v>0</v>
      </c>
      <c r="O12" s="38">
        <f t="shared" si="3"/>
        <v>1033.4952000000001</v>
      </c>
      <c r="P12" s="38">
        <f t="shared" si="3"/>
        <v>2746.5047999999997</v>
      </c>
      <c r="Q12" s="38">
        <f t="shared" si="4"/>
        <v>0</v>
      </c>
      <c r="R12" s="38">
        <f t="shared" si="5"/>
        <v>0</v>
      </c>
      <c r="S12" s="38">
        <f t="shared" si="6"/>
        <v>0</v>
      </c>
      <c r="T12" s="38">
        <f t="shared" si="7"/>
        <v>3780</v>
      </c>
    </row>
    <row r="13" spans="1:20">
      <c r="A13" s="39">
        <v>9</v>
      </c>
      <c r="B13" s="144">
        <v>46121</v>
      </c>
      <c r="C13" s="145"/>
      <c r="D13" s="33"/>
      <c r="E13" s="33"/>
      <c r="F13" s="34">
        <f t="shared" si="8"/>
        <v>19.1388</v>
      </c>
      <c r="G13" s="35">
        <f t="shared" si="0"/>
        <v>50.861199999999997</v>
      </c>
      <c r="H13" s="35"/>
      <c r="I13" s="36"/>
      <c r="J13" s="36"/>
      <c r="K13" s="37"/>
      <c r="L13" s="38">
        <f t="shared" si="1"/>
        <v>0</v>
      </c>
      <c r="M13" s="38">
        <f t="shared" si="2"/>
        <v>0</v>
      </c>
      <c r="N13" s="38">
        <f t="shared" si="2"/>
        <v>0</v>
      </c>
      <c r="O13" s="38">
        <f t="shared" si="3"/>
        <v>1033.4952000000001</v>
      </c>
      <c r="P13" s="38">
        <f t="shared" si="3"/>
        <v>2746.5047999999997</v>
      </c>
      <c r="Q13" s="38">
        <f t="shared" si="4"/>
        <v>0</v>
      </c>
      <c r="R13" s="38">
        <f t="shared" si="5"/>
        <v>0</v>
      </c>
      <c r="S13" s="38">
        <f t="shared" si="6"/>
        <v>0</v>
      </c>
      <c r="T13" s="38">
        <f t="shared" si="7"/>
        <v>3780</v>
      </c>
    </row>
    <row r="14" spans="1:20">
      <c r="A14" s="39">
        <v>10</v>
      </c>
      <c r="B14" s="144">
        <v>46122</v>
      </c>
      <c r="C14" s="145"/>
      <c r="D14" s="40"/>
      <c r="E14" s="41">
        <v>16.9803</v>
      </c>
      <c r="F14" s="34">
        <f t="shared" si="8"/>
        <v>2.1585000000000001</v>
      </c>
      <c r="G14" s="35">
        <f t="shared" si="0"/>
        <v>67.841499999999996</v>
      </c>
      <c r="H14" s="35"/>
      <c r="I14" s="36"/>
      <c r="J14" s="36"/>
      <c r="K14" s="37"/>
      <c r="L14" s="38">
        <f t="shared" si="1"/>
        <v>0</v>
      </c>
      <c r="M14" s="38">
        <f t="shared" si="2"/>
        <v>0</v>
      </c>
      <c r="N14" s="38">
        <f t="shared" si="2"/>
        <v>2037.636</v>
      </c>
      <c r="O14" s="38">
        <f t="shared" si="3"/>
        <v>116.559</v>
      </c>
      <c r="P14" s="38">
        <f t="shared" si="3"/>
        <v>3663.4409999999998</v>
      </c>
      <c r="Q14" s="38">
        <f t="shared" si="4"/>
        <v>0</v>
      </c>
      <c r="R14" s="38">
        <f t="shared" si="5"/>
        <v>0</v>
      </c>
      <c r="S14" s="38">
        <f t="shared" si="6"/>
        <v>0</v>
      </c>
      <c r="T14" s="38">
        <f t="shared" si="7"/>
        <v>5817.6360000000004</v>
      </c>
    </row>
    <row r="15" spans="1:20">
      <c r="A15" s="39">
        <v>11</v>
      </c>
      <c r="B15" s="144">
        <v>46123</v>
      </c>
      <c r="C15" s="145"/>
      <c r="D15" s="33"/>
      <c r="E15" s="33"/>
      <c r="F15" s="34">
        <f t="shared" si="8"/>
        <v>2.1585000000000001</v>
      </c>
      <c r="G15" s="35">
        <f t="shared" si="0"/>
        <v>67.841499999999996</v>
      </c>
      <c r="H15" s="35"/>
      <c r="I15" s="36"/>
      <c r="J15" s="36"/>
      <c r="K15" s="37"/>
      <c r="L15" s="38">
        <f t="shared" si="1"/>
        <v>0</v>
      </c>
      <c r="M15" s="38">
        <f t="shared" si="2"/>
        <v>0</v>
      </c>
      <c r="N15" s="38">
        <f t="shared" si="2"/>
        <v>0</v>
      </c>
      <c r="O15" s="38">
        <f t="shared" si="3"/>
        <v>116.559</v>
      </c>
      <c r="P15" s="38">
        <f t="shared" si="3"/>
        <v>3663.4409999999998</v>
      </c>
      <c r="Q15" s="38">
        <f t="shared" si="4"/>
        <v>0</v>
      </c>
      <c r="R15" s="38">
        <f t="shared" si="5"/>
        <v>0</v>
      </c>
      <c r="S15" s="38">
        <f t="shared" si="6"/>
        <v>0</v>
      </c>
      <c r="T15" s="38">
        <f t="shared" si="7"/>
        <v>3780</v>
      </c>
    </row>
    <row r="16" spans="1:20">
      <c r="A16" s="39">
        <v>12</v>
      </c>
      <c r="B16" s="144">
        <v>46124</v>
      </c>
      <c r="C16" s="145"/>
      <c r="D16" s="33"/>
      <c r="E16" s="33"/>
      <c r="F16" s="34">
        <f t="shared" si="8"/>
        <v>2.1585000000000001</v>
      </c>
      <c r="G16" s="35">
        <f t="shared" si="0"/>
        <v>67.841499999999996</v>
      </c>
      <c r="H16" s="35"/>
      <c r="I16" s="36"/>
      <c r="J16" s="36"/>
      <c r="K16" s="42"/>
      <c r="L16" s="38">
        <f t="shared" si="1"/>
        <v>0</v>
      </c>
      <c r="M16" s="38">
        <f t="shared" si="2"/>
        <v>0</v>
      </c>
      <c r="N16" s="38">
        <f t="shared" si="2"/>
        <v>0</v>
      </c>
      <c r="O16" s="38">
        <f t="shared" si="3"/>
        <v>116.559</v>
      </c>
      <c r="P16" s="38">
        <f t="shared" si="3"/>
        <v>3663.4409999999998</v>
      </c>
      <c r="Q16" s="38">
        <f t="shared" si="4"/>
        <v>0</v>
      </c>
      <c r="R16" s="38">
        <f t="shared" si="5"/>
        <v>0</v>
      </c>
      <c r="S16" s="38">
        <f t="shared" si="6"/>
        <v>0</v>
      </c>
      <c r="T16" s="38">
        <f t="shared" si="7"/>
        <v>3780</v>
      </c>
    </row>
    <row r="17" spans="1:20">
      <c r="A17" s="39">
        <v>13</v>
      </c>
      <c r="B17" s="144">
        <v>46125</v>
      </c>
      <c r="C17" s="145"/>
      <c r="D17" s="33"/>
      <c r="E17" s="33"/>
      <c r="F17" s="34">
        <f t="shared" si="8"/>
        <v>2.1585000000000001</v>
      </c>
      <c r="G17" s="35">
        <f t="shared" si="0"/>
        <v>67.841499999999996</v>
      </c>
      <c r="H17" s="35"/>
      <c r="I17" s="36"/>
      <c r="J17" s="36"/>
      <c r="K17" s="37"/>
      <c r="L17" s="38">
        <f t="shared" si="1"/>
        <v>0</v>
      </c>
      <c r="M17" s="38">
        <f t="shared" si="2"/>
        <v>0</v>
      </c>
      <c r="N17" s="38">
        <f t="shared" si="2"/>
        <v>0</v>
      </c>
      <c r="O17" s="38">
        <f t="shared" si="3"/>
        <v>116.559</v>
      </c>
      <c r="P17" s="38">
        <f t="shared" si="3"/>
        <v>3663.4409999999998</v>
      </c>
      <c r="Q17" s="38">
        <f t="shared" si="4"/>
        <v>0</v>
      </c>
      <c r="R17" s="38">
        <f t="shared" si="5"/>
        <v>0</v>
      </c>
      <c r="S17" s="38">
        <f t="shared" si="6"/>
        <v>0</v>
      </c>
      <c r="T17" s="38">
        <f t="shared" si="7"/>
        <v>3780</v>
      </c>
    </row>
    <row r="18" spans="1:20">
      <c r="A18" s="39">
        <v>14</v>
      </c>
      <c r="B18" s="144">
        <v>46126</v>
      </c>
      <c r="C18" s="145"/>
      <c r="D18" s="33"/>
      <c r="E18" s="33"/>
      <c r="F18" s="34">
        <f t="shared" si="8"/>
        <v>2.1585000000000001</v>
      </c>
      <c r="G18" s="35">
        <f t="shared" si="0"/>
        <v>67.841499999999996</v>
      </c>
      <c r="H18" s="35"/>
      <c r="I18" s="36"/>
      <c r="J18" s="36"/>
      <c r="K18" s="37"/>
      <c r="L18" s="38">
        <f t="shared" si="1"/>
        <v>0</v>
      </c>
      <c r="M18" s="38">
        <f t="shared" si="2"/>
        <v>0</v>
      </c>
      <c r="N18" s="38">
        <f t="shared" si="2"/>
        <v>0</v>
      </c>
      <c r="O18" s="38">
        <f t="shared" si="3"/>
        <v>116.559</v>
      </c>
      <c r="P18" s="38">
        <f t="shared" si="3"/>
        <v>3663.4409999999998</v>
      </c>
      <c r="Q18" s="38">
        <f t="shared" si="4"/>
        <v>0</v>
      </c>
      <c r="R18" s="38">
        <f t="shared" si="5"/>
        <v>0</v>
      </c>
      <c r="S18" s="38">
        <f t="shared" si="6"/>
        <v>0</v>
      </c>
      <c r="T18" s="38">
        <f t="shared" si="7"/>
        <v>3780</v>
      </c>
    </row>
    <row r="19" spans="1:20">
      <c r="A19" s="39">
        <v>15</v>
      </c>
      <c r="B19" s="144">
        <v>46127</v>
      </c>
      <c r="C19" s="145"/>
      <c r="D19" s="33"/>
      <c r="E19" s="33"/>
      <c r="F19" s="34">
        <f t="shared" si="8"/>
        <v>2.1585000000000001</v>
      </c>
      <c r="G19" s="35">
        <f t="shared" si="0"/>
        <v>67.841499999999996</v>
      </c>
      <c r="H19" s="35"/>
      <c r="I19" s="36"/>
      <c r="J19" s="36"/>
      <c r="K19" s="37"/>
      <c r="L19" s="38">
        <f t="shared" si="1"/>
        <v>0</v>
      </c>
      <c r="M19" s="38">
        <f t="shared" si="2"/>
        <v>0</v>
      </c>
      <c r="N19" s="38">
        <f t="shared" si="2"/>
        <v>0</v>
      </c>
      <c r="O19" s="38">
        <f t="shared" si="3"/>
        <v>116.559</v>
      </c>
      <c r="P19" s="38">
        <f t="shared" si="3"/>
        <v>3663.4409999999998</v>
      </c>
      <c r="Q19" s="38">
        <f t="shared" si="4"/>
        <v>0</v>
      </c>
      <c r="R19" s="38">
        <f t="shared" si="5"/>
        <v>0</v>
      </c>
      <c r="S19" s="38">
        <f t="shared" si="6"/>
        <v>0</v>
      </c>
      <c r="T19" s="38">
        <f t="shared" si="7"/>
        <v>3780</v>
      </c>
    </row>
    <row r="20" spans="1:20">
      <c r="A20" s="39">
        <v>16</v>
      </c>
      <c r="B20" s="144">
        <v>46128</v>
      </c>
      <c r="C20" s="145"/>
      <c r="D20" s="33"/>
      <c r="E20" s="33"/>
      <c r="F20" s="34">
        <f t="shared" si="8"/>
        <v>2.1585000000000001</v>
      </c>
      <c r="G20" s="35">
        <f t="shared" si="0"/>
        <v>67.841499999999996</v>
      </c>
      <c r="H20" s="35"/>
      <c r="I20" s="36"/>
      <c r="J20" s="36"/>
      <c r="K20" s="37"/>
      <c r="L20" s="38">
        <f t="shared" si="1"/>
        <v>0</v>
      </c>
      <c r="M20" s="38">
        <f t="shared" si="2"/>
        <v>0</v>
      </c>
      <c r="N20" s="38">
        <f t="shared" si="2"/>
        <v>0</v>
      </c>
      <c r="O20" s="38">
        <f t="shared" si="3"/>
        <v>116.559</v>
      </c>
      <c r="P20" s="38">
        <f t="shared" si="3"/>
        <v>3663.4409999999998</v>
      </c>
      <c r="Q20" s="38">
        <f t="shared" si="4"/>
        <v>0</v>
      </c>
      <c r="R20" s="38">
        <f t="shared" si="5"/>
        <v>0</v>
      </c>
      <c r="S20" s="38">
        <f t="shared" si="6"/>
        <v>0</v>
      </c>
      <c r="T20" s="38">
        <f t="shared" si="7"/>
        <v>3780</v>
      </c>
    </row>
    <row r="21" spans="1:20">
      <c r="A21" s="39">
        <v>17</v>
      </c>
      <c r="B21" s="144">
        <v>46129</v>
      </c>
      <c r="C21" s="145"/>
      <c r="D21" s="33"/>
      <c r="E21" s="33"/>
      <c r="F21" s="34">
        <f t="shared" si="8"/>
        <v>2.1585000000000001</v>
      </c>
      <c r="G21" s="35">
        <f t="shared" si="0"/>
        <v>67.841499999999996</v>
      </c>
      <c r="H21" s="35"/>
      <c r="I21" s="36"/>
      <c r="J21" s="36"/>
      <c r="K21" s="37"/>
      <c r="L21" s="38">
        <f t="shared" si="1"/>
        <v>0</v>
      </c>
      <c r="M21" s="38">
        <f t="shared" si="2"/>
        <v>0</v>
      </c>
      <c r="N21" s="38">
        <f t="shared" si="2"/>
        <v>0</v>
      </c>
      <c r="O21" s="38">
        <f t="shared" si="3"/>
        <v>116.559</v>
      </c>
      <c r="P21" s="38">
        <f t="shared" si="3"/>
        <v>3663.4409999999998</v>
      </c>
      <c r="Q21" s="38">
        <f t="shared" si="4"/>
        <v>0</v>
      </c>
      <c r="R21" s="38">
        <f t="shared" si="5"/>
        <v>0</v>
      </c>
      <c r="S21" s="38">
        <f t="shared" si="6"/>
        <v>0</v>
      </c>
      <c r="T21" s="38">
        <f t="shared" si="7"/>
        <v>3780</v>
      </c>
    </row>
    <row r="22" spans="1:20">
      <c r="A22" s="39">
        <v>18</v>
      </c>
      <c r="B22" s="144">
        <v>46130</v>
      </c>
      <c r="C22" s="145"/>
      <c r="D22" s="33"/>
      <c r="E22" s="33"/>
      <c r="F22" s="34">
        <f t="shared" si="8"/>
        <v>2.1585000000000001</v>
      </c>
      <c r="G22" s="35">
        <f t="shared" si="0"/>
        <v>67.841499999999996</v>
      </c>
      <c r="H22" s="35"/>
      <c r="I22" s="36"/>
      <c r="J22" s="36"/>
      <c r="K22" s="37"/>
      <c r="L22" s="38">
        <f t="shared" si="1"/>
        <v>0</v>
      </c>
      <c r="M22" s="38">
        <f t="shared" si="2"/>
        <v>0</v>
      </c>
      <c r="N22" s="38">
        <f t="shared" si="2"/>
        <v>0</v>
      </c>
      <c r="O22" s="38">
        <f t="shared" si="3"/>
        <v>116.559</v>
      </c>
      <c r="P22" s="38">
        <f t="shared" si="3"/>
        <v>3663.4409999999998</v>
      </c>
      <c r="Q22" s="38">
        <f t="shared" si="4"/>
        <v>0</v>
      </c>
      <c r="R22" s="38">
        <f t="shared" si="5"/>
        <v>0</v>
      </c>
      <c r="S22" s="38">
        <f t="shared" si="6"/>
        <v>0</v>
      </c>
      <c r="T22" s="38">
        <f t="shared" si="7"/>
        <v>3780</v>
      </c>
    </row>
    <row r="23" spans="1:20">
      <c r="A23" s="39">
        <v>19</v>
      </c>
      <c r="B23" s="144">
        <v>46131</v>
      </c>
      <c r="C23" s="145"/>
      <c r="D23" s="33"/>
      <c r="E23" s="33"/>
      <c r="F23" s="34">
        <f t="shared" si="8"/>
        <v>2.1585000000000001</v>
      </c>
      <c r="G23" s="35">
        <f t="shared" si="0"/>
        <v>67.841499999999996</v>
      </c>
      <c r="H23" s="35"/>
      <c r="I23" s="36"/>
      <c r="J23" s="36"/>
      <c r="K23" s="37"/>
      <c r="L23" s="38">
        <f t="shared" si="1"/>
        <v>0</v>
      </c>
      <c r="M23" s="38">
        <f t="shared" si="2"/>
        <v>0</v>
      </c>
      <c r="N23" s="38">
        <f t="shared" si="2"/>
        <v>0</v>
      </c>
      <c r="O23" s="38">
        <f t="shared" si="3"/>
        <v>116.559</v>
      </c>
      <c r="P23" s="38">
        <f t="shared" si="3"/>
        <v>3663.4409999999998</v>
      </c>
      <c r="Q23" s="38">
        <f t="shared" si="4"/>
        <v>0</v>
      </c>
      <c r="R23" s="38">
        <f t="shared" si="5"/>
        <v>0</v>
      </c>
      <c r="S23" s="38">
        <f t="shared" si="6"/>
        <v>0</v>
      </c>
      <c r="T23" s="38">
        <f t="shared" si="7"/>
        <v>3780</v>
      </c>
    </row>
    <row r="24" spans="1:20">
      <c r="A24" s="39">
        <v>20</v>
      </c>
      <c r="B24" s="144">
        <v>46132</v>
      </c>
      <c r="C24" s="145"/>
      <c r="D24" s="33"/>
      <c r="E24" s="33"/>
      <c r="F24" s="34">
        <f t="shared" si="8"/>
        <v>2.1585000000000001</v>
      </c>
      <c r="G24" s="35">
        <f t="shared" si="0"/>
        <v>67.841499999999996</v>
      </c>
      <c r="H24" s="35"/>
      <c r="I24" s="36"/>
      <c r="J24" s="36"/>
      <c r="K24" s="37"/>
      <c r="L24" s="38">
        <f t="shared" si="1"/>
        <v>0</v>
      </c>
      <c r="M24" s="38">
        <f t="shared" si="2"/>
        <v>0</v>
      </c>
      <c r="N24" s="38">
        <f t="shared" si="2"/>
        <v>0</v>
      </c>
      <c r="O24" s="38">
        <f t="shared" si="3"/>
        <v>116.559</v>
      </c>
      <c r="P24" s="38">
        <f t="shared" si="3"/>
        <v>3663.4409999999998</v>
      </c>
      <c r="Q24" s="38">
        <f t="shared" si="4"/>
        <v>0</v>
      </c>
      <c r="R24" s="38">
        <f t="shared" si="5"/>
        <v>0</v>
      </c>
      <c r="S24" s="38">
        <f t="shared" si="6"/>
        <v>0</v>
      </c>
      <c r="T24" s="38">
        <f t="shared" si="7"/>
        <v>3780</v>
      </c>
    </row>
    <row r="25" spans="1:20">
      <c r="A25" s="39">
        <v>21</v>
      </c>
      <c r="B25" s="144">
        <v>46133</v>
      </c>
      <c r="C25" s="145"/>
      <c r="D25" s="33"/>
      <c r="E25" s="33"/>
      <c r="F25" s="34">
        <f t="shared" si="8"/>
        <v>2.1585000000000001</v>
      </c>
      <c r="G25" s="35">
        <f t="shared" si="0"/>
        <v>67.841499999999996</v>
      </c>
      <c r="H25" s="35"/>
      <c r="I25" s="36"/>
      <c r="J25" s="36"/>
      <c r="K25" s="37"/>
      <c r="L25" s="38">
        <f t="shared" si="1"/>
        <v>0</v>
      </c>
      <c r="M25" s="38">
        <f t="shared" si="2"/>
        <v>0</v>
      </c>
      <c r="N25" s="38">
        <f t="shared" si="2"/>
        <v>0</v>
      </c>
      <c r="O25" s="38">
        <f t="shared" si="3"/>
        <v>116.559</v>
      </c>
      <c r="P25" s="38">
        <f t="shared" si="3"/>
        <v>3663.4409999999998</v>
      </c>
      <c r="Q25" s="38">
        <f t="shared" si="4"/>
        <v>0</v>
      </c>
      <c r="R25" s="38">
        <f t="shared" si="5"/>
        <v>0</v>
      </c>
      <c r="S25" s="38">
        <f t="shared" si="6"/>
        <v>0</v>
      </c>
      <c r="T25" s="38">
        <f t="shared" si="7"/>
        <v>3780</v>
      </c>
    </row>
    <row r="26" spans="1:20">
      <c r="A26" s="39">
        <v>22</v>
      </c>
      <c r="B26" s="144">
        <v>46134</v>
      </c>
      <c r="C26" s="145"/>
      <c r="D26" s="41">
        <v>8.2948000000000004</v>
      </c>
      <c r="E26" s="40"/>
      <c r="F26" s="34">
        <f t="shared" si="8"/>
        <v>10.4533</v>
      </c>
      <c r="G26" s="35">
        <f t="shared" si="0"/>
        <v>59.546700000000001</v>
      </c>
      <c r="H26" s="35"/>
      <c r="I26" s="36"/>
      <c r="J26" s="36"/>
      <c r="K26" s="37"/>
      <c r="L26" s="38">
        <f t="shared" si="1"/>
        <v>0</v>
      </c>
      <c r="M26" s="38">
        <f t="shared" si="2"/>
        <v>995.37600000000009</v>
      </c>
      <c r="N26" s="38">
        <f t="shared" si="2"/>
        <v>0</v>
      </c>
      <c r="O26" s="38">
        <f t="shared" si="3"/>
        <v>564.47820000000002</v>
      </c>
      <c r="P26" s="38">
        <f t="shared" si="3"/>
        <v>3215.5218</v>
      </c>
      <c r="Q26" s="38">
        <f t="shared" si="4"/>
        <v>0</v>
      </c>
      <c r="R26" s="38">
        <f t="shared" si="5"/>
        <v>0</v>
      </c>
      <c r="S26" s="38">
        <f t="shared" si="6"/>
        <v>0</v>
      </c>
      <c r="T26" s="38">
        <f t="shared" si="7"/>
        <v>4775.3760000000002</v>
      </c>
    </row>
    <row r="27" spans="1:20">
      <c r="A27" s="39">
        <v>23</v>
      </c>
      <c r="B27" s="144">
        <v>46135</v>
      </c>
      <c r="C27" s="145"/>
      <c r="D27" s="40"/>
      <c r="E27" s="41">
        <v>4.7397999999999998</v>
      </c>
      <c r="F27" s="34">
        <f t="shared" si="8"/>
        <v>5.7135000000000007</v>
      </c>
      <c r="G27" s="35">
        <f t="shared" si="0"/>
        <v>64.286500000000004</v>
      </c>
      <c r="H27" s="35"/>
      <c r="I27" s="36"/>
      <c r="J27" s="36"/>
      <c r="K27" s="37"/>
      <c r="L27" s="38">
        <f t="shared" si="1"/>
        <v>0</v>
      </c>
      <c r="M27" s="38">
        <f t="shared" si="2"/>
        <v>0</v>
      </c>
      <c r="N27" s="38">
        <f t="shared" si="2"/>
        <v>568.77599999999995</v>
      </c>
      <c r="O27" s="38">
        <f t="shared" si="3"/>
        <v>308.52900000000005</v>
      </c>
      <c r="P27" s="38">
        <f t="shared" si="3"/>
        <v>3471.471</v>
      </c>
      <c r="Q27" s="38">
        <f t="shared" si="4"/>
        <v>0</v>
      </c>
      <c r="R27" s="38">
        <f t="shared" si="5"/>
        <v>0</v>
      </c>
      <c r="S27" s="38">
        <f t="shared" si="6"/>
        <v>0</v>
      </c>
      <c r="T27" s="38">
        <f t="shared" si="7"/>
        <v>4348.7759999999998</v>
      </c>
    </row>
    <row r="28" spans="1:20">
      <c r="A28" s="39">
        <v>24</v>
      </c>
      <c r="B28" s="144">
        <v>46136</v>
      </c>
      <c r="C28" s="145"/>
      <c r="D28" s="40"/>
      <c r="E28" s="41">
        <v>4.1460999999999997</v>
      </c>
      <c r="F28" s="34">
        <f t="shared" si="8"/>
        <v>1.567400000000001</v>
      </c>
      <c r="G28" s="35">
        <f t="shared" si="0"/>
        <v>68.432599999999994</v>
      </c>
      <c r="H28" s="35"/>
      <c r="I28" s="36"/>
      <c r="J28" s="36"/>
      <c r="K28" s="37"/>
      <c r="L28" s="38">
        <f t="shared" si="1"/>
        <v>0</v>
      </c>
      <c r="M28" s="38">
        <f t="shared" si="2"/>
        <v>0</v>
      </c>
      <c r="N28" s="38">
        <f t="shared" si="2"/>
        <v>497.53199999999998</v>
      </c>
      <c r="O28" s="38">
        <f t="shared" si="3"/>
        <v>84.639600000000058</v>
      </c>
      <c r="P28" s="38">
        <f t="shared" si="3"/>
        <v>3695.3603999999996</v>
      </c>
      <c r="Q28" s="38">
        <f t="shared" si="4"/>
        <v>0</v>
      </c>
      <c r="R28" s="38">
        <f t="shared" si="5"/>
        <v>0</v>
      </c>
      <c r="S28" s="38">
        <f t="shared" si="6"/>
        <v>0</v>
      </c>
      <c r="T28" s="38">
        <f t="shared" si="7"/>
        <v>4277.5319999999992</v>
      </c>
    </row>
    <row r="29" spans="1:20">
      <c r="A29" s="39">
        <v>25</v>
      </c>
      <c r="B29" s="144">
        <v>46137</v>
      </c>
      <c r="C29" s="145"/>
      <c r="D29" s="33"/>
      <c r="E29" s="33"/>
      <c r="F29" s="34">
        <f t="shared" si="8"/>
        <v>1.567400000000001</v>
      </c>
      <c r="G29" s="35">
        <f t="shared" si="0"/>
        <v>68.432599999999994</v>
      </c>
      <c r="H29" s="35"/>
      <c r="I29" s="36"/>
      <c r="J29" s="36"/>
      <c r="K29" s="37"/>
      <c r="L29" s="38">
        <f t="shared" si="1"/>
        <v>0</v>
      </c>
      <c r="M29" s="38">
        <f t="shared" si="2"/>
        <v>0</v>
      </c>
      <c r="N29" s="38">
        <f t="shared" si="2"/>
        <v>0</v>
      </c>
      <c r="O29" s="38">
        <f t="shared" si="3"/>
        <v>84.639600000000058</v>
      </c>
      <c r="P29" s="38">
        <f t="shared" si="3"/>
        <v>3695.3603999999996</v>
      </c>
      <c r="Q29" s="38">
        <f t="shared" si="4"/>
        <v>0</v>
      </c>
      <c r="R29" s="38">
        <f t="shared" si="5"/>
        <v>0</v>
      </c>
      <c r="S29" s="38">
        <f t="shared" si="6"/>
        <v>0</v>
      </c>
      <c r="T29" s="38">
        <f t="shared" si="7"/>
        <v>3779.9999999999995</v>
      </c>
    </row>
    <row r="30" spans="1:20">
      <c r="A30" s="39">
        <v>26</v>
      </c>
      <c r="B30" s="144">
        <v>46138</v>
      </c>
      <c r="C30" s="145"/>
      <c r="D30" s="33"/>
      <c r="E30" s="33"/>
      <c r="F30" s="34">
        <f t="shared" si="8"/>
        <v>1.567400000000001</v>
      </c>
      <c r="G30" s="35">
        <f t="shared" si="0"/>
        <v>68.432599999999994</v>
      </c>
      <c r="H30" s="35"/>
      <c r="I30" s="36"/>
      <c r="J30" s="36"/>
      <c r="K30" s="37"/>
      <c r="L30" s="38">
        <f t="shared" si="1"/>
        <v>0</v>
      </c>
      <c r="M30" s="38">
        <f t="shared" si="2"/>
        <v>0</v>
      </c>
      <c r="N30" s="38">
        <f t="shared" si="2"/>
        <v>0</v>
      </c>
      <c r="O30" s="38">
        <f t="shared" si="3"/>
        <v>84.639600000000058</v>
      </c>
      <c r="P30" s="38">
        <f t="shared" si="3"/>
        <v>3695.3603999999996</v>
      </c>
      <c r="Q30" s="38">
        <f t="shared" si="4"/>
        <v>0</v>
      </c>
      <c r="R30" s="38">
        <f t="shared" si="5"/>
        <v>0</v>
      </c>
      <c r="S30" s="38">
        <f t="shared" si="6"/>
        <v>0</v>
      </c>
      <c r="T30" s="38">
        <f t="shared" si="7"/>
        <v>3779.9999999999995</v>
      </c>
    </row>
    <row r="31" spans="1:20">
      <c r="A31" s="39">
        <v>27</v>
      </c>
      <c r="B31" s="144">
        <v>46139</v>
      </c>
      <c r="C31" s="145"/>
      <c r="D31" s="33"/>
      <c r="E31" s="33"/>
      <c r="F31" s="34">
        <f t="shared" si="8"/>
        <v>1.567400000000001</v>
      </c>
      <c r="G31" s="35">
        <f t="shared" si="0"/>
        <v>68.432599999999994</v>
      </c>
      <c r="H31" s="35"/>
      <c r="I31" s="36"/>
      <c r="J31" s="36"/>
      <c r="K31" s="37"/>
      <c r="L31" s="38">
        <f t="shared" si="1"/>
        <v>0</v>
      </c>
      <c r="M31" s="38">
        <f t="shared" si="2"/>
        <v>0</v>
      </c>
      <c r="N31" s="38">
        <f t="shared" si="2"/>
        <v>0</v>
      </c>
      <c r="O31" s="38">
        <f t="shared" si="3"/>
        <v>84.639600000000058</v>
      </c>
      <c r="P31" s="38">
        <f t="shared" si="3"/>
        <v>3695.3603999999996</v>
      </c>
      <c r="Q31" s="38">
        <f t="shared" si="4"/>
        <v>0</v>
      </c>
      <c r="R31" s="38">
        <f t="shared" si="5"/>
        <v>0</v>
      </c>
      <c r="S31" s="38">
        <f t="shared" si="6"/>
        <v>0</v>
      </c>
      <c r="T31" s="38">
        <f t="shared" si="7"/>
        <v>3779.9999999999995</v>
      </c>
    </row>
    <row r="32" spans="1:20">
      <c r="A32" s="39">
        <v>28</v>
      </c>
      <c r="B32" s="144">
        <v>46140</v>
      </c>
      <c r="C32" s="145"/>
      <c r="D32" s="33"/>
      <c r="E32" s="33"/>
      <c r="F32" s="34">
        <f>F31-E32+D32</f>
        <v>1.567400000000001</v>
      </c>
      <c r="G32" s="35">
        <f t="shared" si="0"/>
        <v>68.432599999999994</v>
      </c>
      <c r="H32" s="35"/>
      <c r="I32" s="36"/>
      <c r="J32" s="36"/>
      <c r="K32" s="37"/>
      <c r="L32" s="38">
        <f t="shared" si="1"/>
        <v>0</v>
      </c>
      <c r="M32" s="38">
        <f t="shared" si="2"/>
        <v>0</v>
      </c>
      <c r="N32" s="38">
        <f t="shared" si="2"/>
        <v>0</v>
      </c>
      <c r="O32" s="38">
        <f t="shared" si="3"/>
        <v>84.639600000000058</v>
      </c>
      <c r="P32" s="38">
        <f t="shared" si="3"/>
        <v>3695.3603999999996</v>
      </c>
      <c r="Q32" s="38">
        <f t="shared" si="4"/>
        <v>0</v>
      </c>
      <c r="R32" s="38">
        <f t="shared" si="5"/>
        <v>0</v>
      </c>
      <c r="S32" s="38">
        <f t="shared" si="6"/>
        <v>0</v>
      </c>
      <c r="T32" s="38">
        <f t="shared" si="7"/>
        <v>3779.9999999999995</v>
      </c>
    </row>
    <row r="33" spans="1:20">
      <c r="A33" s="39">
        <v>29</v>
      </c>
      <c r="B33" s="144">
        <v>46141</v>
      </c>
      <c r="C33" s="145"/>
      <c r="D33" s="33"/>
      <c r="E33" s="33"/>
      <c r="F33" s="34">
        <f t="shared" ref="F33" si="9">F32-E33+D33</f>
        <v>1.567400000000001</v>
      </c>
      <c r="G33" s="35">
        <f t="shared" si="0"/>
        <v>68.432599999999994</v>
      </c>
      <c r="H33" s="35"/>
      <c r="I33" s="36"/>
      <c r="J33" s="36"/>
      <c r="K33" s="37"/>
      <c r="L33" s="38">
        <f t="shared" si="1"/>
        <v>0</v>
      </c>
      <c r="M33" s="38">
        <f t="shared" si="2"/>
        <v>0</v>
      </c>
      <c r="N33" s="38">
        <f t="shared" si="2"/>
        <v>0</v>
      </c>
      <c r="O33" s="38">
        <f t="shared" si="3"/>
        <v>84.639600000000058</v>
      </c>
      <c r="P33" s="38">
        <f t="shared" si="3"/>
        <v>3695.3603999999996</v>
      </c>
      <c r="Q33" s="38">
        <f t="shared" si="4"/>
        <v>0</v>
      </c>
      <c r="R33" s="38">
        <f t="shared" si="5"/>
        <v>0</v>
      </c>
      <c r="S33" s="38">
        <f t="shared" si="6"/>
        <v>0</v>
      </c>
      <c r="T33" s="38">
        <f t="shared" si="7"/>
        <v>3779.9999999999995</v>
      </c>
    </row>
    <row r="34" spans="1:20">
      <c r="A34" s="39">
        <v>30</v>
      </c>
      <c r="B34" s="144">
        <v>46142</v>
      </c>
      <c r="C34" s="145"/>
      <c r="D34" s="33"/>
      <c r="E34" s="33"/>
      <c r="F34" s="34">
        <f>F33-E34+D34</f>
        <v>1.567400000000001</v>
      </c>
      <c r="G34" s="35">
        <f>IF(OR(B34="",NOT(ISERROR(SEARCH("KPI",$A$2))),NOT(ISERROR(SEARCH("Полиом",$A$2)))),0,IF(70-F34&lt;=0,0,70-F34))</f>
        <v>68.432599999999994</v>
      </c>
      <c r="H34" s="35"/>
      <c r="I34" s="36"/>
      <c r="J34" s="36"/>
      <c r="K34" s="37"/>
      <c r="L34" s="38">
        <f t="shared" si="1"/>
        <v>0</v>
      </c>
      <c r="M34" s="38">
        <f t="shared" si="2"/>
        <v>0</v>
      </c>
      <c r="N34" s="38">
        <f t="shared" si="2"/>
        <v>0</v>
      </c>
      <c r="O34" s="38">
        <f>SUM(F34*54)</f>
        <v>84.639600000000058</v>
      </c>
      <c r="P34" s="38">
        <f t="shared" si="3"/>
        <v>3695.3603999999996</v>
      </c>
      <c r="Q34" s="38">
        <f t="shared" si="4"/>
        <v>0</v>
      </c>
      <c r="R34" s="38">
        <f t="shared" si="5"/>
        <v>0</v>
      </c>
      <c r="S34" s="38">
        <f t="shared" si="6"/>
        <v>0</v>
      </c>
      <c r="T34" s="38">
        <f t="shared" si="7"/>
        <v>3779.9999999999995</v>
      </c>
    </row>
    <row r="35" spans="1:20">
      <c r="A35" s="39"/>
      <c r="B35" s="144"/>
      <c r="C35" s="145"/>
      <c r="D35" s="40"/>
      <c r="E35" s="41"/>
      <c r="F35" s="34"/>
      <c r="G35" s="35"/>
      <c r="H35" s="35"/>
      <c r="I35" s="36"/>
      <c r="J35" s="36"/>
      <c r="K35" s="37"/>
      <c r="L35" s="38">
        <f t="shared" si="1"/>
        <v>0</v>
      </c>
      <c r="M35" s="38">
        <f t="shared" si="2"/>
        <v>0</v>
      </c>
      <c r="N35" s="38">
        <f t="shared" si="2"/>
        <v>0</v>
      </c>
      <c r="O35" s="38">
        <f>SUM(F35*54)</f>
        <v>0</v>
      </c>
      <c r="P35" s="38">
        <f t="shared" si="3"/>
        <v>0</v>
      </c>
      <c r="Q35" s="38">
        <f t="shared" si="4"/>
        <v>0</v>
      </c>
      <c r="R35" s="38">
        <f t="shared" si="5"/>
        <v>0</v>
      </c>
      <c r="S35" s="38">
        <f t="shared" si="6"/>
        <v>0</v>
      </c>
      <c r="T35" s="38">
        <f t="shared" si="7"/>
        <v>0</v>
      </c>
    </row>
    <row r="36" spans="1:20">
      <c r="D36" s="33"/>
      <c r="E36" s="33"/>
      <c r="F36" s="43">
        <f>SUM(F5:F35)</f>
        <v>257.42940000000004</v>
      </c>
      <c r="G36" s="43">
        <f t="shared" ref="G36:T36" si="10">SUM(G5:G35)</f>
        <v>1842.5706000000005</v>
      </c>
      <c r="H36" s="43">
        <f t="shared" si="10"/>
        <v>0</v>
      </c>
      <c r="I36" s="43">
        <f t="shared" si="10"/>
        <v>0</v>
      </c>
      <c r="J36" s="43">
        <f t="shared" si="10"/>
        <v>0</v>
      </c>
      <c r="K36" s="44">
        <f t="shared" si="10"/>
        <v>0</v>
      </c>
      <c r="L36" s="45">
        <f t="shared" si="10"/>
        <v>0</v>
      </c>
      <c r="M36" s="45">
        <f t="shared" si="10"/>
        <v>995.37600000000009</v>
      </c>
      <c r="N36" s="45">
        <f t="shared" si="10"/>
        <v>3746.7359999999999</v>
      </c>
      <c r="O36" s="45">
        <f t="shared" si="10"/>
        <v>13901.187599999992</v>
      </c>
      <c r="P36" s="45">
        <f t="shared" si="10"/>
        <v>99498.812400000039</v>
      </c>
      <c r="Q36" s="45">
        <f t="shared" si="10"/>
        <v>0</v>
      </c>
      <c r="R36" s="45">
        <f t="shared" si="10"/>
        <v>0</v>
      </c>
      <c r="S36" s="45">
        <f t="shared" si="10"/>
        <v>0</v>
      </c>
      <c r="T36" s="45">
        <f t="shared" si="10"/>
        <v>118142.11199999999</v>
      </c>
    </row>
    <row r="37" spans="1:20">
      <c r="R37" s="46"/>
      <c r="S37" s="46"/>
      <c r="T37" s="47">
        <f>T36*1.22</f>
        <v>144133.37664</v>
      </c>
    </row>
    <row r="40" spans="1:20">
      <c r="F40" s="48"/>
    </row>
  </sheetData>
  <mergeCells count="50"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68131-970E-4C38-8B21-18C33FAA26B0}">
  <dimension ref="A1:M125"/>
  <sheetViews>
    <sheetView tabSelected="1" topLeftCell="A10" zoomScaleNormal="100" workbookViewId="0">
      <selection activeCell="C39" sqref="C39"/>
    </sheetView>
  </sheetViews>
  <sheetFormatPr defaultColWidth="14.42578125" defaultRowHeight="15" customHeight="1"/>
  <cols>
    <col min="1" max="1" width="28.5703125" style="4" customWidth="1"/>
    <col min="2" max="2" width="17.7109375" style="4" customWidth="1"/>
    <col min="3" max="3" width="17.140625" style="4" customWidth="1"/>
    <col min="4" max="4" width="18.42578125" style="4" customWidth="1"/>
    <col min="5" max="5" width="20.85546875" style="4" customWidth="1"/>
    <col min="6" max="6" width="21.85546875" style="4" customWidth="1"/>
    <col min="7" max="9" width="22.28515625" style="4" customWidth="1"/>
    <col min="10" max="10" width="19.28515625" style="4" customWidth="1"/>
    <col min="11" max="11" width="22.5703125" style="4" customWidth="1"/>
    <col min="12" max="12" width="30.28515625" style="4" customWidth="1"/>
    <col min="13" max="13" width="31.28515625" style="4" customWidth="1"/>
    <col min="14" max="16384" width="14.42578125" style="4"/>
  </cols>
  <sheetData>
    <row r="1" spans="1:10" ht="161.25" customHeight="1" thickBot="1">
      <c r="A1" s="164">
        <f ca="1">G16</f>
        <v>135407757.87263998</v>
      </c>
      <c r="B1" s="165"/>
      <c r="C1" s="165"/>
      <c r="D1" s="165"/>
      <c r="E1" s="165"/>
      <c r="F1" s="165"/>
      <c r="G1" s="165"/>
    </row>
    <row r="2" spans="1:10" ht="12.75" customHeight="1" thickBot="1">
      <c r="A2" s="76"/>
      <c r="B2" s="77"/>
      <c r="C2" s="77"/>
      <c r="D2" s="77"/>
      <c r="E2" s="77"/>
      <c r="F2" s="77"/>
      <c r="I2" s="166" t="s">
        <v>19</v>
      </c>
      <c r="J2" s="167"/>
    </row>
    <row r="3" spans="1:10" ht="14.25" customHeight="1" thickBot="1">
      <c r="A3" s="49" t="s">
        <v>20</v>
      </c>
      <c r="B3" s="50" t="s">
        <v>21</v>
      </c>
      <c r="C3" s="50" t="s">
        <v>22</v>
      </c>
      <c r="D3" s="50" t="s">
        <v>23</v>
      </c>
      <c r="E3" s="50" t="s">
        <v>24</v>
      </c>
      <c r="F3" s="50" t="s">
        <v>25</v>
      </c>
      <c r="G3" s="51" t="s">
        <v>26</v>
      </c>
      <c r="I3" s="52" t="s">
        <v>27</v>
      </c>
      <c r="J3" s="53">
        <v>23143268.370000001</v>
      </c>
    </row>
    <row r="4" spans="1:10" ht="14.25" customHeight="1">
      <c r="A4" s="54" t="s">
        <v>28</v>
      </c>
      <c r="B4" s="55">
        <f t="shared" ref="B4:B12" ca="1" si="0">INDEX($M$45:$M$54,MATCH(A4,$A$45:$A$54,0),1)</f>
        <v>6329326.1500000004</v>
      </c>
      <c r="C4" s="55">
        <v>0</v>
      </c>
      <c r="D4" s="55">
        <f t="shared" ref="D4:D15" ca="1" si="1">INDEX($B$57:$B$73,MATCH(A4,$A$57:$A$73,0),1)</f>
        <v>0</v>
      </c>
      <c r="E4" s="55">
        <f t="shared" ref="E4:E15" ca="1" si="2">SUMIF($F$19:$F$42,A4,$G$19:$G$42)</f>
        <v>0</v>
      </c>
      <c r="F4" s="55">
        <f t="shared" ref="F4:F15" ca="1" si="3">SUMIF($B$19:$B$27,A4,$C$19:$C$27)</f>
        <v>78580</v>
      </c>
      <c r="G4" s="56">
        <f t="shared" ref="G4:G13" ca="1" si="4">SUM(B4:F4)</f>
        <v>6407906.1500000004</v>
      </c>
      <c r="I4" s="57" t="s">
        <v>29</v>
      </c>
      <c r="J4" s="58">
        <v>19482962</v>
      </c>
    </row>
    <row r="5" spans="1:10" ht="14.25" customHeight="1">
      <c r="A5" s="1" t="s">
        <v>30</v>
      </c>
      <c r="B5" s="55">
        <f t="shared" ca="1" si="0"/>
        <v>10571818.51</v>
      </c>
      <c r="C5" s="55">
        <v>0</v>
      </c>
      <c r="D5" s="55">
        <f t="shared" ca="1" si="1"/>
        <v>0</v>
      </c>
      <c r="E5" s="55">
        <f t="shared" ca="1" si="2"/>
        <v>0</v>
      </c>
      <c r="F5" s="55">
        <f t="shared" ca="1" si="3"/>
        <v>0</v>
      </c>
      <c r="G5" s="56">
        <f t="shared" ca="1" si="4"/>
        <v>10571818.51</v>
      </c>
      <c r="I5" s="57" t="s">
        <v>30</v>
      </c>
      <c r="J5" s="58">
        <v>14483152.129999999</v>
      </c>
    </row>
    <row r="6" spans="1:10" ht="14.25" customHeight="1">
      <c r="A6" s="1" t="s">
        <v>31</v>
      </c>
      <c r="B6" s="55">
        <f t="shared" ca="1" si="0"/>
        <v>12214092.520000001</v>
      </c>
      <c r="C6" s="55">
        <v>0</v>
      </c>
      <c r="D6" s="55">
        <f t="shared" ca="1" si="1"/>
        <v>0</v>
      </c>
      <c r="E6" s="55">
        <f t="shared" ca="1" si="2"/>
        <v>0</v>
      </c>
      <c r="F6" s="55">
        <f t="shared" si="3"/>
        <v>0</v>
      </c>
      <c r="G6" s="56">
        <f t="shared" ca="1" si="4"/>
        <v>12214092.520000001</v>
      </c>
      <c r="I6" s="57" t="s">
        <v>31</v>
      </c>
      <c r="J6" s="58">
        <v>11908608.83</v>
      </c>
    </row>
    <row r="7" spans="1:10" ht="14.25" customHeight="1">
      <c r="A7" s="1" t="s">
        <v>32</v>
      </c>
      <c r="B7" s="55">
        <f t="shared" ca="1" si="0"/>
        <v>6187376.9399999995</v>
      </c>
      <c r="C7" s="55">
        <v>0</v>
      </c>
      <c r="D7" s="55">
        <f t="shared" ca="1" si="1"/>
        <v>0</v>
      </c>
      <c r="E7" s="55">
        <f t="shared" ca="1" si="2"/>
        <v>144133.37664</v>
      </c>
      <c r="F7" s="55">
        <f t="shared" si="3"/>
        <v>0</v>
      </c>
      <c r="G7" s="56">
        <f t="shared" ca="1" si="4"/>
        <v>6331510.3166399999</v>
      </c>
      <c r="I7" s="57" t="s">
        <v>28</v>
      </c>
      <c r="J7" s="58">
        <v>11544503.229999999</v>
      </c>
    </row>
    <row r="8" spans="1:10" ht="14.25" customHeight="1">
      <c r="A8" s="1" t="s">
        <v>33</v>
      </c>
      <c r="B8" s="55">
        <f t="shared" ca="1" si="0"/>
        <v>4970334.37</v>
      </c>
      <c r="C8" s="55">
        <v>0</v>
      </c>
      <c r="D8" s="55">
        <f t="shared" ca="1" si="1"/>
        <v>0</v>
      </c>
      <c r="E8" s="55">
        <f t="shared" si="2"/>
        <v>0</v>
      </c>
      <c r="F8" s="55">
        <f t="shared" si="3"/>
        <v>0</v>
      </c>
      <c r="G8" s="56">
        <f t="shared" ca="1" si="4"/>
        <v>4970334.37</v>
      </c>
      <c r="I8" s="57"/>
      <c r="J8" s="58"/>
    </row>
    <row r="9" spans="1:10" ht="14.25" customHeight="1">
      <c r="A9" s="1" t="s">
        <v>27</v>
      </c>
      <c r="B9" s="55">
        <f t="shared" ca="1" si="0"/>
        <v>18549407.040000003</v>
      </c>
      <c r="C9" s="55">
        <v>0</v>
      </c>
      <c r="D9" s="55">
        <f t="shared" ca="1" si="1"/>
        <v>0</v>
      </c>
      <c r="E9" s="55">
        <f t="shared" ca="1" si="2"/>
        <v>0</v>
      </c>
      <c r="F9" s="55">
        <f t="shared" si="3"/>
        <v>0</v>
      </c>
      <c r="G9" s="56">
        <f t="shared" ca="1" si="4"/>
        <v>18549407.040000003</v>
      </c>
      <c r="I9" s="57" t="s">
        <v>34</v>
      </c>
      <c r="J9" s="58">
        <v>9900926.8800000008</v>
      </c>
    </row>
    <row r="10" spans="1:10" ht="14.25" customHeight="1">
      <c r="A10" s="1" t="s">
        <v>34</v>
      </c>
      <c r="B10" s="55">
        <f t="shared" ca="1" si="0"/>
        <v>9115018.9399999995</v>
      </c>
      <c r="C10" s="55">
        <v>0</v>
      </c>
      <c r="D10" s="55">
        <f t="shared" ca="1" si="1"/>
        <v>0</v>
      </c>
      <c r="E10" s="55">
        <f t="shared" ca="1" si="2"/>
        <v>0</v>
      </c>
      <c r="F10" s="55">
        <f t="shared" si="3"/>
        <v>0</v>
      </c>
      <c r="G10" s="56">
        <f t="shared" ca="1" si="4"/>
        <v>9115018.9399999995</v>
      </c>
      <c r="I10" s="57" t="s">
        <v>35</v>
      </c>
      <c r="J10" s="58">
        <v>9082789.1400000006</v>
      </c>
    </row>
    <row r="11" spans="1:10" ht="14.25" customHeight="1">
      <c r="A11" s="1" t="s">
        <v>35</v>
      </c>
      <c r="B11" s="55">
        <f t="shared" ca="1" si="0"/>
        <v>8418981.2200000007</v>
      </c>
      <c r="C11" s="55">
        <v>0</v>
      </c>
      <c r="D11" s="55">
        <f t="shared" ca="1" si="1"/>
        <v>0</v>
      </c>
      <c r="E11" s="55">
        <f t="shared" ca="1" si="2"/>
        <v>0</v>
      </c>
      <c r="F11" s="55">
        <f t="shared" si="3"/>
        <v>0</v>
      </c>
      <c r="G11" s="56">
        <f t="shared" ca="1" si="4"/>
        <v>8418981.2200000007</v>
      </c>
      <c r="I11" s="57" t="s">
        <v>32</v>
      </c>
      <c r="J11" s="58">
        <v>7932975.6470719995</v>
      </c>
    </row>
    <row r="12" spans="1:10" ht="14.25" customHeight="1">
      <c r="A12" s="1" t="s">
        <v>36</v>
      </c>
      <c r="B12" s="55">
        <f t="shared" ca="1" si="0"/>
        <v>1119397.1500000001</v>
      </c>
      <c r="C12" s="55">
        <v>0</v>
      </c>
      <c r="D12" s="55">
        <f t="shared" ca="1" si="1"/>
        <v>0</v>
      </c>
      <c r="E12" s="55">
        <f t="shared" ca="1" si="2"/>
        <v>12010.656000000003</v>
      </c>
      <c r="F12" s="55">
        <f t="shared" si="3"/>
        <v>0</v>
      </c>
      <c r="G12" s="56">
        <f t="shared" ca="1" si="4"/>
        <v>1131407.8060000001</v>
      </c>
      <c r="I12" s="57" t="s">
        <v>36</v>
      </c>
      <c r="J12" s="58">
        <v>7580244.574</v>
      </c>
    </row>
    <row r="13" spans="1:10" ht="14.25" customHeight="1">
      <c r="A13" s="2" t="s">
        <v>29</v>
      </c>
      <c r="B13" s="55">
        <v>0</v>
      </c>
      <c r="C13" s="55">
        <f ca="1">C29+C37</f>
        <v>57697281</v>
      </c>
      <c r="D13" s="55">
        <f t="shared" ca="1" si="1"/>
        <v>0</v>
      </c>
      <c r="E13" s="55">
        <f t="shared" si="2"/>
        <v>0</v>
      </c>
      <c r="F13" s="55">
        <f t="shared" si="3"/>
        <v>0</v>
      </c>
      <c r="G13" s="56">
        <f t="shared" ca="1" si="4"/>
        <v>57697281</v>
      </c>
      <c r="I13" s="57" t="s">
        <v>37</v>
      </c>
      <c r="J13" s="58">
        <v>6720000</v>
      </c>
    </row>
    <row r="14" spans="1:10" ht="14.25" customHeight="1" thickBot="1">
      <c r="A14" s="2" t="s">
        <v>38</v>
      </c>
      <c r="B14" s="55">
        <v>0</v>
      </c>
      <c r="C14" s="55">
        <v>0</v>
      </c>
      <c r="D14" s="55">
        <f t="shared" ca="1" si="1"/>
        <v>0</v>
      </c>
      <c r="E14" s="55">
        <f t="shared" si="2"/>
        <v>0</v>
      </c>
      <c r="F14" s="55">
        <f t="shared" si="3"/>
        <v>0</v>
      </c>
      <c r="G14" s="56">
        <f ca="1">SUM(B14:F14)</f>
        <v>0</v>
      </c>
      <c r="I14" s="59" t="s">
        <v>38</v>
      </c>
      <c r="J14" s="60">
        <v>2464921.6199999992</v>
      </c>
    </row>
    <row r="15" spans="1:10" ht="14.25" customHeight="1" thickBot="1">
      <c r="A15" s="16" t="s">
        <v>39</v>
      </c>
      <c r="B15" s="55">
        <f ca="1">INDEX($M$45:$M$54,MATCH(A15,$A$45:$A$54,0),1)</f>
        <v>0</v>
      </c>
      <c r="C15" s="55">
        <v>0</v>
      </c>
      <c r="D15" s="55">
        <f t="shared" ca="1" si="1"/>
        <v>0</v>
      </c>
      <c r="E15" s="55">
        <f t="shared" si="2"/>
        <v>0</v>
      </c>
      <c r="F15" s="55">
        <f t="shared" si="3"/>
        <v>0</v>
      </c>
      <c r="G15" s="56">
        <f ca="1">SUM(B15:F15)</f>
        <v>0</v>
      </c>
    </row>
    <row r="16" spans="1:10" ht="14.25" customHeight="1" thickBot="1">
      <c r="A16" s="3"/>
      <c r="B16" s="61">
        <f t="shared" ref="B16:G16" ca="1" si="5">SUM(B4:B15)</f>
        <v>77475752.840000004</v>
      </c>
      <c r="C16" s="61">
        <f t="shared" ca="1" si="5"/>
        <v>57697281</v>
      </c>
      <c r="D16" s="61">
        <f t="shared" ca="1" si="5"/>
        <v>0</v>
      </c>
      <c r="E16" s="61">
        <f t="shared" ca="1" si="5"/>
        <v>156144.03263999999</v>
      </c>
      <c r="F16" s="61">
        <f t="shared" ca="1" si="5"/>
        <v>78580</v>
      </c>
      <c r="G16" s="78">
        <f t="shared" ca="1" si="5"/>
        <v>135407757.87263998</v>
      </c>
    </row>
    <row r="17" spans="1:9" ht="14.25" customHeight="1" thickBot="1">
      <c r="B17" s="62"/>
      <c r="C17" s="62"/>
      <c r="D17" s="62"/>
      <c r="E17" s="62"/>
      <c r="F17" s="79"/>
    </row>
    <row r="18" spans="1:9" ht="14.25" customHeight="1" thickBot="1">
      <c r="A18" s="161" t="s">
        <v>40</v>
      </c>
      <c r="B18" s="162"/>
      <c r="C18" s="63">
        <f ca="1">SUM(C19:C27)</f>
        <v>78580</v>
      </c>
      <c r="E18" s="168" t="s">
        <v>24</v>
      </c>
      <c r="F18" s="169"/>
      <c r="G18" s="64">
        <f ca="1">SUM(G19:G41)</f>
        <v>156144.03263999999</v>
      </c>
      <c r="H18" s="65"/>
      <c r="I18" s="66"/>
    </row>
    <row r="19" spans="1:9" ht="14.25" customHeight="1">
      <c r="A19" s="5" t="s">
        <v>41</v>
      </c>
      <c r="B19" s="6" t="s">
        <v>28</v>
      </c>
      <c r="C19" s="7" cm="1">
        <f t="array" aca="1" ref="C19" ca="1">IFERROR(INDIRECT("'" &amp; A19 &amp; "'!A1"),)</f>
        <v>22125</v>
      </c>
      <c r="E19" s="5" t="s">
        <v>42</v>
      </c>
      <c r="F19" s="6" t="s">
        <v>28</v>
      </c>
      <c r="G19" s="8" cm="1">
        <f t="array" aca="1" ref="G19" ca="1">IFERROR(INDIRECT("'" &amp; E19 &amp; " "  &amp; F19 &amp; "'!A1"),0)</f>
        <v>0</v>
      </c>
      <c r="H19" s="9"/>
      <c r="I19" s="9"/>
    </row>
    <row r="20" spans="1:9" ht="14.25" customHeight="1">
      <c r="A20" s="10" t="s">
        <v>43</v>
      </c>
      <c r="B20" s="11" t="s">
        <v>28</v>
      </c>
      <c r="C20" s="7" cm="1">
        <f t="array" aca="1" ref="C20" ca="1">IFERROR(INDIRECT("'" &amp; A20 &amp; "'!A1"),)</f>
        <v>8640</v>
      </c>
      <c r="E20" s="10" t="s">
        <v>44</v>
      </c>
      <c r="F20" s="11" t="s">
        <v>28</v>
      </c>
      <c r="G20" s="8" cm="1">
        <f t="array" aca="1" ref="G20" ca="1">IFERROR(INDIRECT("'" &amp; E20 &amp; " "  &amp; F20 &amp; "'!A1"),0)</f>
        <v>0</v>
      </c>
      <c r="H20" s="9"/>
      <c r="I20" s="9"/>
    </row>
    <row r="21" spans="1:9" ht="14.25" customHeight="1">
      <c r="A21" s="10" t="s">
        <v>45</v>
      </c>
      <c r="B21" s="11" t="s">
        <v>28</v>
      </c>
      <c r="C21" s="7" cm="1">
        <f t="array" aca="1" ref="C21" ca="1">IFERROR(INDIRECT("'" &amp; A21 &amp; "'!A1"),)</f>
        <v>16819</v>
      </c>
      <c r="E21" s="5" t="s">
        <v>46</v>
      </c>
      <c r="F21" s="6" t="s">
        <v>28</v>
      </c>
      <c r="G21" s="8" cm="1">
        <f t="array" aca="1" ref="G21" ca="1">IFERROR(INDIRECT("'" &amp; E21 &amp; " "  &amp; F21 &amp; "'!A1"),0)</f>
        <v>0</v>
      </c>
      <c r="H21" s="9"/>
      <c r="I21" s="9"/>
    </row>
    <row r="22" spans="1:9" ht="14.25" customHeight="1">
      <c r="A22" s="10" t="s">
        <v>47</v>
      </c>
      <c r="B22" s="11" t="s">
        <v>28</v>
      </c>
      <c r="C22" s="7" cm="1">
        <f t="array" aca="1" ref="C22" ca="1">IFERROR(INDIRECT("'" &amp; A22 &amp; "'!A1"),)</f>
        <v>22922.399999999998</v>
      </c>
      <c r="E22" s="5" t="s">
        <v>48</v>
      </c>
      <c r="F22" s="6" t="s">
        <v>31</v>
      </c>
      <c r="G22" s="8" cm="1">
        <f t="array" aca="1" ref="G22" ca="1">IFERROR(INDIRECT("'" &amp; E22 &amp; " "  &amp; F22 &amp; "'!A1"),0)</f>
        <v>0</v>
      </c>
      <c r="H22" s="9"/>
      <c r="I22" s="9"/>
    </row>
    <row r="23" spans="1:9" ht="14.25" customHeight="1">
      <c r="A23" s="10" t="s">
        <v>49</v>
      </c>
      <c r="B23" s="11" t="s">
        <v>28</v>
      </c>
      <c r="C23" s="7" cm="1">
        <f t="array" aca="1" ref="C23" ca="1">IFERROR(INDIRECT("'" &amp; A23 &amp; "'!A1"),)</f>
        <v>8073.5999999999985</v>
      </c>
      <c r="E23" s="10" t="s">
        <v>42</v>
      </c>
      <c r="F23" s="11" t="s">
        <v>31</v>
      </c>
      <c r="G23" s="8" cm="1">
        <f t="array" aca="1" ref="G23" ca="1">IFERROR(INDIRECT("'" &amp; E23 &amp; " "  &amp; F23 &amp; "'!A1"),0)</f>
        <v>0</v>
      </c>
      <c r="H23" s="9"/>
      <c r="I23" s="9"/>
    </row>
    <row r="24" spans="1:9" ht="14.25" customHeight="1">
      <c r="A24" s="10" t="s">
        <v>50</v>
      </c>
      <c r="B24" s="11" t="s">
        <v>37</v>
      </c>
      <c r="C24" s="7" cm="1">
        <f t="array" aca="1" ref="C24" ca="1">IFERROR(INDIRECT("'" &amp; A24 &amp; "'!A1"),)</f>
        <v>0</v>
      </c>
      <c r="E24" s="10" t="s">
        <v>44</v>
      </c>
      <c r="F24" s="11" t="s">
        <v>31</v>
      </c>
      <c r="G24" s="8" cm="1">
        <f t="array" aca="1" ref="G24" ca="1">IFERROR(INDIRECT("'" &amp; E24 &amp; " "  &amp; F24 &amp; "'!A1"),0)</f>
        <v>0</v>
      </c>
      <c r="H24" s="9"/>
      <c r="I24" s="9"/>
    </row>
    <row r="25" spans="1:9" ht="14.25" customHeight="1">
      <c r="A25" s="10" t="s">
        <v>51</v>
      </c>
      <c r="B25" s="11" t="s">
        <v>30</v>
      </c>
      <c r="C25" s="7" cm="1">
        <f t="array" aca="1" ref="C25" ca="1">IFERROR(INDIRECT("'" &amp; A25 &amp; "'!A1"),)</f>
        <v>0</v>
      </c>
      <c r="E25" s="10" t="s">
        <v>42</v>
      </c>
      <c r="F25" s="11" t="s">
        <v>35</v>
      </c>
      <c r="G25" s="8" cm="1">
        <f t="array" aca="1" ref="G25" ca="1">IFERROR(INDIRECT("'" &amp; E25 &amp; " "  &amp; F25 &amp; "'!A1"),0)</f>
        <v>0</v>
      </c>
      <c r="H25" s="9"/>
      <c r="I25" s="9"/>
    </row>
    <row r="26" spans="1:9" ht="14.25" customHeight="1">
      <c r="A26" s="10" t="s">
        <v>52</v>
      </c>
      <c r="B26" s="11" t="s">
        <v>30</v>
      </c>
      <c r="C26" s="7" cm="1">
        <f t="array" aca="1" ref="C26" ca="1">IFERROR(INDIRECT("'" &amp; A26 &amp; "'!A1"),)</f>
        <v>0</v>
      </c>
      <c r="E26" s="10" t="s">
        <v>53</v>
      </c>
      <c r="F26" s="11" t="s">
        <v>35</v>
      </c>
      <c r="G26" s="8" cm="1">
        <f t="array" aca="1" ref="G26" ca="1">IFERROR(INDIRECT("'" &amp; E26 &amp; " "  &amp; F26 &amp; "'!t37"),0)</f>
        <v>0</v>
      </c>
      <c r="H26" s="9"/>
      <c r="I26" s="9"/>
    </row>
    <row r="27" spans="1:9" ht="14.25" customHeight="1">
      <c r="A27" s="10" t="s">
        <v>54</v>
      </c>
      <c r="B27" s="11" t="s">
        <v>30</v>
      </c>
      <c r="C27" s="7" cm="1">
        <f t="array" aca="1" ref="C27" ca="1">IFERROR(INDIRECT("'" &amp; A27 &amp; "'!A1"),)</f>
        <v>0</v>
      </c>
      <c r="E27" s="10" t="s">
        <v>55</v>
      </c>
      <c r="F27" s="11" t="s">
        <v>36</v>
      </c>
      <c r="G27" s="8" cm="1">
        <f t="array" aca="1" ref="G27" ca="1">IFERROR(INDIRECT("'" &amp; E27 &amp; " "  &amp; F27 &amp; "'!A1"),0)</f>
        <v>0</v>
      </c>
      <c r="H27" s="9"/>
      <c r="I27" s="9"/>
    </row>
    <row r="28" spans="1:9" ht="14.25" customHeight="1" thickBot="1">
      <c r="B28" s="12"/>
      <c r="C28" s="9"/>
      <c r="E28" s="10" t="s">
        <v>44</v>
      </c>
      <c r="F28" s="11" t="s">
        <v>30</v>
      </c>
      <c r="G28" s="8" cm="1">
        <f t="array" aca="1" ref="G28" ca="1">IFERROR(INDIRECT("'" &amp; E28 &amp; " "  &amp; F28 &amp; "'!A1"),0)</f>
        <v>0</v>
      </c>
      <c r="H28" s="9"/>
      <c r="I28" s="9"/>
    </row>
    <row r="29" spans="1:9" ht="14.25" customHeight="1" thickBot="1">
      <c r="A29" s="161" t="s">
        <v>29</v>
      </c>
      <c r="B29" s="162"/>
      <c r="C29" s="63">
        <f ca="1">SUM(C30:C35)</f>
        <v>47534554</v>
      </c>
      <c r="E29" s="10" t="s">
        <v>48</v>
      </c>
      <c r="F29" s="11" t="s">
        <v>30</v>
      </c>
      <c r="G29" s="8" cm="1">
        <f t="array" aca="1" ref="G29" ca="1">IFERROR(INDIRECT("'" &amp; E29 &amp; " "  &amp; F29 &amp; "'!A1"),0)</f>
        <v>0</v>
      </c>
      <c r="H29" s="9"/>
      <c r="I29" s="9"/>
    </row>
    <row r="30" spans="1:9" ht="14.25" customHeight="1">
      <c r="A30" s="157" t="s">
        <v>56</v>
      </c>
      <c r="B30" s="158"/>
      <c r="C30" s="7" cm="1">
        <f t="array" aca="1" ref="C30" ca="1">INDIRECT("'" &amp; A29 &amp; "'!F17")+68919</f>
        <v>16236409</v>
      </c>
      <c r="E30" s="10" t="s">
        <v>46</v>
      </c>
      <c r="F30" s="11" t="s">
        <v>30</v>
      </c>
      <c r="G30" s="8" cm="1">
        <f t="array" aca="1" ref="G30" ca="1">IFERROR(INDIRECT("'" &amp; E30 &amp; " "  &amp; F30 &amp; "'!A1"),0)</f>
        <v>0</v>
      </c>
      <c r="H30" s="9"/>
      <c r="I30" s="9"/>
    </row>
    <row r="31" spans="1:9" ht="14.25" customHeight="1">
      <c r="A31" s="159" t="s">
        <v>57</v>
      </c>
      <c r="B31" s="160"/>
      <c r="C31" s="8" cm="1">
        <f t="array" aca="1" ref="C31" ca="1">INDIRECT("'" &amp; A29 &amp; "'!F16")</f>
        <v>0</v>
      </c>
      <c r="E31" s="10" t="s">
        <v>42</v>
      </c>
      <c r="F31" s="11" t="s">
        <v>30</v>
      </c>
      <c r="G31" s="8" cm="1">
        <f t="array" aca="1" ref="G31" ca="1">IFERROR(INDIRECT("'" &amp; E31 &amp; " "  &amp; F31 &amp; "'!A1"),0)</f>
        <v>0</v>
      </c>
      <c r="H31" s="9"/>
      <c r="I31" s="9"/>
    </row>
    <row r="32" spans="1:9" ht="14.25" customHeight="1">
      <c r="A32" s="159" t="s">
        <v>58</v>
      </c>
      <c r="B32" s="160"/>
      <c r="C32" s="8" cm="1">
        <f t="array" aca="1" ref="C32" ca="1">INDIRECT("'" &amp; A29 &amp; "'!F18")</f>
        <v>732000</v>
      </c>
      <c r="E32" s="5" t="s">
        <v>59</v>
      </c>
      <c r="F32" s="6" t="s">
        <v>32</v>
      </c>
      <c r="G32" s="8" cm="1">
        <f t="array" aca="1" ref="G32" ca="1">IFERROR(INDIRECT("'" &amp; E32 &amp; " "  &amp; F32 &amp; "'!A1"),0)</f>
        <v>144133.37664</v>
      </c>
      <c r="H32" s="9"/>
      <c r="I32" s="9"/>
    </row>
    <row r="33" spans="1:13" ht="14.25" customHeight="1">
      <c r="A33" s="159" t="s">
        <v>60</v>
      </c>
      <c r="B33" s="160"/>
      <c r="C33" s="8" cm="1">
        <f t="array" aca="1" ref="C33" ca="1">INDIRECT("'" &amp; A29 &amp; "'!F19")</f>
        <v>2058457</v>
      </c>
      <c r="E33" s="5" t="s">
        <v>48</v>
      </c>
      <c r="F33" s="6" t="s">
        <v>32</v>
      </c>
      <c r="G33" s="8" cm="1">
        <f t="array" aca="1" ref="G33" ca="1">IFERROR(INDIRECT("'" &amp; E33 &amp; " "  &amp; F33 &amp; "'!A1"),0)</f>
        <v>0</v>
      </c>
      <c r="H33" s="9"/>
      <c r="I33" s="9"/>
    </row>
    <row r="34" spans="1:13" ht="14.25" customHeight="1">
      <c r="A34" s="159" t="s">
        <v>61</v>
      </c>
      <c r="B34" s="160"/>
      <c r="C34" s="8" cm="1">
        <f t="array" aca="1" ref="C34" ca="1">INDIRECT("'" &amp; A29 &amp; "'!F20")</f>
        <v>21892054</v>
      </c>
      <c r="E34" s="10" t="s">
        <v>44</v>
      </c>
      <c r="F34" s="11" t="s">
        <v>32</v>
      </c>
      <c r="G34" s="8" cm="1">
        <f t="array" aca="1" ref="G34" ca="1">IFERROR(INDIRECT("'" &amp; E34 &amp; " "  &amp; F34 &amp; "'!A1"),0)</f>
        <v>0</v>
      </c>
      <c r="H34" s="9"/>
      <c r="I34" s="9"/>
    </row>
    <row r="35" spans="1:13" ht="14.25" customHeight="1">
      <c r="A35" s="159" t="s">
        <v>62</v>
      </c>
      <c r="B35" s="160"/>
      <c r="C35" s="8" cm="1">
        <f t="array" aca="1" ref="C35" ca="1">INDIRECT("'" &amp; A29 &amp; "'!F21")</f>
        <v>6615634</v>
      </c>
      <c r="E35" s="10"/>
      <c r="F35" s="11"/>
      <c r="G35" s="8"/>
      <c r="H35" s="9"/>
      <c r="I35" s="9"/>
    </row>
    <row r="36" spans="1:13" ht="14.25" customHeight="1" thickBot="1">
      <c r="A36" s="13"/>
      <c r="B36" s="13"/>
      <c r="C36" s="14"/>
      <c r="E36" s="10" t="s">
        <v>46</v>
      </c>
      <c r="F36" s="11" t="s">
        <v>35</v>
      </c>
      <c r="G36" s="8" cm="1">
        <f t="array" aca="1" ref="G36" ca="1">IFERROR(INDIRECT("'" &amp; E36 &amp; " "  &amp; F36 &amp; "'!A1"),0)</f>
        <v>0</v>
      </c>
      <c r="H36" s="9"/>
      <c r="I36" s="9"/>
    </row>
    <row r="37" spans="1:13" ht="14.25" customHeight="1" thickBot="1">
      <c r="A37" s="161" t="s">
        <v>63</v>
      </c>
      <c r="B37" s="162"/>
      <c r="C37" s="63">
        <f>SUM(C38:C42)</f>
        <v>10162727</v>
      </c>
      <c r="E37" s="10" t="s">
        <v>44</v>
      </c>
      <c r="F37" s="11" t="s">
        <v>27</v>
      </c>
      <c r="G37" s="8" cm="1">
        <f t="array" aca="1" ref="G37" ca="1">IFERROR(INDIRECT("'" &amp; E37 &amp; " "  &amp; F37 &amp; "'!A1"),0)</f>
        <v>0</v>
      </c>
      <c r="H37" s="9"/>
      <c r="I37" s="9"/>
    </row>
    <row r="38" spans="1:13" ht="14.25" customHeight="1">
      <c r="A38" s="157" t="s">
        <v>64</v>
      </c>
      <c r="B38" s="158"/>
      <c r="C38" s="7">
        <f>3098507</f>
        <v>3098507</v>
      </c>
      <c r="E38" s="10" t="s">
        <v>42</v>
      </c>
      <c r="F38" s="11" t="s">
        <v>34</v>
      </c>
      <c r="G38" s="8" cm="1">
        <f t="array" aca="1" ref="G38" ca="1">IFERROR(INDIRECT("'" &amp; E38 &amp; " "  &amp; F38 &amp; "'!A1"),0)</f>
        <v>0</v>
      </c>
      <c r="H38" s="9"/>
      <c r="I38" s="9"/>
    </row>
    <row r="39" spans="1:13" ht="14.25" customHeight="1">
      <c r="A39" s="159" t="s">
        <v>36</v>
      </c>
      <c r="B39" s="160"/>
      <c r="C39" s="8">
        <v>7064220</v>
      </c>
      <c r="E39" s="10" t="s">
        <v>48</v>
      </c>
      <c r="F39" s="11" t="s">
        <v>28</v>
      </c>
      <c r="G39" s="8" cm="1">
        <f t="array" aca="1" ref="G39" ca="1">IFERROR(INDIRECT("'" &amp; E39 &amp; " "  &amp; F39 &amp; "'!A1"),0)</f>
        <v>0</v>
      </c>
      <c r="H39" s="9"/>
      <c r="I39" s="9"/>
    </row>
    <row r="40" spans="1:13" ht="14.25" customHeight="1">
      <c r="A40" s="159"/>
      <c r="B40" s="160"/>
      <c r="C40" s="8"/>
      <c r="E40" s="10" t="s">
        <v>42</v>
      </c>
      <c r="F40" s="11" t="s">
        <v>27</v>
      </c>
      <c r="G40" s="8" cm="1">
        <f t="array" aca="1" ref="G40" ca="1">IFERROR(INDIRECT("'" &amp; E40 &amp; " "  &amp; F40 &amp; "'!A1"),0)</f>
        <v>0</v>
      </c>
      <c r="H40" s="9"/>
      <c r="I40" s="9"/>
    </row>
    <row r="41" spans="1:13" ht="14.25" customHeight="1">
      <c r="A41" s="159"/>
      <c r="B41" s="160"/>
      <c r="C41" s="8"/>
      <c r="E41" s="10" t="s">
        <v>65</v>
      </c>
      <c r="F41" s="11" t="s">
        <v>36</v>
      </c>
      <c r="G41" s="8" cm="1">
        <f t="array" aca="1" ref="G41" ca="1">IFERROR(INDIRECT("'" &amp; E41 &amp; " "  &amp; F41 &amp; "'!A1"),0)</f>
        <v>12010.656000000003</v>
      </c>
      <c r="H41" s="9"/>
      <c r="I41" s="9"/>
    </row>
    <row r="42" spans="1:13" ht="14.25" customHeight="1" thickBot="1">
      <c r="A42" s="159"/>
      <c r="B42" s="160"/>
      <c r="C42" s="8"/>
      <c r="F42" s="12"/>
      <c r="G42" s="15"/>
      <c r="H42" s="9"/>
      <c r="I42" s="9"/>
    </row>
    <row r="43" spans="1:13" ht="14.25" customHeight="1" thickBot="1">
      <c r="A43" s="161" t="s">
        <v>66</v>
      </c>
      <c r="B43" s="162"/>
      <c r="C43" s="162"/>
      <c r="D43" s="162"/>
      <c r="E43" s="162"/>
      <c r="F43" s="162"/>
      <c r="G43" s="162"/>
      <c r="H43" s="162"/>
      <c r="I43" s="162"/>
      <c r="J43" s="163"/>
      <c r="K43" s="154">
        <f ca="1">SUM(M45:M54)</f>
        <v>77475752.840000004</v>
      </c>
      <c r="L43" s="155"/>
      <c r="M43" s="156"/>
    </row>
    <row r="44" spans="1:13" ht="14.25" customHeight="1" thickBot="1">
      <c r="A44" s="3"/>
      <c r="B44" s="50" t="s">
        <v>67</v>
      </c>
      <c r="C44" s="50" t="s">
        <v>68</v>
      </c>
      <c r="D44" s="50" t="s">
        <v>69</v>
      </c>
      <c r="E44" s="50" t="s">
        <v>70</v>
      </c>
      <c r="F44" s="50" t="s">
        <v>71</v>
      </c>
      <c r="G44" s="67" t="s">
        <v>53</v>
      </c>
      <c r="H44" s="67" t="s">
        <v>72</v>
      </c>
      <c r="I44" s="67" t="s">
        <v>73</v>
      </c>
      <c r="J44" s="68" t="s">
        <v>74</v>
      </c>
      <c r="K44" s="68" t="s">
        <v>75</v>
      </c>
      <c r="L44" s="68" t="s">
        <v>76</v>
      </c>
      <c r="M44" s="69" t="s">
        <v>77</v>
      </c>
    </row>
    <row r="45" spans="1:13" ht="14.25" customHeight="1">
      <c r="A45" s="70" t="s">
        <v>28</v>
      </c>
      <c r="B45" s="71" cm="1">
        <f t="array" aca="1" ref="B45" ca="1">IFERROR(INDIRECT("'" &amp; $A45 &amp; " " &amp; B$44 &amp; "'!T37"),)</f>
        <v>78394.960000000006</v>
      </c>
      <c r="C45" s="71" cm="1">
        <f t="array" aca="1" ref="C45" ca="1">IFERROR(INDIRECT("'" &amp; $A45 &amp; " " &amp; C$44 &amp; "'!T37"),)</f>
        <v>427145.58</v>
      </c>
      <c r="D45" s="71" cm="1">
        <f t="array" aca="1" ref="D45" ca="1">IFERROR(INDIRECT("'" &amp; $A45 &amp; " " &amp; D$44 &amp; "'!T37"),)</f>
        <v>5823785.6100000003</v>
      </c>
      <c r="E45" s="71" cm="1">
        <f t="array" aca="1" ref="E45" ca="1">IFERROR(INDIRECT("'" &amp; $A45 &amp; " " &amp; E$44 &amp; "'!T37"),)</f>
        <v>0</v>
      </c>
      <c r="F45" s="71" cm="1">
        <f t="array" aca="1" ref="F45" ca="1">IFERROR(INDIRECT("'" &amp; $A45 &amp; " " &amp; F$44 &amp; "'!T37"),)</f>
        <v>0</v>
      </c>
      <c r="G45" s="71" cm="1">
        <f t="array" aca="1" ref="G45" ca="1">IFERROR(INDIRECT("'" &amp; $A45 &amp; " " &amp; G$44 &amp; "'!T37"),)</f>
        <v>0</v>
      </c>
      <c r="H45" s="71" cm="1">
        <f t="array" aca="1" ref="H45" ca="1">IFERROR(INDIRECT("'" &amp; $A45 &amp; " " &amp; H$44 &amp; "'!T37"),)</f>
        <v>0</v>
      </c>
      <c r="I45" s="71" cm="1">
        <f t="array" aca="1" ref="I45" ca="1">IFERROR(INDIRECT("'" &amp; $A45 &amp; " " &amp; I$44 &amp; "'!T37"),)</f>
        <v>0</v>
      </c>
      <c r="J45" s="71" cm="1">
        <f t="array" aca="1" ref="J45" ca="1">IFERROR(INDIRECT("'" &amp; $A45 &amp; " " &amp; J$44 &amp; "'!T37"),)</f>
        <v>0</v>
      </c>
      <c r="K45" s="71" cm="1">
        <f t="array" aca="1" ref="K45" ca="1">IFERROR(INDIRECT("'" &amp; $A45 &amp; " " &amp; K$44 &amp; "'!G12"),)</f>
        <v>0</v>
      </c>
      <c r="L45" s="71" cm="1">
        <f t="array" aca="1" ref="L45" ca="1">IFERROR(INDIRECT("'" &amp; $A45 &amp; " " &amp; L$44 &amp; "'!F14"),)</f>
        <v>0</v>
      </c>
      <c r="M45" s="72">
        <f ca="1">SUM(B45:L45)</f>
        <v>6329326.1500000004</v>
      </c>
    </row>
    <row r="46" spans="1:13" ht="14.25" customHeight="1">
      <c r="A46" s="16" t="s">
        <v>30</v>
      </c>
      <c r="B46" s="71" cm="1">
        <f t="array" aca="1" ref="B46" ca="1">IFERROR(INDIRECT("'" &amp; $A46 &amp; " " &amp; B$44 &amp; "'!T37"),)</f>
        <v>39526.160000000003</v>
      </c>
      <c r="C46" s="71" cm="1">
        <f t="array" aca="1" ref="C46" ca="1">IFERROR(INDIRECT("'" &amp; $A46 &amp; " " &amp; C$44 &amp; "'!T37"),)</f>
        <v>19672.87</v>
      </c>
      <c r="D46" s="71" cm="1">
        <f t="array" aca="1" ref="D46" ca="1">IFERROR(INDIRECT("'" &amp; $A46 &amp; " " &amp; D$44 &amp; "'!T37"),)</f>
        <v>10512619.48</v>
      </c>
      <c r="E46" s="71" cm="1">
        <f t="array" aca="1" ref="E46" ca="1">IFERROR(INDIRECT("'" &amp; $A46 &amp; " " &amp; E$44 &amp; "'!T37"),)</f>
        <v>0</v>
      </c>
      <c r="F46" s="71" cm="1">
        <f t="array" aca="1" ref="F46" ca="1">IFERROR(INDIRECT("'" &amp; $A46 &amp; " " &amp; F$44 &amp; "'!T37"),)</f>
        <v>0</v>
      </c>
      <c r="G46" s="71" cm="1">
        <f t="array" aca="1" ref="G46" ca="1">IFERROR(INDIRECT("'" &amp; $A46 &amp; " " &amp; G$44 &amp; "'!T37"),)</f>
        <v>0</v>
      </c>
      <c r="H46" s="71" cm="1">
        <f t="array" aca="1" ref="H46" ca="1">IFERROR(INDIRECT("'" &amp; $A46 &amp; " " &amp; H$44 &amp; "'!T37"),)</f>
        <v>0</v>
      </c>
      <c r="I46" s="71" cm="1">
        <f t="array" aca="1" ref="I46" ca="1">IFERROR(INDIRECT("'" &amp; $A46 &amp; " " &amp; I$44 &amp; "'!T37"),)</f>
        <v>0</v>
      </c>
      <c r="J46" s="71" cm="1">
        <f t="array" aca="1" ref="J46" ca="1">IFERROR(INDIRECT("'" &amp; $A46 &amp; " " &amp; J$44 &amp; "'!T37"),)</f>
        <v>0</v>
      </c>
      <c r="K46" s="71" cm="1">
        <f t="array" aca="1" ref="K46" ca="1">IFERROR(INDIRECT("'" &amp; $A46 &amp; " " &amp; K$44 &amp; "'!G12"),)</f>
        <v>0</v>
      </c>
      <c r="L46" s="71" cm="1">
        <f t="array" aca="1" ref="L46" ca="1">IFERROR(INDIRECT("'" &amp; $A46 &amp; " " &amp; L$44 &amp; "'!F14"),)</f>
        <v>0</v>
      </c>
      <c r="M46" s="72">
        <f t="shared" ref="M46:M54" ca="1" si="6">SUM(B46:L46)</f>
        <v>10571818.51</v>
      </c>
    </row>
    <row r="47" spans="1:13" ht="14.25" customHeight="1">
      <c r="A47" s="16" t="s">
        <v>31</v>
      </c>
      <c r="B47" s="71" cm="1">
        <f t="array" aca="1" ref="B47" ca="1">IFERROR(INDIRECT("'" &amp; $A47 &amp; " " &amp; B$44 &amp; "'!T37"),)</f>
        <v>3855.13</v>
      </c>
      <c r="C47" s="71" cm="1">
        <f t="array" aca="1" ref="C47" ca="1">IFERROR(INDIRECT("'" &amp; $A47 &amp; " " &amp; C$44 &amp; "'!T37"),)</f>
        <v>815368</v>
      </c>
      <c r="D47" s="71" cm="1">
        <f t="array" aca="1" ref="D47" ca="1">IFERROR(INDIRECT("'" &amp; $A47 &amp; " " &amp; D$44 &amp; "'!T37"),)</f>
        <v>11143270.560000001</v>
      </c>
      <c r="E47" s="71" cm="1">
        <f t="array" aca="1" ref="E47" ca="1">IFERROR(INDIRECT("'" &amp; $A47 &amp; " " &amp; E$44 &amp; "'!T37"),)</f>
        <v>0</v>
      </c>
      <c r="F47" s="71" cm="1">
        <f t="array" aca="1" ref="F47" ca="1">IFERROR(INDIRECT("'" &amp; $A47 &amp; " " &amp; F$44 &amp; "'!T37"),)</f>
        <v>0</v>
      </c>
      <c r="G47" s="71" cm="1">
        <f t="array" aca="1" ref="G47" ca="1">IFERROR(INDIRECT("'" &amp; $A47 &amp; " " &amp; G$44 &amp; "'!T37"),)</f>
        <v>0</v>
      </c>
      <c r="H47" s="71" cm="1">
        <f t="array" aca="1" ref="H47" ca="1">IFERROR(INDIRECT("'" &amp; $A47 &amp; " " &amp; H$44 &amp; "'!T37"),)</f>
        <v>0</v>
      </c>
      <c r="I47" s="71" cm="1">
        <f t="array" aca="1" ref="I47" ca="1">IFERROR(INDIRECT("'" &amp; $A47 &amp; " " &amp; I$44 &amp; "'!T37"),)</f>
        <v>0</v>
      </c>
      <c r="J47" s="71" cm="1">
        <f t="array" aca="1" ref="J47" ca="1">IFERROR(INDIRECT("'" &amp; $A47 &amp; " " &amp; J$44 &amp; "'!T37"),)</f>
        <v>92998.83</v>
      </c>
      <c r="K47" s="71" cm="1">
        <f t="array" aca="1" ref="K47" ca="1">IFERROR(INDIRECT("'" &amp; $A47 &amp; " " &amp; K$44 &amp; "'!G12"),)</f>
        <v>158600</v>
      </c>
      <c r="L47" s="71" cm="1">
        <f t="array" aca="1" ref="L47" ca="1">IFERROR(INDIRECT("'" &amp; $A47 &amp; " " &amp; L$44 &amp; "'!F14"),)</f>
        <v>0</v>
      </c>
      <c r="M47" s="72">
        <f t="shared" ca="1" si="6"/>
        <v>12214092.520000001</v>
      </c>
    </row>
    <row r="48" spans="1:13" ht="14.25" customHeight="1">
      <c r="A48" s="16" t="s">
        <v>32</v>
      </c>
      <c r="B48" s="71" cm="1">
        <f t="array" aca="1" ref="B48" ca="1">IFERROR(INDIRECT("'" &amp; $A48 &amp; " " &amp; B$44 &amp; "'!T37"),)</f>
        <v>20219.509999999998</v>
      </c>
      <c r="C48" s="71" cm="1">
        <f t="array" aca="1" ref="C48" ca="1">IFERROR(INDIRECT("'" &amp; $A48 &amp; " " &amp; C$44 &amp; "'!T37"),)</f>
        <v>28620.03</v>
      </c>
      <c r="D48" s="71" cm="1">
        <f t="array" aca="1" ref="D48" ca="1">IFERROR(INDIRECT("'" &amp; $A48 &amp; " " &amp; D$44 &amp; "'!T37"),)</f>
        <v>4297197.3499999996</v>
      </c>
      <c r="E48" s="71" cm="1">
        <f t="array" aca="1" ref="E48" ca="1">IFERROR(INDIRECT("'" &amp; $A48 &amp; " " &amp; E$44 &amp; "'!T37"),)</f>
        <v>0</v>
      </c>
      <c r="F48" s="71" cm="1">
        <f t="array" aca="1" ref="F48" ca="1">IFERROR(INDIRECT("'" &amp; $A48 &amp; " " &amp; F$44 &amp; "'!T37"),)</f>
        <v>0</v>
      </c>
      <c r="G48" s="71" cm="1">
        <f t="array" aca="1" ref="G48" ca="1">IFERROR(INDIRECT("'" &amp; $A48 &amp; " " &amp; G$44 &amp; "'!T37"),)</f>
        <v>0</v>
      </c>
      <c r="H48" s="71" cm="1">
        <f t="array" aca="1" ref="H48" ca="1">IFERROR(INDIRECT("'" &amp; $A48 &amp; " " &amp; H$44 &amp; "'!T37"),)</f>
        <v>0</v>
      </c>
      <c r="I48" s="71" cm="1">
        <f t="array" aca="1" ref="I48" ca="1">IFERROR(INDIRECT("'" &amp; $A48 &amp; " " &amp; I$44 &amp; "'!T37"),)</f>
        <v>1841340.05</v>
      </c>
      <c r="J48" s="71" cm="1">
        <f t="array" aca="1" ref="J48" ca="1">IFERROR(INDIRECT("'" &amp; $A48 &amp; " " &amp; J$44 &amp; "'!T37"),)</f>
        <v>0</v>
      </c>
      <c r="K48" s="71" cm="1">
        <f t="array" aca="1" ref="K48" ca="1">IFERROR(INDIRECT("'" &amp; $A48 &amp; " " &amp; K$44 &amp; "'!G12"),)</f>
        <v>0</v>
      </c>
      <c r="L48" s="71" cm="1">
        <f t="array" aca="1" ref="L48" ca="1">IFERROR(INDIRECT("'" &amp; $A48 &amp; " " &amp; L$44 &amp; "'!F14"),)</f>
        <v>0</v>
      </c>
      <c r="M48" s="72">
        <f t="shared" ca="1" si="6"/>
        <v>6187376.9399999995</v>
      </c>
    </row>
    <row r="49" spans="1:13" ht="14.25" customHeight="1">
      <c r="A49" s="16" t="s">
        <v>33</v>
      </c>
      <c r="B49" s="71" cm="1">
        <f t="array" aca="1" ref="B49" ca="1">IFERROR(INDIRECT("'" &amp; $A49 &amp; " " &amp; B$44 &amp; "'!T37"),)</f>
        <v>0</v>
      </c>
      <c r="C49" s="71" cm="1">
        <f t="array" aca="1" ref="C49" ca="1">IFERROR(INDIRECT("'" &amp; $A49 &amp; " " &amp; C$44 &amp; "'!T37"),)</f>
        <v>0</v>
      </c>
      <c r="D49" s="71" cm="1">
        <f t="array" aca="1" ref="D49" ca="1">IFERROR(INDIRECT("'" &amp; $A49 &amp; " " &amp; D$44 &amp; "'!T37"),)</f>
        <v>0</v>
      </c>
      <c r="E49" s="71" cm="1">
        <f t="array" aca="1" ref="E49" ca="1">IFERROR(INDIRECT("'" &amp; $A49 &amp; " " &amp; E$44 &amp; "'!T37"),)</f>
        <v>0</v>
      </c>
      <c r="F49" s="71" cm="1">
        <f t="array" aca="1" ref="F49" ca="1">IFERROR(INDIRECT("'" &amp; $A49 &amp; " " &amp; F$44 &amp; "'!T37"),)</f>
        <v>0</v>
      </c>
      <c r="G49" s="71" cm="1">
        <f t="array" aca="1" ref="G49" ca="1">IFERROR(INDIRECT("'" &amp; $A49 &amp; " " &amp; G$44 &amp; "'!T37"),)</f>
        <v>0</v>
      </c>
      <c r="H49" s="71" cm="1">
        <f t="array" aca="1" ref="H49" ca="1">IFERROR(INDIRECT("'" &amp; $A49 &amp; " " &amp; H$44 &amp; "'!T37"),)</f>
        <v>0</v>
      </c>
      <c r="I49" s="71" cm="1">
        <f t="array" aca="1" ref="I49" ca="1">IFERROR(INDIRECT("'" &amp; $A49 &amp; " " &amp; I$44 &amp; "'!T37"),)</f>
        <v>4970334.37</v>
      </c>
      <c r="J49" s="71" cm="1">
        <f t="array" aca="1" ref="J49" ca="1">IFERROR(INDIRECT("'" &amp; $A49 &amp; " " &amp; J$44 &amp; "'!T37"),)</f>
        <v>0</v>
      </c>
      <c r="K49" s="71" cm="1">
        <f t="array" aca="1" ref="K49" ca="1">IFERROR(INDIRECT("'" &amp; $A49 &amp; " " &amp; K$44 &amp; "'!G12"),)</f>
        <v>0</v>
      </c>
      <c r="L49" s="71" cm="1">
        <f t="array" aca="1" ref="L49" ca="1">IFERROR(INDIRECT("'" &amp; $A49 &amp; " " &amp; L$44 &amp; "'!F14"),)</f>
        <v>0</v>
      </c>
      <c r="M49" s="72">
        <f t="shared" ca="1" si="6"/>
        <v>4970334.37</v>
      </c>
    </row>
    <row r="50" spans="1:13" ht="14.25" customHeight="1">
      <c r="A50" s="16" t="s">
        <v>27</v>
      </c>
      <c r="B50" s="71" cm="1">
        <f t="array" aca="1" ref="B50" ca="1">IFERROR(INDIRECT("'" &amp; $A50 &amp; " " &amp; B$44 &amp; "'!T37"),)</f>
        <v>0</v>
      </c>
      <c r="C50" s="71" cm="1">
        <f t="array" aca="1" ref="C50" ca="1">IFERROR(INDIRECT("'" &amp; $A50 &amp; " " &amp; C$44 &amp; "'!T37"),)</f>
        <v>12181.03</v>
      </c>
      <c r="D50" s="71" cm="1">
        <f t="array" aca="1" ref="D50" ca="1">IFERROR(INDIRECT("'" &amp; $A50 &amp; " " &amp; D$44 &amp; "'!T37"),)</f>
        <v>18442066.010000002</v>
      </c>
      <c r="E50" s="71" cm="1">
        <f t="array" aca="1" ref="E50" ca="1">IFERROR(INDIRECT("'" &amp; $A50 &amp; " " &amp; E$44 &amp; "'!T37"),)</f>
        <v>0</v>
      </c>
      <c r="F50" s="71" cm="1">
        <f t="array" aca="1" ref="F50" ca="1">IFERROR(INDIRECT("'" &amp; $A50 &amp; " " &amp; F$44 &amp; "'!T37"),)</f>
        <v>0</v>
      </c>
      <c r="G50" s="71" cm="1">
        <f t="array" aca="1" ref="G50" ca="1">IFERROR(INDIRECT("'" &amp; $A50 &amp; " " &amp; G$44 &amp; "'!T37"),)</f>
        <v>0</v>
      </c>
      <c r="H50" s="71" cm="1">
        <f t="array" aca="1" ref="H50" ca="1">IFERROR(INDIRECT("'" &amp; $A50 &amp; " " &amp; H$44 &amp; "'!T37"),)</f>
        <v>0</v>
      </c>
      <c r="I50" s="71" cm="1">
        <f t="array" aca="1" ref="I50" ca="1">IFERROR(INDIRECT("'" &amp; $A50 &amp; " " &amp; I$44 &amp; "'!T37"),)</f>
        <v>0</v>
      </c>
      <c r="J50" s="71" cm="1">
        <f t="array" aca="1" ref="J50" ca="1">IFERROR(INDIRECT("'" &amp; $A50 &amp; " " &amp; J$44 &amp; "'!T37"),)</f>
        <v>0</v>
      </c>
      <c r="K50" s="71" cm="1">
        <f t="array" aca="1" ref="K50" ca="1">IFERROR(INDIRECT("'" &amp; $A50 &amp; " " &amp; K$44 &amp; "'!G12"),)</f>
        <v>95160</v>
      </c>
      <c r="L50" s="71" cm="1">
        <f t="array" aca="1" ref="L50" ca="1">IFERROR(INDIRECT("'" &amp; $A50 &amp; " " &amp; L$44 &amp; "'!F14"),)</f>
        <v>0</v>
      </c>
      <c r="M50" s="72">
        <f t="shared" ca="1" si="6"/>
        <v>18549407.040000003</v>
      </c>
    </row>
    <row r="51" spans="1:13" ht="14.25" customHeight="1">
      <c r="A51" s="16" t="s">
        <v>34</v>
      </c>
      <c r="B51" s="71" cm="1">
        <f t="array" aca="1" ref="B51" ca="1">IFERROR(INDIRECT("'" &amp; $A51 &amp; " " &amp; B$44 &amp; "'!T37"),)</f>
        <v>0</v>
      </c>
      <c r="C51" s="71" cm="1">
        <f t="array" aca="1" ref="C51" ca="1">IFERROR(INDIRECT("'" &amp; $A51 &amp; " " &amp; C$44 &amp; "'!T37"),)</f>
        <v>0</v>
      </c>
      <c r="D51" s="71" cm="1">
        <f t="array" aca="1" ref="D51" ca="1">IFERROR(INDIRECT("'" &amp; $A51 &amp; " " &amp; D$44 &amp; "'!T37"),)</f>
        <v>9095498.9399999995</v>
      </c>
      <c r="E51" s="71" cm="1">
        <f t="array" aca="1" ref="E51" ca="1">IFERROR(INDIRECT("'" &amp; $A51 &amp; " " &amp; E$44 &amp; "'!T37"),)</f>
        <v>0</v>
      </c>
      <c r="F51" s="71" cm="1">
        <f t="array" aca="1" ref="F51" ca="1">IFERROR(INDIRECT("'" &amp; $A51 &amp; " " &amp; F$44 &amp; "'!T37"),)</f>
        <v>0</v>
      </c>
      <c r="G51" s="71" cm="1">
        <f t="array" aca="1" ref="G51" ca="1">IFERROR(INDIRECT("'" &amp; $A51 &amp; " " &amp; G$44 &amp; "'!T37"),)</f>
        <v>0</v>
      </c>
      <c r="H51" s="71" cm="1">
        <f t="array" aca="1" ref="H51" ca="1">IFERROR(INDIRECT("'" &amp; $A51 &amp; " " &amp; H$44 &amp; "'!T37"),)</f>
        <v>0</v>
      </c>
      <c r="I51" s="71" cm="1">
        <f t="array" aca="1" ref="I51" ca="1">IFERROR(INDIRECT("'" &amp; $A51 &amp; " " &amp; I$44 &amp; "'!T37"),)</f>
        <v>0</v>
      </c>
      <c r="J51" s="71" cm="1">
        <f t="array" aca="1" ref="J51" ca="1">IFERROR(INDIRECT("'" &amp; $A51 &amp; " " &amp; J$44 &amp; "'!T37"),)</f>
        <v>0</v>
      </c>
      <c r="K51" s="71" cm="1">
        <f t="array" aca="1" ref="K51" ca="1">IFERROR(INDIRECT("'" &amp; $A51 &amp; " " &amp; K$44 &amp; "'!G12"),)</f>
        <v>19520</v>
      </c>
      <c r="L51" s="71" cm="1">
        <f t="array" aca="1" ref="L51" ca="1">IFERROR(INDIRECT("'" &amp; $A51 &amp; " " &amp; L$44 &amp; "'!F14"),)</f>
        <v>0</v>
      </c>
      <c r="M51" s="72">
        <f t="shared" ca="1" si="6"/>
        <v>9115018.9399999995</v>
      </c>
    </row>
    <row r="52" spans="1:13" ht="14.25" customHeight="1">
      <c r="A52" s="16" t="s">
        <v>35</v>
      </c>
      <c r="B52" s="71" cm="1">
        <f t="array" aca="1" ref="B52" ca="1">IFERROR(INDIRECT("'" &amp; $A52 &amp; " " &amp; B$44 &amp; "'!T37"),)</f>
        <v>130470.78</v>
      </c>
      <c r="C52" s="71" cm="1">
        <f t="array" aca="1" ref="C52" ca="1">IFERROR(INDIRECT("'" &amp; $A52 &amp; " " &amp; C$44 &amp; "'!T37"),)</f>
        <v>0</v>
      </c>
      <c r="D52" s="71" cm="1">
        <f t="array" aca="1" ref="D52" ca="1">IFERROR(INDIRECT("'" &amp; $A52 &amp; " " &amp; D$44 &amp; "'!T37"),)</f>
        <v>7425335.75</v>
      </c>
      <c r="E52" s="71" cm="1">
        <f t="array" aca="1" ref="E52" ca="1">IFERROR(INDIRECT("'" &amp; $A52 &amp; " " &amp; E$44 &amp; "'!T37"),)</f>
        <v>0</v>
      </c>
      <c r="F52" s="71" cm="1">
        <f t="array" aca="1" ref="F52" ca="1">IFERROR(INDIRECT("'" &amp; $A52 &amp; " " &amp; F$44 &amp; "'!T37"),)</f>
        <v>0</v>
      </c>
      <c r="G52" s="71" cm="1">
        <f t="array" aca="1" ref="G52" ca="1">IFERROR(INDIRECT("'" &amp; $A52 &amp; " " &amp; G$44 &amp; "'!T37"),)</f>
        <v>728077.99</v>
      </c>
      <c r="H52" s="71" cm="1">
        <f t="array" aca="1" ref="H52" ca="1">IFERROR(INDIRECT("'" &amp; $A52 &amp; " " &amp; H$44 &amp; "'!T37"),)</f>
        <v>0</v>
      </c>
      <c r="I52" s="71" cm="1">
        <f t="array" aca="1" ref="I52" ca="1">IFERROR(INDIRECT("'" &amp; $A52 &amp; " " &amp; I$44 &amp; "'!T37"),)</f>
        <v>0</v>
      </c>
      <c r="J52" s="71" cm="1">
        <f t="array" aca="1" ref="J52" ca="1">IFERROR(INDIRECT("'" &amp; $A52 &amp; " " &amp; J$44 &amp; "'!T37"),)</f>
        <v>0</v>
      </c>
      <c r="K52" s="71" cm="1">
        <f t="array" aca="1" ref="K52" ca="1">IFERROR(INDIRECT("'" &amp; $A52 &amp; " " &amp; K$44 &amp; "'!G12"),)</f>
        <v>46360</v>
      </c>
      <c r="L52" s="71" cm="1">
        <f t="array" aca="1" ref="L52" ca="1">IFERROR(INDIRECT("'" &amp; $A52 &amp; " " &amp; L$44 &amp; "'!F14"),)</f>
        <v>88736.7</v>
      </c>
      <c r="M52" s="72">
        <f t="shared" ca="1" si="6"/>
        <v>8418981.2200000007</v>
      </c>
    </row>
    <row r="53" spans="1:13" ht="14.25" customHeight="1">
      <c r="A53" s="16" t="s">
        <v>36</v>
      </c>
      <c r="B53" s="71" cm="1">
        <f t="array" aca="1" ref="B53" ca="1">IFERROR(INDIRECT("'" &amp; $A53 &amp; " " &amp; B$44 &amp; "'!T37"),)</f>
        <v>0</v>
      </c>
      <c r="C53" s="71" cm="1">
        <f t="array" aca="1" ref="C53" ca="1">IFERROR(INDIRECT("'" &amp; $A53 &amp; " " &amp; C$44 &amp; "'!T37"),)</f>
        <v>0</v>
      </c>
      <c r="D53" s="71" cm="1">
        <f t="array" aca="1" ref="D53" ca="1">IFERROR(INDIRECT("'" &amp; $A53 &amp; " " &amp; D$44 &amp; "'!T37"),)</f>
        <v>0</v>
      </c>
      <c r="E53" s="71" cm="1">
        <f t="array" aca="1" ref="E53" ca="1">IFERROR(INDIRECT("'" &amp; $A53 &amp; " " &amp; E$44 &amp; "'!T37"),)</f>
        <v>0</v>
      </c>
      <c r="F53" s="71" cm="1">
        <f t="array" aca="1" ref="F53" ca="1">IFERROR(INDIRECT("'" &amp; $A53 &amp; " " &amp; F$44 &amp; "'!T37"),)</f>
        <v>1111469.8400000001</v>
      </c>
      <c r="G53" s="71" cm="1">
        <f t="array" aca="1" ref="G53" ca="1">IFERROR(INDIRECT("'" &amp; $A53 &amp; " " &amp; G$44 &amp; "'!T37"),)</f>
        <v>0</v>
      </c>
      <c r="H53" s="71" cm="1">
        <f t="array" aca="1" ref="H53" ca="1">IFERROR(INDIRECT("'" &amp; $A53 &amp; " " &amp; H$44 &amp; "'!T37"),)</f>
        <v>0</v>
      </c>
      <c r="I53" s="71" cm="1">
        <f t="array" aca="1" ref="I53" ca="1">IFERROR(INDIRECT("'" &amp; $A53 &amp; " " &amp; I$44 &amp; "'!T37"),)</f>
        <v>0</v>
      </c>
      <c r="J53" s="71" cm="1">
        <f t="array" aca="1" ref="J53" ca="1">IFERROR(INDIRECT("'" &amp; $A53 &amp; " " &amp; J$44 &amp; "'!T37"),)</f>
        <v>607.30999999999995</v>
      </c>
      <c r="K53" s="71" cm="1">
        <f t="array" aca="1" ref="K53" ca="1">IFERROR(INDIRECT("'" &amp; $A53 &amp; " " &amp; K$44 &amp; "'!G12"),)</f>
        <v>7320</v>
      </c>
      <c r="L53" s="71" cm="1">
        <f t="array" aca="1" ref="L53" ca="1">IFERROR(INDIRECT("'" &amp; $A53 &amp; " " &amp; L$44 &amp; "'!F14"),)</f>
        <v>0</v>
      </c>
      <c r="M53" s="72">
        <f t="shared" ca="1" si="6"/>
        <v>1119397.1500000001</v>
      </c>
    </row>
    <row r="54" spans="1:13" ht="14.25" customHeight="1">
      <c r="A54" s="16" t="s">
        <v>39</v>
      </c>
      <c r="B54" s="71" cm="1">
        <f t="array" aca="1" ref="B54" ca="1">IFERROR(INDIRECT("'" &amp; $A54 &amp; "'!F16"),) + IFERROR(INDIRECT("'" &amp; $A54 &amp; "'!F17"),)</f>
        <v>0</v>
      </c>
      <c r="C54" s="71" cm="1">
        <f t="array" aca="1" ref="C54" ca="1">IFERROR(INDIRECT("'" &amp; $A54 &amp; "'!F16"),) + IFERROR(INDIRECT("'" &amp; $A54 &amp; "'!F17"),)</f>
        <v>0</v>
      </c>
      <c r="D54" s="71" cm="1">
        <f t="array" aca="1" ref="D54" ca="1">IFERROR(INDIRECT("'" &amp; $A54 &amp; "'!F16"),) + IFERROR(INDIRECT("'" &amp; $A54 &amp; "'!F17"),)</f>
        <v>0</v>
      </c>
      <c r="E54" s="71" cm="1">
        <f t="array" aca="1" ref="E54" ca="1">IFERROR(INDIRECT("'" &amp; $A54 &amp; "'!F16"),) + IFERROR(INDIRECT("'" &amp; $A54 &amp; "'!F17"),)</f>
        <v>0</v>
      </c>
      <c r="F54" s="71" cm="1">
        <f t="array" aca="1" ref="F54" ca="1">IFERROR(INDIRECT("'" &amp; $A54 &amp; "'!F16"),) + IFERROR(INDIRECT("'" &amp; $A54 &amp; "'!F17"),)</f>
        <v>0</v>
      </c>
      <c r="G54" s="71" cm="1">
        <f t="array" aca="1" ref="G54" ca="1">IFERROR(INDIRECT("'" &amp; $A54 &amp; "'!F16"),) + IFERROR(INDIRECT("'" &amp; $A54 &amp; "'!F17"),)</f>
        <v>0</v>
      </c>
      <c r="H54" s="71" cm="1">
        <f t="array" aca="1" ref="H54" ca="1">IFERROR(INDIRECT("'" &amp; $A54 &amp; "'!F16"),) + IFERROR(INDIRECT("'" &amp; $A54 &amp; "'!F17"),)</f>
        <v>0</v>
      </c>
      <c r="I54" s="71" cm="1">
        <f t="array" aca="1" ref="I54" ca="1">IFERROR(INDIRECT("'" &amp; $A54 &amp; "'!F16"),) + IFERROR(INDIRECT("'" &amp; $A54 &amp; "'!F17"),)</f>
        <v>0</v>
      </c>
      <c r="J54" s="71" cm="1">
        <f t="array" aca="1" ref="J54" ca="1">IFERROR(INDIRECT("'" &amp; $A54 &amp; "'!F16"),) + IFERROR(INDIRECT("'" &amp; $A54 &amp; "'!F17"),)</f>
        <v>0</v>
      </c>
      <c r="K54" s="71" cm="1">
        <f t="array" aca="1" ref="K54" ca="1">IFERROR(INDIRECT("'" &amp; $A54 &amp; " " &amp; K$44 &amp; "'!G12"),)</f>
        <v>0</v>
      </c>
      <c r="L54" s="71" cm="1">
        <f t="array" aca="1" ref="L54" ca="1">IFERROR(INDIRECT("'" &amp; $A54 &amp; " " &amp; L$44 &amp; "'!F14"),)</f>
        <v>0</v>
      </c>
      <c r="M54" s="72">
        <f t="shared" ca="1" si="6"/>
        <v>0</v>
      </c>
    </row>
    <row r="55" spans="1:13" ht="14.25" customHeight="1" thickBot="1">
      <c r="A55" s="66"/>
      <c r="B55" s="73"/>
      <c r="C55" s="73"/>
      <c r="D55" s="73"/>
      <c r="E55" s="73"/>
      <c r="F55" s="73"/>
      <c r="G55" s="73"/>
      <c r="H55" s="73"/>
      <c r="I55" s="73"/>
      <c r="J55" s="74"/>
    </row>
    <row r="56" spans="1:13" ht="14.25" customHeight="1" thickBot="1">
      <c r="A56" s="75" t="s">
        <v>23</v>
      </c>
      <c r="B56" s="63">
        <f ca="1">SUM(B57:B67)</f>
        <v>0</v>
      </c>
    </row>
    <row r="57" spans="1:13" ht="14.25" customHeight="1">
      <c r="A57" s="70" t="s">
        <v>28</v>
      </c>
      <c r="B57" s="55" cm="1">
        <f t="array" aca="1" ref="B57" ca="1">IFERROR(INDIRECT("'РВ " &amp; A57 &amp; "'!O38"),0)</f>
        <v>0</v>
      </c>
    </row>
    <row r="58" spans="1:13" ht="14.25" customHeight="1">
      <c r="A58" s="16" t="s">
        <v>30</v>
      </c>
      <c r="B58" s="55" cm="1">
        <f t="array" aca="1" ref="B58" ca="1">IFERROR(INDIRECT("'РВ " &amp; A58 &amp; "'!O38"),0)</f>
        <v>0</v>
      </c>
    </row>
    <row r="59" spans="1:13" ht="14.25" customHeight="1">
      <c r="A59" s="16" t="s">
        <v>38</v>
      </c>
      <c r="B59" s="55" cm="1">
        <f t="array" aca="1" ref="B59" ca="1">IFERROR(INDIRECT("'РВ " &amp; A59 &amp; "'!O38"),0)</f>
        <v>0</v>
      </c>
    </row>
    <row r="60" spans="1:13" ht="14.25" customHeight="1">
      <c r="A60" s="16" t="s">
        <v>31</v>
      </c>
      <c r="B60" s="55" cm="1">
        <f t="array" aca="1" ref="B60" ca="1">IFERROR(INDIRECT("'РВ " &amp; A60 &amp; "'!O38"),0)</f>
        <v>0</v>
      </c>
    </row>
    <row r="61" spans="1:13" ht="14.25" customHeight="1">
      <c r="A61" s="16" t="s">
        <v>32</v>
      </c>
      <c r="B61" s="55" cm="1">
        <f t="array" aca="1" ref="B61" ca="1">IFERROR(INDIRECT("'РВ " &amp; A61 &amp; "'!O38"),0)</f>
        <v>0</v>
      </c>
    </row>
    <row r="62" spans="1:13" ht="14.25" customHeight="1">
      <c r="A62" s="16" t="s">
        <v>34</v>
      </c>
      <c r="B62" s="55" cm="1">
        <f t="array" aca="1" ref="B62" ca="1">IFERROR(INDIRECT("'РВ " &amp; A62 &amp; "'!O38"),0)</f>
        <v>0</v>
      </c>
    </row>
    <row r="63" spans="1:13" ht="14.25" customHeight="1">
      <c r="A63" s="16" t="s">
        <v>27</v>
      </c>
      <c r="B63" s="55" cm="1">
        <f t="array" aca="1" ref="B63" ca="1">IFERROR(INDIRECT("'РВ " &amp; A63 &amp; "'!O38"),0)</f>
        <v>0</v>
      </c>
    </row>
    <row r="64" spans="1:13" ht="14.25" customHeight="1">
      <c r="A64" s="16" t="s">
        <v>35</v>
      </c>
      <c r="B64" s="55" cm="1">
        <f t="array" aca="1" ref="B64" ca="1">IFERROR(INDIRECT("'РВ " &amp; A64 &amp; "'!O38"),0)</f>
        <v>0</v>
      </c>
    </row>
    <row r="65" spans="1:2" ht="14.25" customHeight="1">
      <c r="A65" s="16" t="s">
        <v>36</v>
      </c>
      <c r="B65" s="55" cm="1">
        <f t="array" aca="1" ref="B65" ca="1">IFERROR(INDIRECT("'РВ " &amp; A65 &amp; "'!O38"),0)</f>
        <v>0</v>
      </c>
    </row>
    <row r="66" spans="1:2" ht="14.25" customHeight="1">
      <c r="A66" s="16" t="s">
        <v>29</v>
      </c>
      <c r="B66" s="55" cm="1">
        <f t="array" aca="1" ref="B66" ca="1">IFERROR(INDIRECT("'РВ " &amp; A66 &amp; "'!O38"),0)</f>
        <v>0</v>
      </c>
    </row>
    <row r="67" spans="1:2" ht="14.25" customHeight="1">
      <c r="A67" s="16" t="s">
        <v>39</v>
      </c>
      <c r="B67" s="55" cm="1">
        <f t="array" aca="1" ref="B67" ca="1">IFERROR(INDIRECT("'РВ " &amp; A67 &amp; "'!O38"),0)+IFERROR(INDIRECT("Резерв!i38"),0)</f>
        <v>0</v>
      </c>
    </row>
    <row r="68" spans="1:2" ht="14.25" customHeight="1">
      <c r="A68" s="16" t="s">
        <v>33</v>
      </c>
      <c r="B68" s="55" cm="1">
        <f t="array" aca="1" ref="B68" ca="1">IFERROR(INDIRECT("'РВ " &amp; A68 &amp; "'!O38"),0)</f>
        <v>0</v>
      </c>
    </row>
    <row r="69" spans="1:2" ht="14.25" customHeight="1"/>
    <row r="70" spans="1:2" ht="14.25" customHeight="1"/>
    <row r="71" spans="1:2" ht="14.25" customHeight="1"/>
    <row r="72" spans="1:2" ht="14.25" customHeight="1"/>
    <row r="73" spans="1:2" ht="14.25" customHeight="1"/>
    <row r="74" spans="1:2" ht="14.25" customHeight="1"/>
    <row r="75" spans="1:2" ht="14.25" customHeight="1"/>
    <row r="76" spans="1:2" ht="14.25" customHeight="1"/>
    <row r="77" spans="1:2" ht="14.25" customHeight="1"/>
    <row r="78" spans="1:2" ht="14.25" customHeight="1"/>
    <row r="79" spans="1:2" ht="14.25" customHeight="1"/>
    <row r="80" spans="1:2" ht="14.25" customHeight="1"/>
    <row r="81" s="4" customFormat="1" ht="14.25" customHeight="1"/>
    <row r="82" s="4" customFormat="1" ht="14.25" customHeight="1"/>
    <row r="83" s="4" customFormat="1" ht="14.25" customHeight="1"/>
    <row r="84" s="4" customFormat="1" ht="14.25" customHeight="1"/>
    <row r="85" s="4" customFormat="1" ht="14.25" customHeight="1"/>
    <row r="86" s="4" customFormat="1" ht="14.25" customHeight="1"/>
    <row r="87" s="4" customFormat="1" ht="14.25" customHeight="1"/>
    <row r="88" s="4" customFormat="1" ht="14.25" customHeight="1"/>
    <row r="89" s="4" customFormat="1" ht="14.25" customHeight="1"/>
    <row r="90" s="4" customFormat="1" ht="14.25" customHeight="1"/>
    <row r="91" s="4" customFormat="1" ht="14.25" customHeight="1"/>
    <row r="92" s="4" customFormat="1" ht="14.25" customHeight="1"/>
    <row r="93" s="4" customFormat="1" ht="14.25" customHeight="1"/>
    <row r="94" s="4" customFormat="1" ht="14.25" customHeight="1"/>
    <row r="95" s="4" customFormat="1" ht="14.25" customHeight="1"/>
    <row r="96" s="4" customFormat="1" ht="14.25" customHeight="1"/>
    <row r="97" s="4" customFormat="1" ht="14.25" customHeight="1"/>
    <row r="98" s="4" customFormat="1" ht="14.25" customHeight="1"/>
    <row r="99" s="4" customFormat="1" ht="14.25" customHeight="1"/>
    <row r="100" s="4" customFormat="1" ht="14.25" customHeight="1"/>
    <row r="101" s="4" customFormat="1" ht="14.25" customHeight="1"/>
    <row r="102" s="4" customFormat="1" ht="14.25" customHeight="1"/>
    <row r="103" s="4" customFormat="1" ht="14.25" customHeight="1"/>
    <row r="104" s="4" customFormat="1" ht="14.25" customHeight="1"/>
    <row r="105" s="4" customFormat="1" ht="14.25" customHeight="1"/>
    <row r="106" s="4" customFormat="1" ht="14.25" customHeight="1"/>
    <row r="107" s="4" customFormat="1" ht="14.25" customHeight="1"/>
    <row r="108" s="4" customFormat="1" ht="14.25" customHeight="1"/>
    <row r="109" s="4" customFormat="1" ht="14.25" customHeight="1"/>
    <row r="110" s="4" customFormat="1" ht="14.25" customHeight="1"/>
    <row r="111" s="4" customFormat="1" ht="14.25" customHeight="1"/>
    <row r="112" s="4" customFormat="1" ht="14.25" customHeight="1"/>
    <row r="113" s="4" customFormat="1" ht="14.25" customHeight="1"/>
    <row r="114" s="4" customFormat="1" ht="14.25" customHeight="1"/>
    <row r="115" s="4" customFormat="1" ht="14.25" customHeight="1"/>
    <row r="116" s="4" customFormat="1" ht="14.25" customHeight="1"/>
    <row r="117" s="4" customFormat="1" ht="14.25" customHeight="1"/>
    <row r="118" s="4" customFormat="1" ht="14.25" customHeight="1"/>
    <row r="119" s="4" customFormat="1" ht="14.25" customHeight="1"/>
    <row r="120" s="4" customFormat="1" ht="14.25" customHeight="1"/>
    <row r="121" s="4" customFormat="1" ht="14.25" customHeight="1"/>
    <row r="122" s="4" customFormat="1" ht="14.25" customHeight="1"/>
    <row r="123" s="4" customFormat="1" ht="14.25" customHeight="1"/>
    <row r="124" s="4" customFormat="1" ht="14.25" customHeight="1"/>
    <row r="125" s="4" customFormat="1" ht="14.25" customHeight="1"/>
  </sheetData>
  <mergeCells count="19">
    <mergeCell ref="A37:B37"/>
    <mergeCell ref="A1:G1"/>
    <mergeCell ref="I2:J2"/>
    <mergeCell ref="A18:B18"/>
    <mergeCell ref="E18:F18"/>
    <mergeCell ref="A29:B29"/>
    <mergeCell ref="A30:B30"/>
    <mergeCell ref="A31:B31"/>
    <mergeCell ref="A32:B32"/>
    <mergeCell ref="A33:B33"/>
    <mergeCell ref="A34:B34"/>
    <mergeCell ref="A35:B35"/>
    <mergeCell ref="K43:M43"/>
    <mergeCell ref="A38:B38"/>
    <mergeCell ref="A39:B39"/>
    <mergeCell ref="A40:B40"/>
    <mergeCell ref="A41:B41"/>
    <mergeCell ref="A42:B42"/>
    <mergeCell ref="A43:J43"/>
  </mergeCells>
  <pageMargins left="0.7" right="0.7" top="0.75" bottom="0.75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E34BB-5FAC-4661-AB67-1C951BE0A584}">
  <dimension ref="A1:F9"/>
  <sheetViews>
    <sheetView workbookViewId="0">
      <selection activeCell="A29" sqref="A29"/>
    </sheetView>
  </sheetViews>
  <sheetFormatPr defaultRowHeight="15"/>
  <cols>
    <col min="1" max="1" width="38.28515625" style="28" customWidth="1"/>
    <col min="2" max="2" width="41.28515625" style="28" customWidth="1"/>
    <col min="3" max="3" width="9.140625" style="28"/>
    <col min="4" max="4" width="13.28515625" style="28" customWidth="1"/>
    <col min="5" max="5" width="14.5703125" style="28" bestFit="1" customWidth="1"/>
    <col min="6" max="6" width="16.140625" style="28" customWidth="1"/>
    <col min="7" max="16384" width="9.140625" style="28"/>
  </cols>
  <sheetData>
    <row r="1" spans="1:6">
      <c r="A1" s="27"/>
      <c r="B1" s="80"/>
    </row>
    <row r="3" spans="1:6">
      <c r="A3" s="46"/>
    </row>
    <row r="4" spans="1:6">
      <c r="A4" s="46"/>
      <c r="B4" s="46"/>
      <c r="C4" s="46"/>
    </row>
    <row r="5" spans="1:6">
      <c r="A5" s="46"/>
      <c r="B5" s="46"/>
      <c r="C5" s="46"/>
    </row>
    <row r="7" spans="1:6">
      <c r="A7" s="81"/>
    </row>
    <row r="9" spans="1:6">
      <c r="E9" s="46"/>
      <c r="F9" s="46"/>
    </row>
  </sheetData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064FA-6447-4762-805E-AFB91D6B82B6}">
  <dimension ref="A3:F24"/>
  <sheetViews>
    <sheetView workbookViewId="0">
      <selection activeCell="F17" sqref="F17:F21"/>
    </sheetView>
  </sheetViews>
  <sheetFormatPr defaultRowHeight="15"/>
  <cols>
    <col min="1" max="1" width="9.140625" style="28"/>
    <col min="2" max="2" width="41.28515625" style="28" customWidth="1"/>
    <col min="3" max="3" width="9.140625" style="28"/>
    <col min="4" max="4" width="13.28515625" style="28" customWidth="1"/>
    <col min="5" max="5" width="17" style="28" customWidth="1"/>
    <col min="6" max="6" width="16.140625" style="28" customWidth="1"/>
    <col min="7" max="16384" width="9.140625" style="28"/>
  </cols>
  <sheetData>
    <row r="3" spans="1:6">
      <c r="A3" s="46"/>
    </row>
    <row r="4" spans="1:6">
      <c r="A4" s="46"/>
      <c r="B4" s="46"/>
      <c r="C4" s="46"/>
    </row>
    <row r="5" spans="1:6">
      <c r="A5" s="46"/>
      <c r="B5" s="46"/>
      <c r="C5" s="46"/>
    </row>
    <row r="7" spans="1:6">
      <c r="A7" s="81"/>
    </row>
    <row r="9" spans="1:6">
      <c r="A9" s="82" t="s">
        <v>0</v>
      </c>
      <c r="B9" s="82" t="s">
        <v>78</v>
      </c>
      <c r="C9" s="82" t="s">
        <v>79</v>
      </c>
      <c r="D9" s="82" t="s">
        <v>80</v>
      </c>
      <c r="E9" s="82" t="s">
        <v>81</v>
      </c>
      <c r="F9" s="82" t="s">
        <v>82</v>
      </c>
    </row>
    <row r="10" spans="1:6" ht="15.75" thickBot="1">
      <c r="A10" s="83"/>
      <c r="B10" s="84"/>
      <c r="C10" s="83"/>
      <c r="D10" s="85"/>
      <c r="E10" s="86"/>
      <c r="F10" s="86"/>
    </row>
    <row r="11" spans="1:6">
      <c r="A11" s="83"/>
      <c r="B11" s="87"/>
      <c r="C11" s="83"/>
      <c r="D11" s="83"/>
      <c r="E11" s="86"/>
      <c r="F11" s="86"/>
    </row>
    <row r="12" spans="1:6">
      <c r="A12" s="83"/>
      <c r="B12" s="88"/>
      <c r="C12" s="83"/>
      <c r="D12" s="83"/>
      <c r="E12" s="86"/>
      <c r="F12" s="86"/>
    </row>
    <row r="13" spans="1:6">
      <c r="A13" s="83"/>
      <c r="B13" s="84"/>
      <c r="C13" s="83"/>
      <c r="D13" s="83"/>
      <c r="E13" s="86"/>
      <c r="F13" s="86"/>
    </row>
    <row r="14" spans="1:6">
      <c r="A14" s="28" t="s">
        <v>83</v>
      </c>
      <c r="E14" s="80"/>
      <c r="F14" s="89">
        <f>SUM(F10:F13)</f>
        <v>0</v>
      </c>
    </row>
    <row r="15" spans="1:6">
      <c r="A15" s="28" t="s">
        <v>84</v>
      </c>
      <c r="E15" s="80"/>
      <c r="F15" s="89">
        <f>SUM(F14)</f>
        <v>0</v>
      </c>
    </row>
    <row r="16" spans="1:6">
      <c r="A16" s="28" t="s">
        <v>85</v>
      </c>
      <c r="E16" s="80"/>
      <c r="F16" s="89">
        <f>SUM(F15)*1.2</f>
        <v>0</v>
      </c>
    </row>
    <row r="17" spans="1:6">
      <c r="A17" s="28" t="s">
        <v>86</v>
      </c>
      <c r="E17" s="90" t="s">
        <v>56</v>
      </c>
      <c r="F17" s="90">
        <v>16167490</v>
      </c>
    </row>
    <row r="18" spans="1:6">
      <c r="A18" s="28" t="s">
        <v>87</v>
      </c>
      <c r="E18" s="46" t="s">
        <v>58</v>
      </c>
      <c r="F18" s="90">
        <v>732000</v>
      </c>
    </row>
    <row r="19" spans="1:6">
      <c r="E19" s="46" t="s">
        <v>88</v>
      </c>
      <c r="F19" s="90">
        <v>2058457</v>
      </c>
    </row>
    <row r="20" spans="1:6">
      <c r="E20" s="28" t="s">
        <v>61</v>
      </c>
      <c r="F20" s="91">
        <v>21892054</v>
      </c>
    </row>
    <row r="21" spans="1:6">
      <c r="E21" s="28" t="s">
        <v>62</v>
      </c>
      <c r="F21" s="91">
        <v>6615634</v>
      </c>
    </row>
    <row r="22" spans="1:6">
      <c r="A22" s="28" t="s">
        <v>89</v>
      </c>
      <c r="D22" s="28" t="s">
        <v>90</v>
      </c>
    </row>
    <row r="24" spans="1:6">
      <c r="A24" s="28" t="s">
        <v>91</v>
      </c>
      <c r="B24" s="28" t="s">
        <v>92</v>
      </c>
      <c r="D24" s="28" t="s">
        <v>93</v>
      </c>
    </row>
  </sheetData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59637-5F97-42C5-B25F-30C41B513DDF}">
  <dimension ref="A1:C137"/>
  <sheetViews>
    <sheetView topLeftCell="A115" workbookViewId="0">
      <selection activeCell="C129" sqref="C129"/>
    </sheetView>
  </sheetViews>
  <sheetFormatPr defaultRowHeight="15"/>
  <cols>
    <col min="1" max="2" width="9.140625" style="93"/>
    <col min="3" max="3" width="32" style="93" customWidth="1"/>
    <col min="4" max="16384" width="9.140625" style="93"/>
  </cols>
  <sheetData>
    <row r="1" spans="1:3">
      <c r="A1" s="93" t="s">
        <v>67</v>
      </c>
      <c r="B1" s="93" t="s">
        <v>28</v>
      </c>
      <c r="C1" s="92">
        <f ca="1">INDEX(INDIRECT("ИТОГО!$B$45:$L$54"),MATCH(Сводка!B1,INDIRECT("ИТОГО!$A$45:$A$54"),0),MATCH(Сводка!A1,INDIRECT("ИТОГО!$B$44:$L$44"),0))</f>
        <v>78394.960000000006</v>
      </c>
    </row>
    <row r="2" spans="1:3">
      <c r="A2" s="93" t="s">
        <v>68</v>
      </c>
      <c r="B2" s="93" t="s">
        <v>28</v>
      </c>
      <c r="C2" s="92">
        <f ca="1">INDEX(INDIRECT("ИТОГО!$B$45:$L$54"),MATCH(Сводка!B2,INDIRECT("ИТОГО!$A$45:$A$54"),0),MATCH(Сводка!A2,INDIRECT("ИТОГО!$B$44:$L$44"),0))</f>
        <v>427145.58</v>
      </c>
    </row>
    <row r="3" spans="1:3">
      <c r="A3" s="93" t="s">
        <v>69</v>
      </c>
      <c r="B3" s="93" t="s">
        <v>28</v>
      </c>
      <c r="C3" s="92">
        <f ca="1">INDEX(INDIRECT("ИТОГО!$B$45:$L$54"),MATCH(Сводка!B3,INDIRECT("ИТОГО!$A$45:$A$54"),0),MATCH(Сводка!A3,INDIRECT("ИТОГО!$B$44:$L$44"),0))</f>
        <v>5823785.6100000003</v>
      </c>
    </row>
    <row r="4" spans="1:3">
      <c r="A4" s="93" t="s">
        <v>70</v>
      </c>
      <c r="B4" s="93" t="s">
        <v>28</v>
      </c>
      <c r="C4" s="92">
        <f ca="1">INDEX(INDIRECT("ИТОГО!$B$45:$L$54"),MATCH(Сводка!B4,INDIRECT("ИТОГО!$A$45:$A$54"),0),MATCH(Сводка!A4,INDIRECT("ИТОГО!$B$44:$L$44"),0))</f>
        <v>0</v>
      </c>
    </row>
    <row r="5" spans="1:3">
      <c r="A5" s="93" t="s">
        <v>71</v>
      </c>
      <c r="B5" s="93" t="s">
        <v>28</v>
      </c>
      <c r="C5" s="92">
        <f ca="1">INDEX(INDIRECT("ИТОГО!$B$45:$L$54"),MATCH(Сводка!B5,INDIRECT("ИТОГО!$A$45:$A$54"),0),MATCH(Сводка!A5,INDIRECT("ИТОГО!$B$44:$L$44"),0))</f>
        <v>0</v>
      </c>
    </row>
    <row r="6" spans="1:3">
      <c r="A6" s="93" t="s">
        <v>53</v>
      </c>
      <c r="B6" s="93" t="s">
        <v>28</v>
      </c>
      <c r="C6" s="92">
        <f ca="1">INDEX(INDIRECT("ИТОГО!$B$45:$L$54"),MATCH(Сводка!B6,INDIRECT("ИТОГО!$A$45:$A$54"),0),MATCH(Сводка!A6,INDIRECT("ИТОГО!$B$44:$L$44"),0))</f>
        <v>0</v>
      </c>
    </row>
    <row r="7" spans="1:3">
      <c r="A7" s="93" t="s">
        <v>72</v>
      </c>
      <c r="B7" s="93" t="s">
        <v>28</v>
      </c>
      <c r="C7" s="92">
        <f ca="1">INDEX(INDIRECT("ИТОГО!$B$45:$L$54"),MATCH(Сводка!B7,INDIRECT("ИТОГО!$A$45:$A$54"),0),MATCH(Сводка!A7,INDIRECT("ИТОГО!$B$44:$L$44"),0))</f>
        <v>0</v>
      </c>
    </row>
    <row r="8" spans="1:3">
      <c r="A8" s="93" t="s">
        <v>73</v>
      </c>
      <c r="B8" s="93" t="s">
        <v>28</v>
      </c>
      <c r="C8" s="92">
        <f ca="1">INDEX(INDIRECT("ИТОГО!$B$45:$L$54"),MATCH(Сводка!B8,INDIRECT("ИТОГО!$A$45:$A$54"),0),MATCH(Сводка!A8,INDIRECT("ИТОГО!$B$44:$L$44"),0))</f>
        <v>0</v>
      </c>
    </row>
    <row r="9" spans="1:3">
      <c r="A9" s="93" t="s">
        <v>74</v>
      </c>
      <c r="B9" s="93" t="s">
        <v>28</v>
      </c>
      <c r="C9" s="92">
        <f ca="1">INDEX(INDIRECT("ИТОГО!$B$45:$L$54"),MATCH(Сводка!B9,INDIRECT("ИТОГО!$A$45:$A$54"),0),MATCH(Сводка!A9,INDIRECT("ИТОГО!$B$44:$L$44"),0))</f>
        <v>0</v>
      </c>
    </row>
    <row r="10" spans="1:3">
      <c r="A10" s="93" t="s">
        <v>75</v>
      </c>
      <c r="B10" s="93" t="s">
        <v>28</v>
      </c>
      <c r="C10" s="92">
        <f ca="1">INDEX(INDIRECT("ИТОГО!$B$45:$L$54"),MATCH(Сводка!B10,INDIRECT("ИТОГО!$A$45:$A$54"),0),MATCH(Сводка!A10,INDIRECT("ИТОГО!$B$44:$L$44"),0))</f>
        <v>0</v>
      </c>
    </row>
    <row r="11" spans="1:3">
      <c r="A11" s="93" t="s">
        <v>76</v>
      </c>
      <c r="B11" s="93" t="s">
        <v>28</v>
      </c>
      <c r="C11" s="92">
        <f ca="1">INDEX(INDIRECT("ИТОГО!$B$45:$L$54"),MATCH(Сводка!B11,INDIRECT("ИТОГО!$A$45:$A$54"),0),MATCH(Сводка!A11,INDIRECT("ИТОГО!$B$44:$L$44"),0))</f>
        <v>0</v>
      </c>
    </row>
    <row r="12" spans="1:3">
      <c r="A12" s="93" t="s">
        <v>67</v>
      </c>
      <c r="B12" s="93" t="s">
        <v>30</v>
      </c>
      <c r="C12" s="92">
        <f ca="1">INDEX(INDIRECT("ИТОГО!$B$45:$L$54"),MATCH(Сводка!B12,INDIRECT("ИТОГО!$A$45:$A$54"),0),MATCH(Сводка!A12,INDIRECT("ИТОГО!$B$44:$L$44"),0))</f>
        <v>39526.160000000003</v>
      </c>
    </row>
    <row r="13" spans="1:3">
      <c r="A13" s="93" t="s">
        <v>68</v>
      </c>
      <c r="B13" s="93" t="s">
        <v>30</v>
      </c>
      <c r="C13" s="92">
        <f ca="1">INDEX(INDIRECT("ИТОГО!$B$45:$L$54"),MATCH(Сводка!B13,INDIRECT("ИТОГО!$A$45:$A$54"),0),MATCH(Сводка!A13,INDIRECT("ИТОГО!$B$44:$L$44"),0))</f>
        <v>19672.87</v>
      </c>
    </row>
    <row r="14" spans="1:3">
      <c r="A14" s="93" t="s">
        <v>69</v>
      </c>
      <c r="B14" s="93" t="s">
        <v>30</v>
      </c>
      <c r="C14" s="92">
        <f ca="1">INDEX(INDIRECT("ИТОГО!$B$45:$L$54"),MATCH(Сводка!B14,INDIRECT("ИТОГО!$A$45:$A$54"),0),MATCH(Сводка!A14,INDIRECT("ИТОГО!$B$44:$L$44"),0))</f>
        <v>10512619.48</v>
      </c>
    </row>
    <row r="15" spans="1:3">
      <c r="A15" s="93" t="s">
        <v>70</v>
      </c>
      <c r="B15" s="93" t="s">
        <v>30</v>
      </c>
      <c r="C15" s="92">
        <f ca="1">INDEX(INDIRECT("ИТОГО!$B$45:$L$54"),MATCH(Сводка!B15,INDIRECT("ИТОГО!$A$45:$A$54"),0),MATCH(Сводка!A15,INDIRECT("ИТОГО!$B$44:$L$44"),0))</f>
        <v>0</v>
      </c>
    </row>
    <row r="16" spans="1:3">
      <c r="A16" s="93" t="s">
        <v>71</v>
      </c>
      <c r="B16" s="93" t="s">
        <v>30</v>
      </c>
      <c r="C16" s="92">
        <f ca="1">INDEX(INDIRECT("ИТОГО!$B$45:$L$54"),MATCH(Сводка!B16,INDIRECT("ИТОГО!$A$45:$A$54"),0),MATCH(Сводка!A16,INDIRECT("ИТОГО!$B$44:$L$44"),0))</f>
        <v>0</v>
      </c>
    </row>
    <row r="17" spans="1:3">
      <c r="A17" s="93" t="s">
        <v>53</v>
      </c>
      <c r="B17" s="93" t="s">
        <v>30</v>
      </c>
      <c r="C17" s="92">
        <f ca="1">INDEX(INDIRECT("ИТОГО!$B$45:$L$54"),MATCH(Сводка!B17,INDIRECT("ИТОГО!$A$45:$A$54"),0),MATCH(Сводка!A17,INDIRECT("ИТОГО!$B$44:$L$44"),0))</f>
        <v>0</v>
      </c>
    </row>
    <row r="18" spans="1:3">
      <c r="A18" s="93" t="s">
        <v>72</v>
      </c>
      <c r="B18" s="93" t="s">
        <v>30</v>
      </c>
      <c r="C18" s="92">
        <f ca="1">INDEX(INDIRECT("ИТОГО!$B$45:$L$54"),MATCH(Сводка!B18,INDIRECT("ИТОГО!$A$45:$A$54"),0),MATCH(Сводка!A18,INDIRECT("ИТОГО!$B$44:$L$44"),0))</f>
        <v>0</v>
      </c>
    </row>
    <row r="19" spans="1:3">
      <c r="A19" s="93" t="s">
        <v>73</v>
      </c>
      <c r="B19" s="93" t="s">
        <v>30</v>
      </c>
      <c r="C19" s="92">
        <f ca="1">INDEX(INDIRECT("ИТОГО!$B$45:$L$54"),MATCH(Сводка!B19,INDIRECT("ИТОГО!$A$45:$A$54"),0),MATCH(Сводка!A19,INDIRECT("ИТОГО!$B$44:$L$44"),0))</f>
        <v>0</v>
      </c>
    </row>
    <row r="20" spans="1:3">
      <c r="A20" s="93" t="s">
        <v>74</v>
      </c>
      <c r="B20" s="93" t="s">
        <v>30</v>
      </c>
      <c r="C20" s="92">
        <f ca="1">INDEX(INDIRECT("ИТОГО!$B$45:$L$54"),MATCH(Сводка!B20,INDIRECT("ИТОГО!$A$45:$A$54"),0),MATCH(Сводка!A20,INDIRECT("ИТОГО!$B$44:$L$44"),0))</f>
        <v>0</v>
      </c>
    </row>
    <row r="21" spans="1:3">
      <c r="A21" s="93" t="s">
        <v>75</v>
      </c>
      <c r="B21" s="93" t="s">
        <v>30</v>
      </c>
      <c r="C21" s="92">
        <f ca="1">INDEX(INDIRECT("ИТОГО!$B$45:$L$54"),MATCH(Сводка!B21,INDIRECT("ИТОГО!$A$45:$A$54"),0),MATCH(Сводка!A21,INDIRECT("ИТОГО!$B$44:$L$44"),0))</f>
        <v>0</v>
      </c>
    </row>
    <row r="22" spans="1:3">
      <c r="A22" s="93" t="s">
        <v>76</v>
      </c>
      <c r="B22" s="93" t="s">
        <v>30</v>
      </c>
      <c r="C22" s="92">
        <f ca="1">INDEX(INDIRECT("ИТОГО!$B$45:$L$54"),MATCH(Сводка!B22,INDIRECT("ИТОГО!$A$45:$A$54"),0),MATCH(Сводка!A22,INDIRECT("ИТОГО!$B$44:$L$44"),0))</f>
        <v>0</v>
      </c>
    </row>
    <row r="23" spans="1:3">
      <c r="A23" s="93" t="s">
        <v>67</v>
      </c>
      <c r="B23" s="93" t="s">
        <v>36</v>
      </c>
      <c r="C23" s="92">
        <f ca="1">INDEX(INDIRECT("ИТОГО!$B$45:$L$54"),MATCH(Сводка!B23,INDIRECT("ИТОГО!$A$45:$A$54"),0),MATCH(Сводка!A23,INDIRECT("ИТОГО!$B$44:$L$44"),0))</f>
        <v>0</v>
      </c>
    </row>
    <row r="24" spans="1:3">
      <c r="A24" s="93" t="s">
        <v>68</v>
      </c>
      <c r="B24" s="93" t="s">
        <v>36</v>
      </c>
      <c r="C24" s="92">
        <f ca="1">INDEX(INDIRECT("ИТОГО!$B$45:$L$54"),MATCH(Сводка!B24,INDIRECT("ИТОГО!$A$45:$A$54"),0),MATCH(Сводка!A24,INDIRECT("ИТОГО!$B$44:$L$44"),0))</f>
        <v>0</v>
      </c>
    </row>
    <row r="25" spans="1:3">
      <c r="A25" s="93" t="s">
        <v>69</v>
      </c>
      <c r="B25" s="93" t="s">
        <v>36</v>
      </c>
      <c r="C25" s="92">
        <f ca="1">INDEX(INDIRECT("ИТОГО!$B$45:$L$54"),MATCH(Сводка!B25,INDIRECT("ИТОГО!$A$45:$A$54"),0),MATCH(Сводка!A25,INDIRECT("ИТОГО!$B$44:$L$44"),0))</f>
        <v>0</v>
      </c>
    </row>
    <row r="26" spans="1:3">
      <c r="A26" s="93" t="s">
        <v>70</v>
      </c>
      <c r="B26" s="93" t="s">
        <v>36</v>
      </c>
      <c r="C26" s="92">
        <f ca="1">INDEX(INDIRECT("ИТОГО!$B$45:$L$54"),MATCH(Сводка!B26,INDIRECT("ИТОГО!$A$45:$A$54"),0),MATCH(Сводка!A26,INDIRECT("ИТОГО!$B$44:$L$44"),0))</f>
        <v>0</v>
      </c>
    </row>
    <row r="27" spans="1:3">
      <c r="A27" s="93" t="s">
        <v>71</v>
      </c>
      <c r="B27" s="93" t="s">
        <v>36</v>
      </c>
      <c r="C27" s="92">
        <f ca="1">INDEX(INDIRECT("ИТОГО!$B$45:$L$54"),MATCH(Сводка!B27,INDIRECT("ИТОГО!$A$45:$A$54"),0),MATCH(Сводка!A27,INDIRECT("ИТОГО!$B$44:$L$44"),0))</f>
        <v>1111469.8400000001</v>
      </c>
    </row>
    <row r="28" spans="1:3">
      <c r="A28" s="93" t="s">
        <v>53</v>
      </c>
      <c r="B28" s="93" t="s">
        <v>36</v>
      </c>
      <c r="C28" s="92">
        <f ca="1">INDEX(INDIRECT("ИТОГО!$B$45:$L$54"),MATCH(Сводка!B28,INDIRECT("ИТОГО!$A$45:$A$54"),0),MATCH(Сводка!A28,INDIRECT("ИТОГО!$B$44:$L$44"),0))</f>
        <v>0</v>
      </c>
    </row>
    <row r="29" spans="1:3">
      <c r="A29" s="93" t="s">
        <v>72</v>
      </c>
      <c r="B29" s="93" t="s">
        <v>36</v>
      </c>
      <c r="C29" s="92">
        <f ca="1">INDEX(INDIRECT("ИТОГО!$B$45:$L$54"),MATCH(Сводка!B29,INDIRECT("ИТОГО!$A$45:$A$54"),0),MATCH(Сводка!A29,INDIRECT("ИТОГО!$B$44:$L$44"),0))</f>
        <v>0</v>
      </c>
    </row>
    <row r="30" spans="1:3">
      <c r="A30" s="93" t="s">
        <v>73</v>
      </c>
      <c r="B30" s="93" t="s">
        <v>36</v>
      </c>
      <c r="C30" s="92">
        <f ca="1">INDEX(INDIRECT("ИТОГО!$B$45:$L$54"),MATCH(Сводка!B30,INDIRECT("ИТОГО!$A$45:$A$54"),0),MATCH(Сводка!A30,INDIRECT("ИТОГО!$B$44:$L$44"),0))</f>
        <v>0</v>
      </c>
    </row>
    <row r="31" spans="1:3">
      <c r="A31" s="93" t="s">
        <v>74</v>
      </c>
      <c r="B31" s="93" t="s">
        <v>36</v>
      </c>
      <c r="C31" s="92">
        <f ca="1">INDEX(INDIRECT("ИТОГО!$B$45:$L$54"),MATCH(Сводка!B31,INDIRECT("ИТОГО!$A$45:$A$54"),0),MATCH(Сводка!A31,INDIRECT("ИТОГО!$B$44:$L$44"),0))</f>
        <v>607.30999999999995</v>
      </c>
    </row>
    <row r="32" spans="1:3">
      <c r="A32" s="93" t="s">
        <v>75</v>
      </c>
      <c r="B32" s="93" t="s">
        <v>36</v>
      </c>
      <c r="C32" s="92">
        <f ca="1">INDEX(INDIRECT("ИТОГО!$B$45:$L$54"),MATCH(Сводка!B32,INDIRECT("ИТОГО!$A$45:$A$54"),0),MATCH(Сводка!A32,INDIRECT("ИТОГО!$B$44:$L$44"),0))</f>
        <v>7320</v>
      </c>
    </row>
    <row r="33" spans="1:3">
      <c r="A33" s="93" t="s">
        <v>76</v>
      </c>
      <c r="B33" s="93" t="s">
        <v>36</v>
      </c>
      <c r="C33" s="92">
        <f ca="1">INDEX(INDIRECT("ИТОГО!$B$45:$L$54"),MATCH(Сводка!B33,INDIRECT("ИТОГО!$A$45:$A$54"),0),MATCH(Сводка!A33,INDIRECT("ИТОГО!$B$44:$L$44"),0))</f>
        <v>0</v>
      </c>
    </row>
    <row r="34" spans="1:3">
      <c r="A34" s="93" t="s">
        <v>67</v>
      </c>
      <c r="B34" s="93" t="s">
        <v>31</v>
      </c>
      <c r="C34" s="92">
        <f ca="1">INDEX(INDIRECT("ИТОГО!$B$45:$L$54"),MATCH(Сводка!B34,INDIRECT("ИТОГО!$A$45:$A$54"),0),MATCH(Сводка!A34,INDIRECT("ИТОГО!$B$44:$L$44"),0))</f>
        <v>3855.13</v>
      </c>
    </row>
    <row r="35" spans="1:3">
      <c r="A35" s="93" t="s">
        <v>68</v>
      </c>
      <c r="B35" s="93" t="s">
        <v>31</v>
      </c>
      <c r="C35" s="92">
        <f ca="1">INDEX(INDIRECT("ИТОГО!$B$45:$L$54"),MATCH(Сводка!B35,INDIRECT("ИТОГО!$A$45:$A$54"),0),MATCH(Сводка!A35,INDIRECT("ИТОГО!$B$44:$L$44"),0))</f>
        <v>815368</v>
      </c>
    </row>
    <row r="36" spans="1:3">
      <c r="A36" s="93" t="s">
        <v>69</v>
      </c>
      <c r="B36" s="93" t="s">
        <v>31</v>
      </c>
      <c r="C36" s="92">
        <f ca="1">INDEX(INDIRECT("ИТОГО!$B$45:$L$54"),MATCH(Сводка!B36,INDIRECT("ИТОГО!$A$45:$A$54"),0),MATCH(Сводка!A36,INDIRECT("ИТОГО!$B$44:$L$44"),0))</f>
        <v>11143270.560000001</v>
      </c>
    </row>
    <row r="37" spans="1:3">
      <c r="A37" s="93" t="s">
        <v>70</v>
      </c>
      <c r="B37" s="93" t="s">
        <v>31</v>
      </c>
      <c r="C37" s="92">
        <f ca="1">INDEX(INDIRECT("ИТОГО!$B$45:$L$54"),MATCH(Сводка!B37,INDIRECT("ИТОГО!$A$45:$A$54"),0),MATCH(Сводка!A37,INDIRECT("ИТОГО!$B$44:$L$44"),0))</f>
        <v>0</v>
      </c>
    </row>
    <row r="38" spans="1:3">
      <c r="A38" s="93" t="s">
        <v>71</v>
      </c>
      <c r="B38" s="93" t="s">
        <v>31</v>
      </c>
      <c r="C38" s="92">
        <f ca="1">INDEX(INDIRECT("ИТОГО!$B$45:$L$54"),MATCH(Сводка!B38,INDIRECT("ИТОГО!$A$45:$A$54"),0),MATCH(Сводка!A38,INDIRECT("ИТОГО!$B$44:$L$44"),0))</f>
        <v>0</v>
      </c>
    </row>
    <row r="39" spans="1:3">
      <c r="A39" s="93" t="s">
        <v>53</v>
      </c>
      <c r="B39" s="93" t="s">
        <v>31</v>
      </c>
      <c r="C39" s="92">
        <f ca="1">INDEX(INDIRECT("ИТОГО!$B$45:$L$54"),MATCH(Сводка!B39,INDIRECT("ИТОГО!$A$45:$A$54"),0),MATCH(Сводка!A39,INDIRECT("ИТОГО!$B$44:$L$44"),0))</f>
        <v>0</v>
      </c>
    </row>
    <row r="40" spans="1:3">
      <c r="A40" s="93" t="s">
        <v>72</v>
      </c>
      <c r="B40" s="93" t="s">
        <v>31</v>
      </c>
      <c r="C40" s="92">
        <f ca="1">INDEX(INDIRECT("ИТОГО!$B$45:$L$54"),MATCH(Сводка!B40,INDIRECT("ИТОГО!$A$45:$A$54"),0),MATCH(Сводка!A40,INDIRECT("ИТОГО!$B$44:$L$44"),0))</f>
        <v>0</v>
      </c>
    </row>
    <row r="41" spans="1:3">
      <c r="A41" s="93" t="s">
        <v>73</v>
      </c>
      <c r="B41" s="93" t="s">
        <v>31</v>
      </c>
      <c r="C41" s="92">
        <f ca="1">INDEX(INDIRECT("ИТОГО!$B$45:$L$54"),MATCH(Сводка!B41,INDIRECT("ИТОГО!$A$45:$A$54"),0),MATCH(Сводка!A41,INDIRECT("ИТОГО!$B$44:$L$44"),0))</f>
        <v>0</v>
      </c>
    </row>
    <row r="42" spans="1:3">
      <c r="A42" s="93" t="s">
        <v>74</v>
      </c>
      <c r="B42" s="93" t="s">
        <v>31</v>
      </c>
      <c r="C42" s="92">
        <f ca="1">INDEX(INDIRECT("ИТОГО!$B$45:$L$54"),MATCH(Сводка!B42,INDIRECT("ИТОГО!$A$45:$A$54"),0),MATCH(Сводка!A42,INDIRECT("ИТОГО!$B$44:$L$44"),0))</f>
        <v>92998.83</v>
      </c>
    </row>
    <row r="43" spans="1:3">
      <c r="A43" s="93" t="s">
        <v>75</v>
      </c>
      <c r="B43" s="93" t="s">
        <v>31</v>
      </c>
      <c r="C43" s="92">
        <f ca="1">INDEX(INDIRECT("ИТОГО!$B$45:$L$54"),MATCH(Сводка!B43,INDIRECT("ИТОГО!$A$45:$A$54"),0),MATCH(Сводка!A43,INDIRECT("ИТОГО!$B$44:$L$44"),0))</f>
        <v>158600</v>
      </c>
    </row>
    <row r="44" spans="1:3">
      <c r="A44" s="93" t="s">
        <v>76</v>
      </c>
      <c r="B44" s="93" t="s">
        <v>31</v>
      </c>
      <c r="C44" s="92">
        <f ca="1">INDEX(INDIRECT("ИТОГО!$B$45:$L$54"),MATCH(Сводка!B44,INDIRECT("ИТОГО!$A$45:$A$54"),0),MATCH(Сводка!A44,INDIRECT("ИТОГО!$B$44:$L$44"),0))</f>
        <v>0</v>
      </c>
    </row>
    <row r="45" spans="1:3">
      <c r="A45" s="93" t="s">
        <v>67</v>
      </c>
      <c r="B45" s="93" t="s">
        <v>35</v>
      </c>
      <c r="C45" s="92">
        <f ca="1">INDEX(INDIRECT("ИТОГО!$B$45:$L$54"),MATCH(Сводка!B45,INDIRECT("ИТОГО!$A$45:$A$54"),0),MATCH(Сводка!A45,INDIRECT("ИТОГО!$B$44:$L$44"),0))</f>
        <v>130470.78</v>
      </c>
    </row>
    <row r="46" spans="1:3">
      <c r="A46" s="93" t="s">
        <v>68</v>
      </c>
      <c r="B46" s="93" t="s">
        <v>35</v>
      </c>
      <c r="C46" s="92">
        <f ca="1">INDEX(INDIRECT("ИТОГО!$B$45:$L$54"),MATCH(Сводка!B46,INDIRECT("ИТОГО!$A$45:$A$54"),0),MATCH(Сводка!A46,INDIRECT("ИТОГО!$B$44:$L$44"),0))</f>
        <v>0</v>
      </c>
    </row>
    <row r="47" spans="1:3">
      <c r="A47" s="93" t="s">
        <v>69</v>
      </c>
      <c r="B47" s="93" t="s">
        <v>35</v>
      </c>
      <c r="C47" s="92">
        <f ca="1">INDEX(INDIRECT("ИТОГО!$B$45:$L$54"),MATCH(Сводка!B47,INDIRECT("ИТОГО!$A$45:$A$54"),0),MATCH(Сводка!A47,INDIRECT("ИТОГО!$B$44:$L$44"),0))</f>
        <v>7425335.75</v>
      </c>
    </row>
    <row r="48" spans="1:3">
      <c r="A48" s="93" t="s">
        <v>70</v>
      </c>
      <c r="B48" s="93" t="s">
        <v>35</v>
      </c>
      <c r="C48" s="92">
        <f ca="1">INDEX(INDIRECT("ИТОГО!$B$45:$L$54"),MATCH(Сводка!B48,INDIRECT("ИТОГО!$A$45:$A$54"),0),MATCH(Сводка!A48,INDIRECT("ИТОГО!$B$44:$L$44"),0))</f>
        <v>0</v>
      </c>
    </row>
    <row r="49" spans="1:3">
      <c r="A49" s="93" t="s">
        <v>71</v>
      </c>
      <c r="B49" s="93" t="s">
        <v>35</v>
      </c>
      <c r="C49" s="92">
        <f ca="1">INDEX(INDIRECT("ИТОГО!$B$45:$L$54"),MATCH(Сводка!B49,INDIRECT("ИТОГО!$A$45:$A$54"),0),MATCH(Сводка!A49,INDIRECT("ИТОГО!$B$44:$L$44"),0))</f>
        <v>0</v>
      </c>
    </row>
    <row r="50" spans="1:3">
      <c r="A50" s="93" t="s">
        <v>53</v>
      </c>
      <c r="B50" s="93" t="s">
        <v>35</v>
      </c>
      <c r="C50" s="92">
        <f ca="1">INDEX(INDIRECT("ИТОГО!$B$45:$L$54"),MATCH(Сводка!B50,INDIRECT("ИТОГО!$A$45:$A$54"),0),MATCH(Сводка!A50,INDIRECT("ИТОГО!$B$44:$L$44"),0))</f>
        <v>728077.99</v>
      </c>
    </row>
    <row r="51" spans="1:3">
      <c r="A51" s="93" t="s">
        <v>72</v>
      </c>
      <c r="B51" s="93" t="s">
        <v>35</v>
      </c>
      <c r="C51" s="92">
        <f ca="1">INDEX(INDIRECT("ИТОГО!$B$45:$L$54"),MATCH(Сводка!B51,INDIRECT("ИТОГО!$A$45:$A$54"),0),MATCH(Сводка!A51,INDIRECT("ИТОГО!$B$44:$L$44"),0))</f>
        <v>0</v>
      </c>
    </row>
    <row r="52" spans="1:3">
      <c r="A52" s="93" t="s">
        <v>73</v>
      </c>
      <c r="B52" s="93" t="s">
        <v>35</v>
      </c>
      <c r="C52" s="92">
        <f ca="1">INDEX(INDIRECT("ИТОГО!$B$45:$L$54"),MATCH(Сводка!B52,INDIRECT("ИТОГО!$A$45:$A$54"),0),MATCH(Сводка!A52,INDIRECT("ИТОГО!$B$44:$L$44"),0))</f>
        <v>0</v>
      </c>
    </row>
    <row r="53" spans="1:3">
      <c r="A53" s="93" t="s">
        <v>74</v>
      </c>
      <c r="B53" s="93" t="s">
        <v>35</v>
      </c>
      <c r="C53" s="92">
        <f ca="1">INDEX(INDIRECT("ИТОГО!$B$45:$L$54"),MATCH(Сводка!B53,INDIRECT("ИТОГО!$A$45:$A$54"),0),MATCH(Сводка!A53,INDIRECT("ИТОГО!$B$44:$L$44"),0))</f>
        <v>0</v>
      </c>
    </row>
    <row r="54" spans="1:3">
      <c r="A54" s="93" t="s">
        <v>75</v>
      </c>
      <c r="B54" s="93" t="s">
        <v>35</v>
      </c>
      <c r="C54" s="92">
        <f ca="1">INDEX(INDIRECT("ИТОГО!$B$45:$L$54"),MATCH(Сводка!B54,INDIRECT("ИТОГО!$A$45:$A$54"),0),MATCH(Сводка!A54,INDIRECT("ИТОГО!$B$44:$L$44"),0))</f>
        <v>46360</v>
      </c>
    </row>
    <row r="55" spans="1:3">
      <c r="A55" s="93" t="s">
        <v>76</v>
      </c>
      <c r="B55" s="93" t="s">
        <v>35</v>
      </c>
      <c r="C55" s="92">
        <f ca="1">INDEX(INDIRECT("ИТОГО!$B$45:$L$54"),MATCH(Сводка!B55,INDIRECT("ИТОГО!$A$45:$A$54"),0),MATCH(Сводка!A55,INDIRECT("ИТОГО!$B$44:$L$44"),0))</f>
        <v>88736.7</v>
      </c>
    </row>
    <row r="56" spans="1:3">
      <c r="A56" s="93" t="s">
        <v>67</v>
      </c>
      <c r="B56" s="93" t="s">
        <v>32</v>
      </c>
      <c r="C56" s="92">
        <f ca="1">INDEX(INDIRECT("ИТОГО!$B$45:$L$54"),MATCH(Сводка!B56,INDIRECT("ИТОГО!$A$45:$A$54"),0),MATCH(Сводка!A56,INDIRECT("ИТОГО!$B$44:$L$44"),0))</f>
        <v>20219.509999999998</v>
      </c>
    </row>
    <row r="57" spans="1:3">
      <c r="A57" s="93" t="s">
        <v>68</v>
      </c>
      <c r="B57" s="93" t="s">
        <v>32</v>
      </c>
      <c r="C57" s="92">
        <f ca="1">INDEX(INDIRECT("ИТОГО!$B$45:$L$54"),MATCH(Сводка!B57,INDIRECT("ИТОГО!$A$45:$A$54"),0),MATCH(Сводка!A57,INDIRECT("ИТОГО!$B$44:$L$44"),0))</f>
        <v>28620.03</v>
      </c>
    </row>
    <row r="58" spans="1:3">
      <c r="A58" s="93" t="s">
        <v>69</v>
      </c>
      <c r="B58" s="93" t="s">
        <v>32</v>
      </c>
      <c r="C58" s="92">
        <f ca="1">INDEX(INDIRECT("ИТОГО!$B$45:$L$54"),MATCH(Сводка!B58,INDIRECT("ИТОГО!$A$45:$A$54"),0),MATCH(Сводка!A58,INDIRECT("ИТОГО!$B$44:$L$44"),0))</f>
        <v>4297197.3499999996</v>
      </c>
    </row>
    <row r="59" spans="1:3">
      <c r="A59" s="93" t="s">
        <v>70</v>
      </c>
      <c r="B59" s="93" t="s">
        <v>32</v>
      </c>
      <c r="C59" s="92">
        <f ca="1">INDEX(INDIRECT("ИТОГО!$B$45:$L$54"),MATCH(Сводка!B59,INDIRECT("ИТОГО!$A$45:$A$54"),0),MATCH(Сводка!A59,INDIRECT("ИТОГО!$B$44:$L$44"),0))</f>
        <v>0</v>
      </c>
    </row>
    <row r="60" spans="1:3">
      <c r="A60" s="93" t="s">
        <v>71</v>
      </c>
      <c r="B60" s="93" t="s">
        <v>32</v>
      </c>
      <c r="C60" s="92">
        <f ca="1">INDEX(INDIRECT("ИТОГО!$B$45:$L$54"),MATCH(Сводка!B60,INDIRECT("ИТОГО!$A$45:$A$54"),0),MATCH(Сводка!A60,INDIRECT("ИТОГО!$B$44:$L$44"),0))</f>
        <v>0</v>
      </c>
    </row>
    <row r="61" spans="1:3">
      <c r="A61" s="93" t="s">
        <v>53</v>
      </c>
      <c r="B61" s="93" t="s">
        <v>32</v>
      </c>
      <c r="C61" s="92">
        <f ca="1">INDEX(INDIRECT("ИТОГО!$B$45:$L$54"),MATCH(Сводка!B61,INDIRECT("ИТОГО!$A$45:$A$54"),0),MATCH(Сводка!A61,INDIRECT("ИТОГО!$B$44:$L$44"),0))</f>
        <v>0</v>
      </c>
    </row>
    <row r="62" spans="1:3">
      <c r="A62" s="93" t="s">
        <v>72</v>
      </c>
      <c r="B62" s="93" t="s">
        <v>32</v>
      </c>
      <c r="C62" s="92">
        <f ca="1">INDEX(INDIRECT("ИТОГО!$B$45:$L$54"),MATCH(Сводка!B62,INDIRECT("ИТОГО!$A$45:$A$54"),0),MATCH(Сводка!A62,INDIRECT("ИТОГО!$B$44:$L$44"),0))</f>
        <v>0</v>
      </c>
    </row>
    <row r="63" spans="1:3">
      <c r="A63" s="93" t="s">
        <v>73</v>
      </c>
      <c r="B63" s="93" t="s">
        <v>32</v>
      </c>
      <c r="C63" s="92">
        <f ca="1">INDEX(INDIRECT("ИТОГО!$B$45:$L$54"),MATCH(Сводка!B63,INDIRECT("ИТОГО!$A$45:$A$54"),0),MATCH(Сводка!A63,INDIRECT("ИТОГО!$B$44:$L$44"),0))</f>
        <v>1841340.05</v>
      </c>
    </row>
    <row r="64" spans="1:3">
      <c r="A64" s="93" t="s">
        <v>74</v>
      </c>
      <c r="B64" s="93" t="s">
        <v>32</v>
      </c>
      <c r="C64" s="92">
        <f ca="1">INDEX(INDIRECT("ИТОГО!$B$45:$L$54"),MATCH(Сводка!B64,INDIRECT("ИТОГО!$A$45:$A$54"),0),MATCH(Сводка!A64,INDIRECT("ИТОГО!$B$44:$L$44"),0))</f>
        <v>0</v>
      </c>
    </row>
    <row r="65" spans="1:3">
      <c r="A65" s="93" t="s">
        <v>75</v>
      </c>
      <c r="B65" s="93" t="s">
        <v>32</v>
      </c>
      <c r="C65" s="92">
        <f ca="1">INDEX(INDIRECT("ИТОГО!$B$45:$L$54"),MATCH(Сводка!B65,INDIRECT("ИТОГО!$A$45:$A$54"),0),MATCH(Сводка!A65,INDIRECT("ИТОГО!$B$44:$L$44"),0))</f>
        <v>0</v>
      </c>
    </row>
    <row r="66" spans="1:3">
      <c r="A66" s="93" t="s">
        <v>76</v>
      </c>
      <c r="B66" s="93" t="s">
        <v>32</v>
      </c>
      <c r="C66" s="92">
        <f ca="1">INDEX(INDIRECT("ИТОГО!$B$45:$L$54"),MATCH(Сводка!B66,INDIRECT("ИТОГО!$A$45:$A$54"),0),MATCH(Сводка!A66,INDIRECT("ИТОГО!$B$44:$L$44"),0))</f>
        <v>0</v>
      </c>
    </row>
    <row r="67" spans="1:3">
      <c r="A67" s="93" t="s">
        <v>67</v>
      </c>
      <c r="B67" s="93" t="s">
        <v>33</v>
      </c>
      <c r="C67" s="92">
        <f ca="1">INDEX(INDIRECT("ИТОГО!$B$45:$L$54"),MATCH(Сводка!B67,INDIRECT("ИТОГО!$A$45:$A$54"),0),MATCH(Сводка!A67,INDIRECT("ИТОГО!$B$44:$L$44"),0))</f>
        <v>0</v>
      </c>
    </row>
    <row r="68" spans="1:3">
      <c r="A68" s="93" t="s">
        <v>68</v>
      </c>
      <c r="B68" s="93" t="s">
        <v>33</v>
      </c>
      <c r="C68" s="92">
        <f ca="1">INDEX(INDIRECT("ИТОГО!$B$45:$L$54"),MATCH(Сводка!B68,INDIRECT("ИТОГО!$A$45:$A$54"),0),MATCH(Сводка!A68,INDIRECT("ИТОГО!$B$44:$L$44"),0))</f>
        <v>0</v>
      </c>
    </row>
    <row r="69" spans="1:3">
      <c r="A69" s="93" t="s">
        <v>69</v>
      </c>
      <c r="B69" s="93" t="s">
        <v>33</v>
      </c>
      <c r="C69" s="92">
        <f ca="1">INDEX(INDIRECT("ИТОГО!$B$45:$L$54"),MATCH(Сводка!B69,INDIRECT("ИТОГО!$A$45:$A$54"),0),MATCH(Сводка!A69,INDIRECT("ИТОГО!$B$44:$L$44"),0))</f>
        <v>0</v>
      </c>
    </row>
    <row r="70" spans="1:3">
      <c r="A70" s="93" t="s">
        <v>70</v>
      </c>
      <c r="B70" s="93" t="s">
        <v>33</v>
      </c>
      <c r="C70" s="92">
        <f ca="1">INDEX(INDIRECT("ИТОГО!$B$45:$L$54"),MATCH(Сводка!B70,INDIRECT("ИТОГО!$A$45:$A$54"),0),MATCH(Сводка!A70,INDIRECT("ИТОГО!$B$44:$L$44"),0))</f>
        <v>0</v>
      </c>
    </row>
    <row r="71" spans="1:3">
      <c r="A71" s="93" t="s">
        <v>71</v>
      </c>
      <c r="B71" s="93" t="s">
        <v>33</v>
      </c>
      <c r="C71" s="92">
        <f ca="1">INDEX(INDIRECT("ИТОГО!$B$45:$L$54"),MATCH(Сводка!B71,INDIRECT("ИТОГО!$A$45:$A$54"),0),MATCH(Сводка!A71,INDIRECT("ИТОГО!$B$44:$L$44"),0))</f>
        <v>0</v>
      </c>
    </row>
    <row r="72" spans="1:3">
      <c r="A72" s="93" t="s">
        <v>53</v>
      </c>
      <c r="B72" s="93" t="s">
        <v>33</v>
      </c>
      <c r="C72" s="92">
        <f ca="1">INDEX(INDIRECT("ИТОГО!$B$45:$L$54"),MATCH(Сводка!B72,INDIRECT("ИТОГО!$A$45:$A$54"),0),MATCH(Сводка!A72,INDIRECT("ИТОГО!$B$44:$L$44"),0))</f>
        <v>0</v>
      </c>
    </row>
    <row r="73" spans="1:3">
      <c r="A73" s="93" t="s">
        <v>72</v>
      </c>
      <c r="B73" s="93" t="s">
        <v>33</v>
      </c>
      <c r="C73" s="92">
        <f ca="1">INDEX(INDIRECT("ИТОГО!$B$45:$L$54"),MATCH(Сводка!B73,INDIRECT("ИТОГО!$A$45:$A$54"),0),MATCH(Сводка!A73,INDIRECT("ИТОГО!$B$44:$L$44"),0))</f>
        <v>0</v>
      </c>
    </row>
    <row r="74" spans="1:3">
      <c r="A74" s="93" t="s">
        <v>73</v>
      </c>
      <c r="B74" s="93" t="s">
        <v>33</v>
      </c>
      <c r="C74" s="92">
        <f ca="1">INDEX(INDIRECT("ИТОГО!$B$45:$L$54"),MATCH(Сводка!B74,INDIRECT("ИТОГО!$A$45:$A$54"),0),MATCH(Сводка!A74,INDIRECT("ИТОГО!$B$44:$L$44"),0))</f>
        <v>4970334.37</v>
      </c>
    </row>
    <row r="75" spans="1:3">
      <c r="A75" s="93" t="s">
        <v>74</v>
      </c>
      <c r="B75" s="93" t="s">
        <v>33</v>
      </c>
      <c r="C75" s="92">
        <f ca="1">INDEX(INDIRECT("ИТОГО!$B$45:$L$54"),MATCH(Сводка!B75,INDIRECT("ИТОГО!$A$45:$A$54"),0),MATCH(Сводка!A75,INDIRECT("ИТОГО!$B$44:$L$44"),0))</f>
        <v>0</v>
      </c>
    </row>
    <row r="76" spans="1:3">
      <c r="A76" s="93" t="s">
        <v>75</v>
      </c>
      <c r="B76" s="93" t="s">
        <v>33</v>
      </c>
      <c r="C76" s="92">
        <f ca="1">INDEX(INDIRECT("ИТОГО!$B$45:$L$54"),MATCH(Сводка!B76,INDIRECT("ИТОГО!$A$45:$A$54"),0),MATCH(Сводка!A76,INDIRECT("ИТОГО!$B$44:$L$44"),0))</f>
        <v>0</v>
      </c>
    </row>
    <row r="77" spans="1:3">
      <c r="A77" s="93" t="s">
        <v>76</v>
      </c>
      <c r="B77" s="93" t="s">
        <v>33</v>
      </c>
      <c r="C77" s="92">
        <f ca="1">INDEX(INDIRECT("ИТОГО!$B$45:$L$54"),MATCH(Сводка!B77,INDIRECT("ИТОГО!$A$45:$A$54"),0),MATCH(Сводка!A77,INDIRECT("ИТОГО!$B$44:$L$44"),0))</f>
        <v>0</v>
      </c>
    </row>
    <row r="78" spans="1:3">
      <c r="A78" s="93" t="s">
        <v>67</v>
      </c>
      <c r="B78" s="93" t="s">
        <v>27</v>
      </c>
      <c r="C78" s="92">
        <f ca="1">INDEX(INDIRECT("ИТОГО!$B$45:$L$54"),MATCH(Сводка!B78,INDIRECT("ИТОГО!$A$45:$A$54"),0),MATCH(Сводка!A78,INDIRECT("ИТОГО!$B$44:$L$44"),0))</f>
        <v>0</v>
      </c>
    </row>
    <row r="79" spans="1:3">
      <c r="A79" s="93" t="s">
        <v>68</v>
      </c>
      <c r="B79" s="93" t="s">
        <v>27</v>
      </c>
      <c r="C79" s="92">
        <f ca="1">INDEX(INDIRECT("ИТОГО!$B$45:$L$54"),MATCH(Сводка!B79,INDIRECT("ИТОГО!$A$45:$A$54"),0),MATCH(Сводка!A79,INDIRECT("ИТОГО!$B$44:$L$44"),0))</f>
        <v>12181.03</v>
      </c>
    </row>
    <row r="80" spans="1:3">
      <c r="A80" s="93" t="s">
        <v>69</v>
      </c>
      <c r="B80" s="93" t="s">
        <v>27</v>
      </c>
      <c r="C80" s="92">
        <f ca="1">INDEX(INDIRECT("ИТОГО!$B$45:$L$54"),MATCH(Сводка!B80,INDIRECT("ИТОГО!$A$45:$A$54"),0),MATCH(Сводка!A80,INDIRECT("ИТОГО!$B$44:$L$44"),0))</f>
        <v>18442066.010000002</v>
      </c>
    </row>
    <row r="81" spans="1:3">
      <c r="A81" s="93" t="s">
        <v>70</v>
      </c>
      <c r="B81" s="93" t="s">
        <v>27</v>
      </c>
      <c r="C81" s="92">
        <f ca="1">INDEX(INDIRECT("ИТОГО!$B$45:$L$54"),MATCH(Сводка!B81,INDIRECT("ИТОГО!$A$45:$A$54"),0),MATCH(Сводка!A81,INDIRECT("ИТОГО!$B$44:$L$44"),0))</f>
        <v>0</v>
      </c>
    </row>
    <row r="82" spans="1:3">
      <c r="A82" s="93" t="s">
        <v>71</v>
      </c>
      <c r="B82" s="93" t="s">
        <v>27</v>
      </c>
      <c r="C82" s="92">
        <f ca="1">INDEX(INDIRECT("ИТОГО!$B$45:$L$54"),MATCH(Сводка!B82,INDIRECT("ИТОГО!$A$45:$A$54"),0),MATCH(Сводка!A82,INDIRECT("ИТОГО!$B$44:$L$44"),0))</f>
        <v>0</v>
      </c>
    </row>
    <row r="83" spans="1:3">
      <c r="A83" s="93" t="s">
        <v>53</v>
      </c>
      <c r="B83" s="93" t="s">
        <v>27</v>
      </c>
      <c r="C83" s="92">
        <f ca="1">INDEX(INDIRECT("ИТОГО!$B$45:$L$54"),MATCH(Сводка!B83,INDIRECT("ИТОГО!$A$45:$A$54"),0),MATCH(Сводка!A83,INDIRECT("ИТОГО!$B$44:$L$44"),0))</f>
        <v>0</v>
      </c>
    </row>
    <row r="84" spans="1:3">
      <c r="A84" s="93" t="s">
        <v>72</v>
      </c>
      <c r="B84" s="93" t="s">
        <v>27</v>
      </c>
      <c r="C84" s="92">
        <f ca="1">INDEX(INDIRECT("ИТОГО!$B$45:$L$54"),MATCH(Сводка!B84,INDIRECT("ИТОГО!$A$45:$A$54"),0),MATCH(Сводка!A84,INDIRECT("ИТОГО!$B$44:$L$44"),0))</f>
        <v>0</v>
      </c>
    </row>
    <row r="85" spans="1:3">
      <c r="A85" s="93" t="s">
        <v>73</v>
      </c>
      <c r="B85" s="93" t="s">
        <v>27</v>
      </c>
      <c r="C85" s="92">
        <f ca="1">INDEX(INDIRECT("ИТОГО!$B$45:$L$54"),MATCH(Сводка!B85,INDIRECT("ИТОГО!$A$45:$A$54"),0),MATCH(Сводка!A85,INDIRECT("ИТОГО!$B$44:$L$44"),0))</f>
        <v>0</v>
      </c>
    </row>
    <row r="86" spans="1:3">
      <c r="A86" s="93" t="s">
        <v>74</v>
      </c>
      <c r="B86" s="93" t="s">
        <v>27</v>
      </c>
      <c r="C86" s="92">
        <f ca="1">INDEX(INDIRECT("ИТОГО!$B$45:$L$54"),MATCH(Сводка!B86,INDIRECT("ИТОГО!$A$45:$A$54"),0),MATCH(Сводка!A86,INDIRECT("ИТОГО!$B$44:$L$44"),0))</f>
        <v>0</v>
      </c>
    </row>
    <row r="87" spans="1:3">
      <c r="A87" s="93" t="s">
        <v>75</v>
      </c>
      <c r="B87" s="93" t="s">
        <v>27</v>
      </c>
      <c r="C87" s="92">
        <f ca="1">INDEX(INDIRECT("ИТОГО!$B$45:$L$54"),MATCH(Сводка!B87,INDIRECT("ИТОГО!$A$45:$A$54"),0),MATCH(Сводка!A87,INDIRECT("ИТОГО!$B$44:$L$44"),0))</f>
        <v>95160</v>
      </c>
    </row>
    <row r="88" spans="1:3">
      <c r="A88" s="93" t="s">
        <v>76</v>
      </c>
      <c r="B88" s="93" t="s">
        <v>27</v>
      </c>
      <c r="C88" s="92">
        <f ca="1">INDEX(INDIRECT("ИТОГО!$B$45:$L$54"),MATCH(Сводка!B88,INDIRECT("ИТОГО!$A$45:$A$54"),0),MATCH(Сводка!A88,INDIRECT("ИТОГО!$B$44:$L$44"),0))</f>
        <v>0</v>
      </c>
    </row>
    <row r="89" spans="1:3">
      <c r="A89" s="93" t="s">
        <v>67</v>
      </c>
      <c r="B89" s="93" t="s">
        <v>34</v>
      </c>
      <c r="C89" s="92">
        <f ca="1">INDEX(INDIRECT("ИТОГО!$B$45:$L$54"),MATCH(Сводка!B89,INDIRECT("ИТОГО!$A$45:$A$54"),0),MATCH(Сводка!A89,INDIRECT("ИТОГО!$B$44:$L$44"),0))</f>
        <v>0</v>
      </c>
    </row>
    <row r="90" spans="1:3">
      <c r="A90" s="93" t="s">
        <v>68</v>
      </c>
      <c r="B90" s="93" t="s">
        <v>34</v>
      </c>
      <c r="C90" s="92">
        <f ca="1">INDEX(INDIRECT("ИТОГО!$B$45:$L$54"),MATCH(Сводка!B90,INDIRECT("ИТОГО!$A$45:$A$54"),0),MATCH(Сводка!A90,INDIRECT("ИТОГО!$B$44:$L$44"),0))</f>
        <v>0</v>
      </c>
    </row>
    <row r="91" spans="1:3">
      <c r="A91" s="93" t="s">
        <v>69</v>
      </c>
      <c r="B91" s="93" t="s">
        <v>34</v>
      </c>
      <c r="C91" s="92">
        <f ca="1">INDEX(INDIRECT("ИТОГО!$B$45:$L$54"),MATCH(Сводка!B91,INDIRECT("ИТОГО!$A$45:$A$54"),0),MATCH(Сводка!A91,INDIRECT("ИТОГО!$B$44:$L$44"),0))</f>
        <v>9095498.9399999995</v>
      </c>
    </row>
    <row r="92" spans="1:3">
      <c r="A92" s="93" t="s">
        <v>70</v>
      </c>
      <c r="B92" s="93" t="s">
        <v>34</v>
      </c>
      <c r="C92" s="92">
        <f ca="1">INDEX(INDIRECT("ИТОГО!$B$45:$L$54"),MATCH(Сводка!B92,INDIRECT("ИТОГО!$A$45:$A$54"),0),MATCH(Сводка!A92,INDIRECT("ИТОГО!$B$44:$L$44"),0))</f>
        <v>0</v>
      </c>
    </row>
    <row r="93" spans="1:3">
      <c r="A93" s="93" t="s">
        <v>71</v>
      </c>
      <c r="B93" s="93" t="s">
        <v>34</v>
      </c>
      <c r="C93" s="92">
        <f ca="1">INDEX(INDIRECT("ИТОГО!$B$45:$L$54"),MATCH(Сводка!B93,INDIRECT("ИТОГО!$A$45:$A$54"),0),MATCH(Сводка!A93,INDIRECT("ИТОГО!$B$44:$L$44"),0))</f>
        <v>0</v>
      </c>
    </row>
    <row r="94" spans="1:3">
      <c r="A94" s="93" t="s">
        <v>53</v>
      </c>
      <c r="B94" s="93" t="s">
        <v>34</v>
      </c>
      <c r="C94" s="92">
        <f ca="1">INDEX(INDIRECT("ИТОГО!$B$45:$L$54"),MATCH(Сводка!B94,INDIRECT("ИТОГО!$A$45:$A$54"),0),MATCH(Сводка!A94,INDIRECT("ИТОГО!$B$44:$L$44"),0))</f>
        <v>0</v>
      </c>
    </row>
    <row r="95" spans="1:3">
      <c r="A95" s="93" t="s">
        <v>72</v>
      </c>
      <c r="B95" s="93" t="s">
        <v>34</v>
      </c>
      <c r="C95" s="92">
        <f ca="1">INDEX(INDIRECT("ИТОГО!$B$45:$L$54"),MATCH(Сводка!B95,INDIRECT("ИТОГО!$A$45:$A$54"),0),MATCH(Сводка!A95,INDIRECT("ИТОГО!$B$44:$L$44"),0))</f>
        <v>0</v>
      </c>
    </row>
    <row r="96" spans="1:3">
      <c r="A96" s="93" t="s">
        <v>73</v>
      </c>
      <c r="B96" s="93" t="s">
        <v>34</v>
      </c>
      <c r="C96" s="92">
        <f ca="1">INDEX(INDIRECT("ИТОГО!$B$45:$L$54"),MATCH(Сводка!B96,INDIRECT("ИТОГО!$A$45:$A$54"),0),MATCH(Сводка!A96,INDIRECT("ИТОГО!$B$44:$L$44"),0))</f>
        <v>0</v>
      </c>
    </row>
    <row r="97" spans="1:3">
      <c r="A97" s="93" t="s">
        <v>74</v>
      </c>
      <c r="B97" s="93" t="s">
        <v>34</v>
      </c>
      <c r="C97" s="92">
        <f ca="1">INDEX(INDIRECT("ИТОГО!$B$45:$L$54"),MATCH(Сводка!B97,INDIRECT("ИТОГО!$A$45:$A$54"),0),MATCH(Сводка!A97,INDIRECT("ИТОГО!$B$44:$L$44"),0))</f>
        <v>0</v>
      </c>
    </row>
    <row r="98" spans="1:3">
      <c r="A98" s="93" t="s">
        <v>75</v>
      </c>
      <c r="B98" s="93" t="s">
        <v>34</v>
      </c>
      <c r="C98" s="92">
        <f ca="1">INDEX(INDIRECT("ИТОГО!$B$45:$L$54"),MATCH(Сводка!B98,INDIRECT("ИТОГО!$A$45:$A$54"),0),MATCH(Сводка!A98,INDIRECT("ИТОГО!$B$44:$L$44"),0))</f>
        <v>19520</v>
      </c>
    </row>
    <row r="99" spans="1:3">
      <c r="A99" s="93" t="s">
        <v>76</v>
      </c>
      <c r="B99" s="93" t="s">
        <v>34</v>
      </c>
      <c r="C99" s="92">
        <f ca="1">INDEX(INDIRECT("ИТОГО!$B$45:$L$54"),MATCH(Сводка!B99,INDIRECT("ИТОГО!$A$45:$A$54"),0),MATCH(Сводка!A99,INDIRECT("ИТОГО!$B$44:$L$44"),0))</f>
        <v>0</v>
      </c>
    </row>
    <row r="100" spans="1:3">
      <c r="A100" s="93" t="s">
        <v>23</v>
      </c>
      <c r="B100" s="93" t="s">
        <v>28</v>
      </c>
      <c r="C100" s="92" cm="1">
        <f t="array" aca="1" ref="C100" ca="1">INDIRECT("ИТОГО!B57")</f>
        <v>0</v>
      </c>
    </row>
    <row r="101" spans="1:3">
      <c r="A101" s="93" t="s">
        <v>23</v>
      </c>
      <c r="B101" s="93" t="s">
        <v>30</v>
      </c>
      <c r="C101" s="92" cm="1">
        <f t="array" aca="1" ref="C101" ca="1">INDIRECT("ИТОГО!B58")</f>
        <v>0</v>
      </c>
    </row>
    <row r="102" spans="1:3">
      <c r="A102" s="93" t="s">
        <v>23</v>
      </c>
      <c r="B102" s="93" t="s">
        <v>39</v>
      </c>
      <c r="C102" s="92" cm="1">
        <f t="array" aca="1" ref="C102" ca="1">INDIRECT("ИТОГО!B67")</f>
        <v>0</v>
      </c>
    </row>
    <row r="103" spans="1:3">
      <c r="A103" s="93" t="s">
        <v>56</v>
      </c>
      <c r="B103" s="93" t="s">
        <v>29</v>
      </c>
      <c r="C103" s="92" cm="1">
        <f t="array" aca="1" ref="C103" ca="1">INDIRECT("ИТОГО!C30")</f>
        <v>16236409</v>
      </c>
    </row>
    <row r="104" spans="1:3">
      <c r="A104" s="93" t="s">
        <v>57</v>
      </c>
      <c r="B104" s="93" t="s">
        <v>29</v>
      </c>
      <c r="C104" s="92" cm="1">
        <f t="array" aca="1" ref="C104" ca="1">INDIRECT("ИТОГО!C31")</f>
        <v>0</v>
      </c>
    </row>
    <row r="105" spans="1:3">
      <c r="A105" s="93" t="s">
        <v>58</v>
      </c>
      <c r="B105" s="93" t="s">
        <v>29</v>
      </c>
      <c r="C105" s="92" cm="1">
        <f t="array" aca="1" ref="C105" ca="1">INDIRECT("ИТОГО!C32")</f>
        <v>732000</v>
      </c>
    </row>
    <row r="106" spans="1:3">
      <c r="A106" s="93" t="s">
        <v>60</v>
      </c>
      <c r="B106" s="93" t="s">
        <v>29</v>
      </c>
      <c r="C106" s="92" cm="1">
        <f t="array" aca="1" ref="C106" ca="1">INDIRECT("ИТОГО!C33")</f>
        <v>2058457</v>
      </c>
    </row>
    <row r="107" spans="1:3">
      <c r="A107" s="93" t="s">
        <v>61</v>
      </c>
      <c r="B107" s="93" t="s">
        <v>29</v>
      </c>
      <c r="C107" s="92" cm="1">
        <f t="array" aca="1" ref="C107" ca="1">INDIRECT("ИТОГО!C34")</f>
        <v>21892054</v>
      </c>
    </row>
    <row r="108" spans="1:3">
      <c r="A108" s="93" t="s">
        <v>62</v>
      </c>
      <c r="B108" s="93" t="s">
        <v>29</v>
      </c>
      <c r="C108" s="92" cm="1">
        <f t="array" aca="1" ref="C108" ca="1">INDIRECT("ИТОГО!C35")</f>
        <v>6615634</v>
      </c>
    </row>
    <row r="109" spans="1:3">
      <c r="A109" s="93" t="s">
        <v>94</v>
      </c>
      <c r="B109" s="93" t="s">
        <v>29</v>
      </c>
      <c r="C109" s="92" cm="1">
        <f t="array" aca="1" ref="C109" ca="1">INDIRECT("ИТОГО!C38")</f>
        <v>3098507</v>
      </c>
    </row>
    <row r="110" spans="1:3">
      <c r="A110" s="93" t="s">
        <v>95</v>
      </c>
      <c r="B110" s="93" t="s">
        <v>29</v>
      </c>
      <c r="C110" s="92" cm="1">
        <f t="array" aca="1" ref="C110" ca="1">INDIRECT("ИТОГО!C39")</f>
        <v>7064220</v>
      </c>
    </row>
    <row r="111" spans="1:3">
      <c r="A111" s="93" t="s">
        <v>41</v>
      </c>
      <c r="B111" s="93" t="s">
        <v>28</v>
      </c>
      <c r="C111" s="92" cm="1">
        <f t="array" aca="1" ref="C111" ca="1">INDIRECT("ИТОГО!C19")</f>
        <v>22125</v>
      </c>
    </row>
    <row r="112" spans="1:3">
      <c r="A112" s="93" t="s">
        <v>43</v>
      </c>
      <c r="B112" s="93" t="s">
        <v>28</v>
      </c>
      <c r="C112" s="92" cm="1">
        <f t="array" aca="1" ref="C112" ca="1">INDIRECT("ИТОГО!C20")</f>
        <v>8640</v>
      </c>
    </row>
    <row r="113" spans="1:3">
      <c r="A113" s="93" t="s">
        <v>45</v>
      </c>
      <c r="B113" s="93" t="s">
        <v>28</v>
      </c>
      <c r="C113" s="92" cm="1">
        <f t="array" aca="1" ref="C113" ca="1">INDIRECT("ИТОГО!C21")</f>
        <v>16819</v>
      </c>
    </row>
    <row r="114" spans="1:3">
      <c r="A114" s="93" t="s">
        <v>47</v>
      </c>
      <c r="B114" s="93" t="s">
        <v>28</v>
      </c>
      <c r="C114" s="92" cm="1">
        <f t="array" aca="1" ref="C114" ca="1">INDIRECT("ИТОГО!C22")</f>
        <v>22922.399999999998</v>
      </c>
    </row>
    <row r="115" spans="1:3">
      <c r="A115" s="93" t="s">
        <v>49</v>
      </c>
      <c r="B115" s="93" t="s">
        <v>28</v>
      </c>
      <c r="C115" s="92" cm="1">
        <f t="array" aca="1" ref="C115" ca="1">INDIRECT("ИТОГО!C23")</f>
        <v>8073.5999999999985</v>
      </c>
    </row>
    <row r="116" spans="1:3">
      <c r="A116" s="93" t="s">
        <v>42</v>
      </c>
      <c r="B116" s="93" t="s">
        <v>28</v>
      </c>
      <c r="C116" s="92" cm="1">
        <f t="array" aca="1" ref="C116" ca="1">INDIRECT("ИТОГО!G19")</f>
        <v>0</v>
      </c>
    </row>
    <row r="117" spans="1:3">
      <c r="A117" s="93" t="s">
        <v>44</v>
      </c>
      <c r="B117" s="93" t="s">
        <v>28</v>
      </c>
      <c r="C117" s="92" cm="1">
        <f t="array" aca="1" ref="C117" ca="1">INDIRECT("ИТОГО!G20")</f>
        <v>0</v>
      </c>
    </row>
    <row r="118" spans="1:3">
      <c r="A118" s="93" t="s">
        <v>46</v>
      </c>
      <c r="B118" s="93" t="s">
        <v>28</v>
      </c>
      <c r="C118" s="92" cm="1">
        <f t="array" aca="1" ref="C118" ca="1">INDIRECT("ИТОГО!G21")</f>
        <v>0</v>
      </c>
    </row>
    <row r="119" spans="1:3">
      <c r="A119" s="93" t="s">
        <v>48</v>
      </c>
      <c r="B119" s="93" t="s">
        <v>31</v>
      </c>
      <c r="C119" s="92" cm="1">
        <f t="array" aca="1" ref="C119" ca="1">INDIRECT("ИТОГО!G22")</f>
        <v>0</v>
      </c>
    </row>
    <row r="120" spans="1:3">
      <c r="A120" s="93" t="s">
        <v>42</v>
      </c>
      <c r="B120" s="93" t="s">
        <v>31</v>
      </c>
      <c r="C120" s="92" cm="1">
        <f t="array" aca="1" ref="C120" ca="1">INDIRECT("ИТОГО!G23")</f>
        <v>0</v>
      </c>
    </row>
    <row r="121" spans="1:3">
      <c r="A121" s="93" t="s">
        <v>44</v>
      </c>
      <c r="B121" s="93" t="s">
        <v>31</v>
      </c>
      <c r="C121" s="92" cm="1">
        <f t="array" aca="1" ref="C121" ca="1">INDIRECT("ИТОГО!G24")</f>
        <v>0</v>
      </c>
    </row>
    <row r="122" spans="1:3">
      <c r="A122" s="93" t="s">
        <v>42</v>
      </c>
      <c r="B122" s="93" t="s">
        <v>35</v>
      </c>
      <c r="C122" s="92" cm="1">
        <f t="array" aca="1" ref="C122" ca="1">INDIRECT("ИТОГО!G25")</f>
        <v>0</v>
      </c>
    </row>
    <row r="123" spans="1:3">
      <c r="A123" s="93" t="s">
        <v>53</v>
      </c>
      <c r="B123" s="93" t="s">
        <v>35</v>
      </c>
      <c r="C123" s="92" cm="1">
        <f t="array" aca="1" ref="C123" ca="1">INDIRECT("ИТОГО!G26")</f>
        <v>0</v>
      </c>
    </row>
    <row r="124" spans="1:3">
      <c r="A124" s="93" t="s">
        <v>55</v>
      </c>
      <c r="B124" s="93" t="s">
        <v>36</v>
      </c>
      <c r="C124" s="92" cm="1">
        <f t="array" aca="1" ref="C124" ca="1">INDIRECT("ИТОГО!G27")</f>
        <v>0</v>
      </c>
    </row>
    <row r="125" spans="1:3">
      <c r="A125" s="93" t="s">
        <v>44</v>
      </c>
      <c r="B125" s="93" t="s">
        <v>30</v>
      </c>
      <c r="C125" s="92" cm="1">
        <f t="array" aca="1" ref="C125" ca="1">INDIRECT("ИТОГО!G28")</f>
        <v>0</v>
      </c>
    </row>
    <row r="126" spans="1:3">
      <c r="A126" s="93" t="s">
        <v>48</v>
      </c>
      <c r="B126" s="93" t="s">
        <v>30</v>
      </c>
      <c r="C126" s="92" cm="1">
        <f t="array" aca="1" ref="C126" ca="1">INDIRECT("ИТОГО!G29")</f>
        <v>0</v>
      </c>
    </row>
    <row r="127" spans="1:3">
      <c r="A127" s="93" t="s">
        <v>46</v>
      </c>
      <c r="B127" s="93" t="s">
        <v>30</v>
      </c>
      <c r="C127" s="92" cm="1">
        <f t="array" aca="1" ref="C127" ca="1">INDIRECT("ИТОГО!G30")</f>
        <v>0</v>
      </c>
    </row>
    <row r="128" spans="1:3">
      <c r="A128" s="93" t="s">
        <v>42</v>
      </c>
      <c r="B128" s="93" t="s">
        <v>30</v>
      </c>
      <c r="C128" s="92" cm="1">
        <f t="array" aca="1" ref="C128" ca="1">INDIRECT("ИТОГО!G31")</f>
        <v>0</v>
      </c>
    </row>
    <row r="129" spans="1:3">
      <c r="A129" s="93" t="s">
        <v>59</v>
      </c>
      <c r="B129" s="93" t="s">
        <v>32</v>
      </c>
      <c r="C129" s="92" cm="1">
        <f t="array" aca="1" ref="C129" ca="1">INDIRECT("ИТОГО!G32")</f>
        <v>144133.37664</v>
      </c>
    </row>
    <row r="130" spans="1:3">
      <c r="A130" s="93" t="s">
        <v>48</v>
      </c>
      <c r="B130" s="93" t="s">
        <v>32</v>
      </c>
      <c r="C130" s="92" cm="1">
        <f t="array" aca="1" ref="C130" ca="1">INDIRECT("ИТОГО!G33")</f>
        <v>0</v>
      </c>
    </row>
    <row r="131" spans="1:3">
      <c r="A131" s="93" t="s">
        <v>44</v>
      </c>
      <c r="B131" s="93" t="s">
        <v>32</v>
      </c>
      <c r="C131" s="92" cm="1">
        <f t="array" aca="1" ref="C131" ca="1">INDIRECT("ИТОГО!G34")</f>
        <v>0</v>
      </c>
    </row>
    <row r="132" spans="1:3">
      <c r="A132" s="93" t="s">
        <v>46</v>
      </c>
      <c r="B132" s="93" t="s">
        <v>35</v>
      </c>
      <c r="C132" s="92" cm="1">
        <f t="array" aca="1" ref="C132" ca="1">INDIRECT("ИТОГО!G36")</f>
        <v>0</v>
      </c>
    </row>
    <row r="133" spans="1:3">
      <c r="A133" s="93" t="s">
        <v>44</v>
      </c>
      <c r="B133" s="93" t="s">
        <v>27</v>
      </c>
      <c r="C133" s="92" cm="1">
        <f t="array" aca="1" ref="C133" ca="1">INDIRECT("ИТОГО!G37")</f>
        <v>0</v>
      </c>
    </row>
    <row r="134" spans="1:3">
      <c r="A134" s="93" t="s">
        <v>42</v>
      </c>
      <c r="B134" s="93" t="s">
        <v>34</v>
      </c>
      <c r="C134" s="92" cm="1">
        <f t="array" aca="1" ref="C134" ca="1">INDIRECT("ИТОГО!G38")</f>
        <v>0</v>
      </c>
    </row>
    <row r="135" spans="1:3">
      <c r="A135" s="93" t="s">
        <v>48</v>
      </c>
      <c r="B135" s="93" t="s">
        <v>28</v>
      </c>
      <c r="C135" s="92" cm="1">
        <f t="array" aca="1" ref="C135" ca="1">INDIRECT("ИТОГО!G39")</f>
        <v>0</v>
      </c>
    </row>
    <row r="136" spans="1:3">
      <c r="A136" s="93" t="s">
        <v>42</v>
      </c>
      <c r="B136" s="93" t="s">
        <v>27</v>
      </c>
      <c r="C136" s="92" cm="1">
        <f t="array" aca="1" ref="C136" ca="1">INDIRECT("ИТОГО!G40")</f>
        <v>0</v>
      </c>
    </row>
    <row r="137" spans="1:3">
      <c r="A137" s="93" t="s">
        <v>65</v>
      </c>
      <c r="B137" s="93" t="s">
        <v>36</v>
      </c>
      <c r="C137" s="92" cm="1">
        <f t="array" aca="1" ref="C137" ca="1">INDIRECT("ИТОГО!G41")</f>
        <v>12010.656000000003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8F38B-E31A-4540-813C-53B24FD97A13}">
  <sheetPr>
    <pageSetUpPr fitToPage="1"/>
  </sheetPr>
  <dimension ref="A3:G22"/>
  <sheetViews>
    <sheetView workbookViewId="0">
      <selection activeCell="A5" sqref="A5"/>
    </sheetView>
  </sheetViews>
  <sheetFormatPr defaultRowHeight="15"/>
  <cols>
    <col min="1" max="1" width="18.85546875" style="28" customWidth="1"/>
    <col min="2" max="2" width="27.140625" style="28" customWidth="1"/>
    <col min="3" max="3" width="9.85546875" style="28" customWidth="1"/>
    <col min="4" max="4" width="11.28515625" style="28" customWidth="1"/>
    <col min="5" max="5" width="10.7109375" style="28" customWidth="1"/>
    <col min="6" max="6" width="14.5703125" style="28" customWidth="1"/>
    <col min="7" max="7" width="13.5703125" style="28" customWidth="1"/>
    <col min="8" max="16384" width="9.140625" style="28"/>
  </cols>
  <sheetData>
    <row r="3" spans="1:7">
      <c r="A3" s="46" t="str">
        <f ca="1">IF(DAY(TODAY())&gt;27,"Акт  №    от  " &amp; TEXT(TODAY(),"ДД ММММ ГГГГ"),"Акт  №    от  " &amp; TEXT(TODAY()-DAY(TODAY()),"ДД ММММ ГГГГ"))</f>
        <v>Акт  №    от  31 Май 2026</v>
      </c>
    </row>
    <row r="4" spans="1:7">
      <c r="A4" s="46" t="str">
        <f ca="1">IF(DAY(TODAY()) &gt; 22, "выполненных работ (оказанных услуг) за " &amp; TEXT(TODAY(),"ММММ ГГГГ"),"выполненных работ (оказанных услуг) за " &amp; TEXT(TODAY()-DAY(TODAY()),"ММММ ГГГГ"))</f>
        <v>выполненных работ (оказанных услуг) за Май 2026</v>
      </c>
      <c r="B4" s="46"/>
      <c r="C4" s="46"/>
    </row>
    <row r="5" spans="1:7">
      <c r="A5" s="46" t="s">
        <v>96</v>
      </c>
      <c r="B5" s="46"/>
      <c r="C5" s="46"/>
    </row>
    <row r="6" spans="1:7">
      <c r="A6" s="28" t="s">
        <v>97</v>
      </c>
    </row>
    <row r="7" spans="1:7">
      <c r="A7" s="28" t="s">
        <v>98</v>
      </c>
    </row>
    <row r="9" spans="1:7">
      <c r="A9" s="82" t="s">
        <v>0</v>
      </c>
      <c r="B9" s="82" t="s">
        <v>78</v>
      </c>
      <c r="C9" s="82" t="s">
        <v>79</v>
      </c>
      <c r="D9" s="82" t="s">
        <v>80</v>
      </c>
      <c r="E9" s="82" t="s">
        <v>81</v>
      </c>
      <c r="F9" s="82" t="s">
        <v>99</v>
      </c>
      <c r="G9" s="82" t="s">
        <v>100</v>
      </c>
    </row>
    <row r="10" spans="1:7">
      <c r="A10" s="83">
        <v>1</v>
      </c>
      <c r="B10" s="82" t="s">
        <v>101</v>
      </c>
      <c r="C10" s="83" t="s">
        <v>102</v>
      </c>
      <c r="D10" s="32">
        <v>3</v>
      </c>
      <c r="E10" s="89">
        <v>2000</v>
      </c>
      <c r="F10" s="89">
        <f>SUM(D10*E10)</f>
        <v>6000</v>
      </c>
      <c r="G10" s="89">
        <f>F10*1.22</f>
        <v>7320</v>
      </c>
    </row>
    <row r="11" spans="1:7">
      <c r="A11" s="83">
        <v>2</v>
      </c>
      <c r="B11" s="82" t="s">
        <v>103</v>
      </c>
      <c r="C11" s="83" t="s">
        <v>102</v>
      </c>
      <c r="D11" s="32"/>
      <c r="E11" s="89"/>
      <c r="F11" s="89">
        <f>SUM(D11*E11)</f>
        <v>0</v>
      </c>
      <c r="G11" s="89">
        <f>F11*1.2</f>
        <v>0</v>
      </c>
    </row>
    <row r="12" spans="1:7">
      <c r="A12" s="94"/>
      <c r="C12" s="94"/>
      <c r="D12" s="95"/>
      <c r="E12" s="80"/>
      <c r="F12" s="89">
        <f>SUM(F10:F11)</f>
        <v>6000</v>
      </c>
      <c r="G12" s="89">
        <f>SUM(G10:G11)</f>
        <v>7320</v>
      </c>
    </row>
    <row r="13" spans="1:7">
      <c r="A13" s="46" t="s">
        <v>104</v>
      </c>
      <c r="B13" s="46" t="s">
        <v>105</v>
      </c>
      <c r="C13" s="46"/>
      <c r="D13" s="46"/>
    </row>
    <row r="14" spans="1:7">
      <c r="A14" s="46" t="s">
        <v>106</v>
      </c>
      <c r="B14" s="46" t="str">
        <f>B13</f>
        <v>шесть тысяч рублей ноль копеек</v>
      </c>
      <c r="C14" s="46"/>
      <c r="D14" s="46"/>
    </row>
    <row r="15" spans="1:7">
      <c r="A15" s="46" t="s">
        <v>85</v>
      </c>
      <c r="B15" s="46" t="s">
        <v>107</v>
      </c>
      <c r="F15" s="96"/>
      <c r="G15" s="96"/>
    </row>
    <row r="16" spans="1:7">
      <c r="A16" s="28" t="s">
        <v>86</v>
      </c>
    </row>
    <row r="17" spans="1:4">
      <c r="A17" s="28" t="s">
        <v>87</v>
      </c>
    </row>
    <row r="20" spans="1:4">
      <c r="A20" s="28" t="s">
        <v>89</v>
      </c>
      <c r="D20" s="28" t="s">
        <v>108</v>
      </c>
    </row>
    <row r="22" spans="1:4">
      <c r="A22" s="28" t="s">
        <v>109</v>
      </c>
      <c r="D22" s="28" t="s">
        <v>93</v>
      </c>
    </row>
  </sheetData>
  <pageMargins left="0.7" right="0.7" top="0.75" bottom="0.75" header="0.3" footer="0.3"/>
  <pageSetup paperSize="9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7243E-0653-4F88-BC90-47C5E5B7AC41}">
  <sheetPr>
    <pageSetUpPr fitToPage="1"/>
  </sheetPr>
  <dimension ref="A3:G22"/>
  <sheetViews>
    <sheetView topLeftCell="A2" workbookViewId="0">
      <selection activeCell="B16" sqref="B16"/>
    </sheetView>
  </sheetViews>
  <sheetFormatPr defaultRowHeight="15"/>
  <cols>
    <col min="1" max="1" width="18.85546875" style="28" customWidth="1"/>
    <col min="2" max="2" width="27.140625" style="28" customWidth="1"/>
    <col min="3" max="3" width="9.85546875" style="28" customWidth="1"/>
    <col min="4" max="4" width="11.28515625" style="28" customWidth="1"/>
    <col min="5" max="5" width="10.7109375" style="28" customWidth="1"/>
    <col min="6" max="6" width="14.5703125" style="28" customWidth="1"/>
    <col min="7" max="7" width="13.5703125" style="28" customWidth="1"/>
    <col min="8" max="16384" width="9.140625" style="28"/>
  </cols>
  <sheetData>
    <row r="3" spans="1:7">
      <c r="A3" s="46" t="str">
        <f ca="1">IF(DAY(TODAY())&gt;27,"Акт  №    от  " &amp; TEXT(TODAY(),"ДД ММММ ГГГГ"),"Акт  №    от  " &amp; TEXT(TODAY()-DAY(TODAY()),"ДД ММММ ГГГГ")) &amp; " г. Зеленодольск"</f>
        <v>Акт  №    от  31 Май 2026 г. Зеленодольск</v>
      </c>
    </row>
    <row r="4" spans="1:7">
      <c r="A4" s="46" t="str">
        <f ca="1">IF(DAY(TODAY()) &gt; 27, "выполненных работ (оказанных услуг) за " &amp; TEXT(TODAY(),"ММММ ГГГГ"),"выполненных работ (оказанных услуг) за " &amp; TEXT(TODAY()-DAY(TODAY()),"ММММ ГГГГ"))</f>
        <v>выполненных работ (оказанных услуг) за Май 2026</v>
      </c>
      <c r="B4" s="46"/>
      <c r="C4" s="46"/>
    </row>
    <row r="5" spans="1:7">
      <c r="A5" s="46" t="s">
        <v>96</v>
      </c>
      <c r="B5" s="46"/>
      <c r="C5" s="46"/>
    </row>
    <row r="6" spans="1:7">
      <c r="A6" s="28" t="s">
        <v>97</v>
      </c>
    </row>
    <row r="7" spans="1:7">
      <c r="A7" s="28" t="str">
        <f ca="1">IF(DAY(TODAY()) &gt; 27,"Во исполнение Договора в период с " &amp; TEXT(TODAY()-DAY(TODAY()-DAY(TODAY())),"ДД ММММ ГГГГ") &amp; " г. По " &amp; TEXT(TODAY(),"ДД ММММ ГГГГ") &amp; "  г. ХРАНИТЕЛЬ оказал ПОКЛАЖЕДАТЕЛЮ следующие услуги (работы):"," Во исполнение Договора в период с " &amp; TEXT(TODAY()-DAY(TODAY())-DAY(TODAY()-DAY(TODAY()))+1,"ДД ММММ ГГГГ") &amp; " г. По " &amp; TEXT(TODAY()-DAY(TODAY()),"ДД ММММ ГГГГ") &amp; "  г. ХРАНИТЕЛЬ оказал ПОКЛАЖЕДАТЕЛЮ следующие услуги (работы):")</f>
        <v xml:space="preserve"> Во исполнение Договора в период с 01 Май 2026 г. По 31 Май 2026  г. ХРАНИТЕЛЬ оказал ПОКЛАЖЕДАТЕЛЮ следующие услуги (работы):</v>
      </c>
    </row>
    <row r="9" spans="1:7">
      <c r="A9" s="82" t="s">
        <v>0</v>
      </c>
      <c r="B9" s="82" t="s">
        <v>78</v>
      </c>
      <c r="C9" s="82" t="s">
        <v>79</v>
      </c>
      <c r="D9" s="82" t="s">
        <v>80</v>
      </c>
      <c r="E9" s="82" t="s">
        <v>81</v>
      </c>
      <c r="F9" s="82" t="s">
        <v>99</v>
      </c>
      <c r="G9" s="82" t="s">
        <v>100</v>
      </c>
    </row>
    <row r="10" spans="1:7">
      <c r="A10" s="83">
        <v>1</v>
      </c>
      <c r="B10" s="82" t="s">
        <v>101</v>
      </c>
      <c r="C10" s="83" t="s">
        <v>102</v>
      </c>
      <c r="D10" s="32">
        <v>19</v>
      </c>
      <c r="E10" s="89">
        <v>2000</v>
      </c>
      <c r="F10" s="89">
        <f>SUM(D10*E10)</f>
        <v>38000</v>
      </c>
      <c r="G10" s="89">
        <f>F10*1.22</f>
        <v>46360</v>
      </c>
    </row>
    <row r="11" spans="1:7">
      <c r="A11" s="83">
        <v>2</v>
      </c>
      <c r="B11" s="82" t="s">
        <v>103</v>
      </c>
      <c r="C11" s="83" t="s">
        <v>102</v>
      </c>
      <c r="D11" s="32"/>
      <c r="E11" s="89"/>
      <c r="F11" s="89">
        <f>SUM(D11*E11)</f>
        <v>0</v>
      </c>
      <c r="G11" s="89">
        <f>F11*1.2</f>
        <v>0</v>
      </c>
    </row>
    <row r="12" spans="1:7">
      <c r="A12" s="94"/>
      <c r="C12" s="94"/>
      <c r="D12" s="95"/>
      <c r="E12" s="80"/>
      <c r="F12" s="89">
        <f>SUM(F10:F11)</f>
        <v>38000</v>
      </c>
      <c r="G12" s="89">
        <f>SUM(G10:G11)</f>
        <v>46360</v>
      </c>
    </row>
    <row r="13" spans="1:7">
      <c r="A13" s="46" t="s">
        <v>104</v>
      </c>
      <c r="B13" s="46" t="s">
        <v>110</v>
      </c>
      <c r="C13" s="46"/>
      <c r="D13" s="46"/>
    </row>
    <row r="14" spans="1:7">
      <c r="A14" s="46" t="s">
        <v>106</v>
      </c>
      <c r="B14" s="46" t="str">
        <f>B13</f>
        <v>тридцать восемь тысяч рублей ноль копеек</v>
      </c>
      <c r="C14" s="46"/>
      <c r="D14" s="46"/>
    </row>
    <row r="15" spans="1:7">
      <c r="A15" s="46" t="s">
        <v>85</v>
      </c>
      <c r="B15" s="46" t="s">
        <v>111</v>
      </c>
      <c r="F15" s="96"/>
      <c r="G15" s="96"/>
    </row>
    <row r="16" spans="1:7">
      <c r="A16" s="28" t="s">
        <v>86</v>
      </c>
    </row>
    <row r="17" spans="1:4">
      <c r="A17" s="28" t="s">
        <v>87</v>
      </c>
    </row>
    <row r="20" spans="1:4">
      <c r="A20" s="28" t="s">
        <v>89</v>
      </c>
      <c r="D20" s="28" t="s">
        <v>108</v>
      </c>
    </row>
    <row r="22" spans="1:4">
      <c r="A22" s="28" t="s">
        <v>109</v>
      </c>
      <c r="D22" s="28" t="s">
        <v>93</v>
      </c>
    </row>
  </sheetData>
  <pageMargins left="0.7" right="0.7" top="0.75" bottom="0.75" header="0.3" footer="0.3"/>
  <pageSetup paperSize="9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C8331-35BC-4225-AB85-FA4C53DCD0A6}">
  <dimension ref="A1:R36"/>
  <sheetViews>
    <sheetView topLeftCell="A13" zoomScaleNormal="100" workbookViewId="0">
      <selection activeCell="E34" sqref="E34"/>
    </sheetView>
  </sheetViews>
  <sheetFormatPr defaultRowHeight="15"/>
  <cols>
    <col min="1" max="1" width="12.28515625" style="28" customWidth="1"/>
    <col min="2" max="17" width="9.140625" style="28"/>
    <col min="18" max="18" width="10.42578125" style="28" customWidth="1"/>
    <col min="19" max="16384" width="9.140625" style="28"/>
  </cols>
  <sheetData>
    <row r="1" spans="1:18">
      <c r="A1" s="97">
        <f>R36</f>
        <v>16819</v>
      </c>
    </row>
    <row r="2" spans="1:18">
      <c r="B2" s="46" t="s">
        <v>112</v>
      </c>
    </row>
    <row r="3" spans="1:18" ht="28.9" customHeight="1">
      <c r="A3" s="146" t="s">
        <v>0</v>
      </c>
      <c r="B3" s="150" t="s">
        <v>1</v>
      </c>
      <c r="C3" s="151"/>
      <c r="D3" s="146" t="s">
        <v>113</v>
      </c>
      <c r="E3" s="146" t="s">
        <v>114</v>
      </c>
      <c r="F3" s="146" t="s">
        <v>115</v>
      </c>
      <c r="G3" s="146" t="s">
        <v>116</v>
      </c>
      <c r="H3" s="30" t="s">
        <v>4</v>
      </c>
      <c r="I3" s="146" t="s">
        <v>117</v>
      </c>
      <c r="J3" s="146" t="s">
        <v>118</v>
      </c>
      <c r="K3" s="146" t="s">
        <v>11</v>
      </c>
      <c r="L3" s="146" t="s">
        <v>12</v>
      </c>
      <c r="M3" s="146" t="s">
        <v>119</v>
      </c>
      <c r="N3" s="146" t="s">
        <v>120</v>
      </c>
      <c r="O3" s="146" t="s">
        <v>13</v>
      </c>
      <c r="P3" s="146" t="s">
        <v>121</v>
      </c>
      <c r="Q3" s="146" t="s">
        <v>122</v>
      </c>
      <c r="R3" s="146" t="s">
        <v>18</v>
      </c>
    </row>
    <row r="4" spans="1:18" ht="30">
      <c r="A4" s="147"/>
      <c r="B4" s="152"/>
      <c r="C4" s="153"/>
      <c r="D4" s="147"/>
      <c r="E4" s="147"/>
      <c r="F4" s="147"/>
      <c r="G4" s="147"/>
      <c r="H4" s="31" t="s">
        <v>123</v>
      </c>
      <c r="I4" s="147"/>
      <c r="J4" s="147"/>
      <c r="K4" s="147"/>
      <c r="L4" s="147"/>
      <c r="M4" s="147"/>
      <c r="N4" s="147"/>
      <c r="O4" s="147"/>
      <c r="P4" s="147"/>
      <c r="Q4" s="147"/>
      <c r="R4" s="147"/>
    </row>
    <row r="5" spans="1:18">
      <c r="A5" s="32">
        <v>1</v>
      </c>
      <c r="B5" s="170">
        <v>46113</v>
      </c>
      <c r="C5" s="171"/>
      <c r="D5" s="106"/>
      <c r="E5" s="83"/>
      <c r="F5" s="83"/>
      <c r="G5" s="83"/>
      <c r="H5" s="82">
        <v>20</v>
      </c>
      <c r="I5" s="82"/>
      <c r="J5" s="82"/>
      <c r="K5" s="82">
        <f>SUM(D5*171)</f>
        <v>0</v>
      </c>
      <c r="L5" s="82">
        <f>SUM(E5*171)</f>
        <v>0</v>
      </c>
      <c r="M5" s="82">
        <f>F5*1018</f>
        <v>0</v>
      </c>
      <c r="N5" s="82">
        <f>G5*1018</f>
        <v>0</v>
      </c>
      <c r="O5" s="82">
        <f>SUM(H5*22)</f>
        <v>440</v>
      </c>
      <c r="P5" s="82">
        <f>I5*509</f>
        <v>0</v>
      </c>
      <c r="Q5" s="82">
        <f>SUM(J5)*610</f>
        <v>0</v>
      </c>
      <c r="R5" s="82">
        <f>SUM(K5:Q5)</f>
        <v>440</v>
      </c>
    </row>
    <row r="6" spans="1:18">
      <c r="A6" s="32">
        <v>2</v>
      </c>
      <c r="B6" s="170">
        <v>46114</v>
      </c>
      <c r="C6" s="171"/>
      <c r="D6" s="106"/>
      <c r="E6" s="83"/>
      <c r="F6" s="83"/>
      <c r="G6" s="83"/>
      <c r="H6" s="82">
        <f>H5+D6-E5</f>
        <v>20</v>
      </c>
      <c r="I6" s="82"/>
      <c r="J6" s="82"/>
      <c r="K6" s="82">
        <f t="shared" ref="K6:K35" si="0">SUM(D6*171)</f>
        <v>0</v>
      </c>
      <c r="L6" s="82">
        <f t="shared" ref="L6:L35" si="1">SUM(E6*171)</f>
        <v>0</v>
      </c>
      <c r="M6" s="82">
        <f t="shared" ref="M6:N35" si="2">F6*1018</f>
        <v>0</v>
      </c>
      <c r="N6" s="82">
        <f t="shared" si="2"/>
        <v>0</v>
      </c>
      <c r="O6" s="82">
        <f t="shared" ref="O6:O35" si="3">SUM(H6*22)</f>
        <v>440</v>
      </c>
      <c r="P6" s="82">
        <f t="shared" ref="P6:P35" si="4">I6*509</f>
        <v>0</v>
      </c>
      <c r="Q6" s="82">
        <f t="shared" ref="Q6:Q35" si="5">SUM(J6)*610</f>
        <v>0</v>
      </c>
      <c r="R6" s="82">
        <f t="shared" ref="R6:R34" si="6">SUM(K6:Q6)</f>
        <v>440</v>
      </c>
    </row>
    <row r="7" spans="1:18">
      <c r="A7" s="32">
        <v>3</v>
      </c>
      <c r="B7" s="170">
        <v>46115</v>
      </c>
      <c r="C7" s="171"/>
      <c r="D7" s="106"/>
      <c r="E7" s="83">
        <v>2</v>
      </c>
      <c r="F7" s="83"/>
      <c r="G7" s="83"/>
      <c r="H7" s="82">
        <f t="shared" ref="H7:H34" si="7">H6+D7-E6</f>
        <v>20</v>
      </c>
      <c r="I7" s="82"/>
      <c r="J7" s="82"/>
      <c r="K7" s="82">
        <f t="shared" si="0"/>
        <v>0</v>
      </c>
      <c r="L7" s="82">
        <f t="shared" si="1"/>
        <v>342</v>
      </c>
      <c r="M7" s="82">
        <f t="shared" si="2"/>
        <v>0</v>
      </c>
      <c r="N7" s="82">
        <f t="shared" si="2"/>
        <v>0</v>
      </c>
      <c r="O7" s="82">
        <f t="shared" si="3"/>
        <v>440</v>
      </c>
      <c r="P7" s="82">
        <f t="shared" si="4"/>
        <v>0</v>
      </c>
      <c r="Q7" s="82">
        <f t="shared" si="5"/>
        <v>0</v>
      </c>
      <c r="R7" s="82">
        <f t="shared" si="6"/>
        <v>782</v>
      </c>
    </row>
    <row r="8" spans="1:18">
      <c r="A8" s="32">
        <v>4</v>
      </c>
      <c r="B8" s="170">
        <v>46116</v>
      </c>
      <c r="C8" s="171"/>
      <c r="D8" s="106"/>
      <c r="E8" s="83"/>
      <c r="F8" s="83"/>
      <c r="G8" s="83"/>
      <c r="H8" s="82">
        <f t="shared" si="7"/>
        <v>18</v>
      </c>
      <c r="I8" s="82"/>
      <c r="J8" s="82"/>
      <c r="K8" s="82">
        <f t="shared" si="0"/>
        <v>0</v>
      </c>
      <c r="L8" s="82">
        <f t="shared" si="1"/>
        <v>0</v>
      </c>
      <c r="M8" s="82">
        <f t="shared" si="2"/>
        <v>0</v>
      </c>
      <c r="N8" s="82">
        <f t="shared" si="2"/>
        <v>0</v>
      </c>
      <c r="O8" s="82">
        <f t="shared" si="3"/>
        <v>396</v>
      </c>
      <c r="P8" s="82">
        <f t="shared" si="4"/>
        <v>0</v>
      </c>
      <c r="Q8" s="82">
        <f t="shared" si="5"/>
        <v>0</v>
      </c>
      <c r="R8" s="82">
        <f t="shared" si="6"/>
        <v>396</v>
      </c>
    </row>
    <row r="9" spans="1:18">
      <c r="A9" s="98">
        <v>5</v>
      </c>
      <c r="B9" s="170">
        <v>46117</v>
      </c>
      <c r="C9" s="171"/>
      <c r="D9" s="107"/>
      <c r="E9" s="99"/>
      <c r="F9" s="99"/>
      <c r="G9" s="99"/>
      <c r="H9" s="82">
        <f t="shared" si="7"/>
        <v>18</v>
      </c>
      <c r="I9" s="82"/>
      <c r="J9" s="100"/>
      <c r="K9" s="82">
        <f t="shared" si="0"/>
        <v>0</v>
      </c>
      <c r="L9" s="82">
        <f t="shared" si="1"/>
        <v>0</v>
      </c>
      <c r="M9" s="82">
        <f t="shared" si="2"/>
        <v>0</v>
      </c>
      <c r="N9" s="82">
        <f t="shared" si="2"/>
        <v>0</v>
      </c>
      <c r="O9" s="82">
        <f t="shared" si="3"/>
        <v>396</v>
      </c>
      <c r="P9" s="82">
        <f t="shared" si="4"/>
        <v>0</v>
      </c>
      <c r="Q9" s="82">
        <f t="shared" si="5"/>
        <v>0</v>
      </c>
      <c r="R9" s="100">
        <f t="shared" si="6"/>
        <v>396</v>
      </c>
    </row>
    <row r="10" spans="1:18">
      <c r="A10" s="98">
        <v>6</v>
      </c>
      <c r="B10" s="170">
        <v>46118</v>
      </c>
      <c r="C10" s="171"/>
      <c r="D10" s="107"/>
      <c r="E10" s="99"/>
      <c r="F10" s="99"/>
      <c r="G10" s="99"/>
      <c r="H10" s="82">
        <f t="shared" si="7"/>
        <v>18</v>
      </c>
      <c r="I10" s="82"/>
      <c r="J10" s="100"/>
      <c r="K10" s="82">
        <f t="shared" si="0"/>
        <v>0</v>
      </c>
      <c r="L10" s="82">
        <f t="shared" si="1"/>
        <v>0</v>
      </c>
      <c r="M10" s="82">
        <f t="shared" si="2"/>
        <v>0</v>
      </c>
      <c r="N10" s="82">
        <f t="shared" si="2"/>
        <v>0</v>
      </c>
      <c r="O10" s="82">
        <f t="shared" si="3"/>
        <v>396</v>
      </c>
      <c r="P10" s="82">
        <f t="shared" si="4"/>
        <v>0</v>
      </c>
      <c r="Q10" s="82">
        <f t="shared" si="5"/>
        <v>0</v>
      </c>
      <c r="R10" s="100">
        <f t="shared" si="6"/>
        <v>396</v>
      </c>
    </row>
    <row r="11" spans="1:18">
      <c r="A11" s="98">
        <v>7</v>
      </c>
      <c r="B11" s="170">
        <v>46119</v>
      </c>
      <c r="C11" s="171"/>
      <c r="D11" s="107"/>
      <c r="E11" s="99"/>
      <c r="F11" s="99"/>
      <c r="G11" s="99"/>
      <c r="H11" s="82">
        <f t="shared" si="7"/>
        <v>18</v>
      </c>
      <c r="I11" s="82"/>
      <c r="J11" s="100"/>
      <c r="K11" s="82">
        <f t="shared" si="0"/>
        <v>0</v>
      </c>
      <c r="L11" s="82">
        <f t="shared" si="1"/>
        <v>0</v>
      </c>
      <c r="M11" s="82">
        <f t="shared" si="2"/>
        <v>0</v>
      </c>
      <c r="N11" s="82">
        <f t="shared" si="2"/>
        <v>0</v>
      </c>
      <c r="O11" s="82">
        <f t="shared" si="3"/>
        <v>396</v>
      </c>
      <c r="P11" s="82">
        <f t="shared" si="4"/>
        <v>0</v>
      </c>
      <c r="Q11" s="82">
        <f t="shared" si="5"/>
        <v>0</v>
      </c>
      <c r="R11" s="100">
        <f t="shared" si="6"/>
        <v>396</v>
      </c>
    </row>
    <row r="12" spans="1:18">
      <c r="A12" s="98">
        <v>8</v>
      </c>
      <c r="B12" s="170">
        <v>46120</v>
      </c>
      <c r="C12" s="171"/>
      <c r="D12" s="107"/>
      <c r="E12" s="99"/>
      <c r="F12" s="99"/>
      <c r="G12" s="99"/>
      <c r="H12" s="82">
        <f t="shared" si="7"/>
        <v>18</v>
      </c>
      <c r="I12" s="82"/>
      <c r="J12" s="100"/>
      <c r="K12" s="82">
        <f t="shared" si="0"/>
        <v>0</v>
      </c>
      <c r="L12" s="82">
        <f t="shared" si="1"/>
        <v>0</v>
      </c>
      <c r="M12" s="82">
        <f t="shared" si="2"/>
        <v>0</v>
      </c>
      <c r="N12" s="82">
        <f t="shared" si="2"/>
        <v>0</v>
      </c>
      <c r="O12" s="82">
        <f t="shared" si="3"/>
        <v>396</v>
      </c>
      <c r="P12" s="82">
        <f t="shared" si="4"/>
        <v>0</v>
      </c>
      <c r="Q12" s="82">
        <f t="shared" si="5"/>
        <v>0</v>
      </c>
      <c r="R12" s="100">
        <f t="shared" si="6"/>
        <v>396</v>
      </c>
    </row>
    <row r="13" spans="1:18">
      <c r="A13" s="32">
        <v>9</v>
      </c>
      <c r="B13" s="170">
        <v>46121</v>
      </c>
      <c r="C13" s="171"/>
      <c r="D13" s="106"/>
      <c r="E13" s="83"/>
      <c r="F13" s="83"/>
      <c r="G13" s="83"/>
      <c r="H13" s="82">
        <f t="shared" si="7"/>
        <v>18</v>
      </c>
      <c r="I13" s="82"/>
      <c r="J13" s="82"/>
      <c r="K13" s="82">
        <f t="shared" si="0"/>
        <v>0</v>
      </c>
      <c r="L13" s="82">
        <f t="shared" si="1"/>
        <v>0</v>
      </c>
      <c r="M13" s="82">
        <f t="shared" si="2"/>
        <v>0</v>
      </c>
      <c r="N13" s="82">
        <f t="shared" si="2"/>
        <v>0</v>
      </c>
      <c r="O13" s="82">
        <f t="shared" si="3"/>
        <v>396</v>
      </c>
      <c r="P13" s="82">
        <f t="shared" si="4"/>
        <v>0</v>
      </c>
      <c r="Q13" s="82">
        <f t="shared" si="5"/>
        <v>0</v>
      </c>
      <c r="R13" s="82">
        <f t="shared" si="6"/>
        <v>396</v>
      </c>
    </row>
    <row r="14" spans="1:18">
      <c r="A14" s="32">
        <v>10</v>
      </c>
      <c r="B14" s="170">
        <v>46122</v>
      </c>
      <c r="C14" s="171"/>
      <c r="D14" s="106"/>
      <c r="E14" s="83"/>
      <c r="F14" s="83"/>
      <c r="G14" s="83"/>
      <c r="H14" s="82">
        <f t="shared" si="7"/>
        <v>18</v>
      </c>
      <c r="I14" s="82"/>
      <c r="J14" s="82"/>
      <c r="K14" s="82">
        <f t="shared" si="0"/>
        <v>0</v>
      </c>
      <c r="L14" s="82">
        <f t="shared" si="1"/>
        <v>0</v>
      </c>
      <c r="M14" s="82">
        <f t="shared" si="2"/>
        <v>0</v>
      </c>
      <c r="N14" s="82">
        <f t="shared" si="2"/>
        <v>0</v>
      </c>
      <c r="O14" s="82">
        <f t="shared" si="3"/>
        <v>396</v>
      </c>
      <c r="P14" s="82">
        <f t="shared" si="4"/>
        <v>0</v>
      </c>
      <c r="Q14" s="82">
        <f t="shared" si="5"/>
        <v>0</v>
      </c>
      <c r="R14" s="82">
        <f t="shared" si="6"/>
        <v>396</v>
      </c>
    </row>
    <row r="15" spans="1:18">
      <c r="A15" s="98">
        <v>11</v>
      </c>
      <c r="B15" s="170">
        <v>46123</v>
      </c>
      <c r="C15" s="171"/>
      <c r="D15" s="107"/>
      <c r="E15" s="99"/>
      <c r="F15" s="99"/>
      <c r="G15" s="83"/>
      <c r="H15" s="82">
        <f t="shared" si="7"/>
        <v>18</v>
      </c>
      <c r="I15" s="82"/>
      <c r="J15" s="100"/>
      <c r="K15" s="82">
        <f t="shared" si="0"/>
        <v>0</v>
      </c>
      <c r="L15" s="82">
        <f t="shared" si="1"/>
        <v>0</v>
      </c>
      <c r="M15" s="82">
        <f t="shared" si="2"/>
        <v>0</v>
      </c>
      <c r="N15" s="82">
        <f t="shared" si="2"/>
        <v>0</v>
      </c>
      <c r="O15" s="82">
        <f t="shared" si="3"/>
        <v>396</v>
      </c>
      <c r="P15" s="82">
        <f t="shared" si="4"/>
        <v>0</v>
      </c>
      <c r="Q15" s="82">
        <f t="shared" si="5"/>
        <v>0</v>
      </c>
      <c r="R15" s="100">
        <f t="shared" si="6"/>
        <v>396</v>
      </c>
    </row>
    <row r="16" spans="1:18">
      <c r="A16" s="98">
        <v>12</v>
      </c>
      <c r="B16" s="170">
        <v>46124</v>
      </c>
      <c r="C16" s="171"/>
      <c r="D16" s="107"/>
      <c r="E16" s="99"/>
      <c r="F16" s="99"/>
      <c r="G16" s="83"/>
      <c r="H16" s="82">
        <f t="shared" si="7"/>
        <v>18</v>
      </c>
      <c r="I16" s="82"/>
      <c r="J16" s="100"/>
      <c r="K16" s="82">
        <f t="shared" si="0"/>
        <v>0</v>
      </c>
      <c r="L16" s="82">
        <f t="shared" si="1"/>
        <v>0</v>
      </c>
      <c r="M16" s="82">
        <f t="shared" si="2"/>
        <v>0</v>
      </c>
      <c r="N16" s="82">
        <f t="shared" si="2"/>
        <v>0</v>
      </c>
      <c r="O16" s="82">
        <f t="shared" si="3"/>
        <v>396</v>
      </c>
      <c r="P16" s="82">
        <f t="shared" si="4"/>
        <v>0</v>
      </c>
      <c r="Q16" s="82">
        <f t="shared" si="5"/>
        <v>0</v>
      </c>
      <c r="R16" s="100">
        <f t="shared" si="6"/>
        <v>396</v>
      </c>
    </row>
    <row r="17" spans="1:18">
      <c r="A17" s="98">
        <v>13</v>
      </c>
      <c r="B17" s="170">
        <v>46125</v>
      </c>
      <c r="C17" s="171"/>
      <c r="D17" s="107"/>
      <c r="E17" s="99"/>
      <c r="F17" s="99"/>
      <c r="G17" s="83"/>
      <c r="H17" s="82">
        <f t="shared" si="7"/>
        <v>18</v>
      </c>
      <c r="I17" s="82"/>
      <c r="J17" s="100"/>
      <c r="K17" s="82">
        <f t="shared" si="0"/>
        <v>0</v>
      </c>
      <c r="L17" s="82">
        <f t="shared" si="1"/>
        <v>0</v>
      </c>
      <c r="M17" s="82">
        <f t="shared" si="2"/>
        <v>0</v>
      </c>
      <c r="N17" s="82">
        <f t="shared" si="2"/>
        <v>0</v>
      </c>
      <c r="O17" s="82">
        <f t="shared" si="3"/>
        <v>396</v>
      </c>
      <c r="P17" s="82">
        <f t="shared" si="4"/>
        <v>0</v>
      </c>
      <c r="Q17" s="82">
        <f t="shared" si="5"/>
        <v>0</v>
      </c>
      <c r="R17" s="100">
        <f t="shared" si="6"/>
        <v>396</v>
      </c>
    </row>
    <row r="18" spans="1:18">
      <c r="A18" s="98">
        <v>14</v>
      </c>
      <c r="B18" s="170">
        <v>46126</v>
      </c>
      <c r="C18" s="171"/>
      <c r="D18" s="107"/>
      <c r="E18" s="99">
        <v>7</v>
      </c>
      <c r="F18" s="99"/>
      <c r="G18" s="83"/>
      <c r="H18" s="82">
        <f t="shared" si="7"/>
        <v>18</v>
      </c>
      <c r="I18" s="82"/>
      <c r="J18" s="100"/>
      <c r="K18" s="82">
        <f t="shared" si="0"/>
        <v>0</v>
      </c>
      <c r="L18" s="82">
        <f t="shared" si="1"/>
        <v>1197</v>
      </c>
      <c r="M18" s="82">
        <f t="shared" si="2"/>
        <v>0</v>
      </c>
      <c r="N18" s="82">
        <f t="shared" si="2"/>
        <v>0</v>
      </c>
      <c r="O18" s="82">
        <f t="shared" si="3"/>
        <v>396</v>
      </c>
      <c r="P18" s="82">
        <f t="shared" si="4"/>
        <v>0</v>
      </c>
      <c r="Q18" s="82">
        <f t="shared" si="5"/>
        <v>0</v>
      </c>
      <c r="R18" s="100">
        <f t="shared" si="6"/>
        <v>1593</v>
      </c>
    </row>
    <row r="19" spans="1:18">
      <c r="A19" s="98">
        <v>15</v>
      </c>
      <c r="B19" s="170">
        <v>46127</v>
      </c>
      <c r="C19" s="171"/>
      <c r="D19" s="107"/>
      <c r="E19" s="99"/>
      <c r="F19" s="99"/>
      <c r="G19" s="83"/>
      <c r="H19" s="82">
        <f t="shared" si="7"/>
        <v>11</v>
      </c>
      <c r="I19" s="82"/>
      <c r="J19" s="100"/>
      <c r="K19" s="82">
        <f t="shared" si="0"/>
        <v>0</v>
      </c>
      <c r="L19" s="82">
        <f t="shared" si="1"/>
        <v>0</v>
      </c>
      <c r="M19" s="82">
        <f t="shared" si="2"/>
        <v>0</v>
      </c>
      <c r="N19" s="82">
        <f t="shared" si="2"/>
        <v>0</v>
      </c>
      <c r="O19" s="82">
        <f t="shared" si="3"/>
        <v>242</v>
      </c>
      <c r="P19" s="82">
        <f t="shared" si="4"/>
        <v>0</v>
      </c>
      <c r="Q19" s="82">
        <f t="shared" si="5"/>
        <v>0</v>
      </c>
      <c r="R19" s="100">
        <f t="shared" si="6"/>
        <v>242</v>
      </c>
    </row>
    <row r="20" spans="1:18">
      <c r="A20" s="32">
        <v>16</v>
      </c>
      <c r="B20" s="170">
        <v>46128</v>
      </c>
      <c r="C20" s="171"/>
      <c r="D20" s="106"/>
      <c r="E20" s="83"/>
      <c r="F20" s="83"/>
      <c r="G20" s="99"/>
      <c r="H20" s="82">
        <f t="shared" si="7"/>
        <v>11</v>
      </c>
      <c r="I20" s="82"/>
      <c r="J20" s="82"/>
      <c r="K20" s="82">
        <f t="shared" si="0"/>
        <v>0</v>
      </c>
      <c r="L20" s="82">
        <f t="shared" si="1"/>
        <v>0</v>
      </c>
      <c r="M20" s="82">
        <f t="shared" si="2"/>
        <v>0</v>
      </c>
      <c r="N20" s="82">
        <f t="shared" si="2"/>
        <v>0</v>
      </c>
      <c r="O20" s="82">
        <f t="shared" si="3"/>
        <v>242</v>
      </c>
      <c r="P20" s="82">
        <f t="shared" si="4"/>
        <v>0</v>
      </c>
      <c r="Q20" s="82">
        <f t="shared" si="5"/>
        <v>0</v>
      </c>
      <c r="R20" s="82">
        <f t="shared" si="6"/>
        <v>242</v>
      </c>
    </row>
    <row r="21" spans="1:18">
      <c r="A21" s="32">
        <v>17</v>
      </c>
      <c r="B21" s="170">
        <v>46129</v>
      </c>
      <c r="C21" s="171"/>
      <c r="D21" s="106"/>
      <c r="E21" s="83"/>
      <c r="F21" s="83"/>
      <c r="G21" s="99"/>
      <c r="H21" s="82">
        <f t="shared" si="7"/>
        <v>11</v>
      </c>
      <c r="I21" s="82"/>
      <c r="J21" s="82"/>
      <c r="K21" s="82">
        <f t="shared" si="0"/>
        <v>0</v>
      </c>
      <c r="L21" s="82">
        <f t="shared" si="1"/>
        <v>0</v>
      </c>
      <c r="M21" s="82">
        <f t="shared" si="2"/>
        <v>0</v>
      </c>
      <c r="N21" s="82">
        <f t="shared" si="2"/>
        <v>0</v>
      </c>
      <c r="O21" s="82">
        <f t="shared" si="3"/>
        <v>242</v>
      </c>
      <c r="P21" s="82">
        <f t="shared" si="4"/>
        <v>0</v>
      </c>
      <c r="Q21" s="82">
        <f t="shared" si="5"/>
        <v>0</v>
      </c>
      <c r="R21" s="82">
        <f t="shared" si="6"/>
        <v>242</v>
      </c>
    </row>
    <row r="22" spans="1:18">
      <c r="A22" s="98">
        <v>18</v>
      </c>
      <c r="B22" s="170">
        <v>46130</v>
      </c>
      <c r="C22" s="171"/>
      <c r="D22" s="107"/>
      <c r="E22" s="99"/>
      <c r="F22" s="99"/>
      <c r="G22" s="99"/>
      <c r="H22" s="82">
        <f t="shared" si="7"/>
        <v>11</v>
      </c>
      <c r="I22" s="100"/>
      <c r="J22" s="100"/>
      <c r="K22" s="82">
        <f t="shared" si="0"/>
        <v>0</v>
      </c>
      <c r="L22" s="82">
        <f t="shared" si="1"/>
        <v>0</v>
      </c>
      <c r="M22" s="82">
        <f t="shared" si="2"/>
        <v>0</v>
      </c>
      <c r="N22" s="82">
        <f t="shared" si="2"/>
        <v>0</v>
      </c>
      <c r="O22" s="82">
        <f t="shared" si="3"/>
        <v>242</v>
      </c>
      <c r="P22" s="82">
        <f t="shared" si="4"/>
        <v>0</v>
      </c>
      <c r="Q22" s="82">
        <f t="shared" si="5"/>
        <v>0</v>
      </c>
      <c r="R22" s="100">
        <f t="shared" si="6"/>
        <v>242</v>
      </c>
    </row>
    <row r="23" spans="1:18">
      <c r="A23" s="98">
        <v>19</v>
      </c>
      <c r="B23" s="170">
        <v>46131</v>
      </c>
      <c r="C23" s="171"/>
      <c r="D23" s="107"/>
      <c r="E23" s="99"/>
      <c r="F23" s="99"/>
      <c r="G23" s="99"/>
      <c r="H23" s="82">
        <f t="shared" si="7"/>
        <v>11</v>
      </c>
      <c r="I23" s="100"/>
      <c r="J23" s="100"/>
      <c r="K23" s="82">
        <f t="shared" si="0"/>
        <v>0</v>
      </c>
      <c r="L23" s="82">
        <f t="shared" si="1"/>
        <v>0</v>
      </c>
      <c r="M23" s="82">
        <f t="shared" si="2"/>
        <v>0</v>
      </c>
      <c r="N23" s="82">
        <f t="shared" si="2"/>
        <v>0</v>
      </c>
      <c r="O23" s="82">
        <f t="shared" si="3"/>
        <v>242</v>
      </c>
      <c r="P23" s="82">
        <f t="shared" si="4"/>
        <v>0</v>
      </c>
      <c r="Q23" s="82">
        <f t="shared" si="5"/>
        <v>0</v>
      </c>
      <c r="R23" s="100">
        <f t="shared" si="6"/>
        <v>242</v>
      </c>
    </row>
    <row r="24" spans="1:18">
      <c r="A24" s="98">
        <v>20</v>
      </c>
      <c r="B24" s="170">
        <v>46132</v>
      </c>
      <c r="C24" s="171"/>
      <c r="D24" s="107"/>
      <c r="E24" s="99"/>
      <c r="F24" s="99"/>
      <c r="G24" s="99"/>
      <c r="H24" s="82">
        <f t="shared" si="7"/>
        <v>11</v>
      </c>
      <c r="I24" s="100"/>
      <c r="J24" s="100"/>
      <c r="K24" s="82">
        <f t="shared" si="0"/>
        <v>0</v>
      </c>
      <c r="L24" s="82">
        <f t="shared" si="1"/>
        <v>0</v>
      </c>
      <c r="M24" s="82">
        <f t="shared" si="2"/>
        <v>0</v>
      </c>
      <c r="N24" s="82">
        <f t="shared" si="2"/>
        <v>0</v>
      </c>
      <c r="O24" s="82">
        <f t="shared" si="3"/>
        <v>242</v>
      </c>
      <c r="P24" s="82">
        <f t="shared" si="4"/>
        <v>0</v>
      </c>
      <c r="Q24" s="82">
        <f t="shared" si="5"/>
        <v>0</v>
      </c>
      <c r="R24" s="100">
        <f t="shared" si="6"/>
        <v>242</v>
      </c>
    </row>
    <row r="25" spans="1:18">
      <c r="A25" s="98">
        <v>21</v>
      </c>
      <c r="B25" s="170">
        <v>46133</v>
      </c>
      <c r="C25" s="171"/>
      <c r="D25" s="107"/>
      <c r="E25" s="99"/>
      <c r="F25" s="99"/>
      <c r="G25" s="99"/>
      <c r="H25" s="82">
        <f t="shared" si="7"/>
        <v>11</v>
      </c>
      <c r="I25" s="100"/>
      <c r="J25" s="100"/>
      <c r="K25" s="82">
        <f t="shared" si="0"/>
        <v>0</v>
      </c>
      <c r="L25" s="82">
        <f t="shared" si="1"/>
        <v>0</v>
      </c>
      <c r="M25" s="82">
        <f t="shared" si="2"/>
        <v>0</v>
      </c>
      <c r="N25" s="82">
        <f t="shared" si="2"/>
        <v>0</v>
      </c>
      <c r="O25" s="82">
        <f t="shared" si="3"/>
        <v>242</v>
      </c>
      <c r="P25" s="82">
        <f t="shared" si="4"/>
        <v>0</v>
      </c>
      <c r="Q25" s="82">
        <f t="shared" si="5"/>
        <v>0</v>
      </c>
      <c r="R25" s="100">
        <f t="shared" si="6"/>
        <v>242</v>
      </c>
    </row>
    <row r="26" spans="1:18">
      <c r="A26" s="98">
        <v>22</v>
      </c>
      <c r="B26" s="170">
        <v>46134</v>
      </c>
      <c r="C26" s="171"/>
      <c r="D26" s="107"/>
      <c r="E26" s="99"/>
      <c r="F26" s="99"/>
      <c r="G26" s="99"/>
      <c r="H26" s="82">
        <f t="shared" si="7"/>
        <v>11</v>
      </c>
      <c r="I26" s="82"/>
      <c r="J26" s="100"/>
      <c r="K26" s="82">
        <f t="shared" si="0"/>
        <v>0</v>
      </c>
      <c r="L26" s="82">
        <f t="shared" si="1"/>
        <v>0</v>
      </c>
      <c r="M26" s="82">
        <f t="shared" si="2"/>
        <v>0</v>
      </c>
      <c r="N26" s="82">
        <f t="shared" si="2"/>
        <v>0</v>
      </c>
      <c r="O26" s="82">
        <f t="shared" si="3"/>
        <v>242</v>
      </c>
      <c r="P26" s="82">
        <f t="shared" si="4"/>
        <v>0</v>
      </c>
      <c r="Q26" s="82">
        <f t="shared" si="5"/>
        <v>0</v>
      </c>
      <c r="R26" s="100">
        <f t="shared" si="6"/>
        <v>242</v>
      </c>
    </row>
    <row r="27" spans="1:18">
      <c r="A27" s="32">
        <v>23</v>
      </c>
      <c r="B27" s="170">
        <v>46135</v>
      </c>
      <c r="C27" s="171"/>
      <c r="D27" s="106"/>
      <c r="E27" s="83"/>
      <c r="F27" s="83"/>
      <c r="G27" s="83"/>
      <c r="H27" s="82">
        <f t="shared" si="7"/>
        <v>11</v>
      </c>
      <c r="I27" s="82"/>
      <c r="J27" s="82"/>
      <c r="K27" s="82">
        <f t="shared" si="0"/>
        <v>0</v>
      </c>
      <c r="L27" s="82">
        <f t="shared" si="1"/>
        <v>0</v>
      </c>
      <c r="M27" s="82">
        <f t="shared" si="2"/>
        <v>0</v>
      </c>
      <c r="N27" s="82">
        <f t="shared" si="2"/>
        <v>0</v>
      </c>
      <c r="O27" s="82">
        <f t="shared" si="3"/>
        <v>242</v>
      </c>
      <c r="P27" s="82">
        <f t="shared" si="4"/>
        <v>0</v>
      </c>
      <c r="Q27" s="82">
        <f t="shared" si="5"/>
        <v>0</v>
      </c>
      <c r="R27" s="82">
        <f t="shared" si="6"/>
        <v>242</v>
      </c>
    </row>
    <row r="28" spans="1:18">
      <c r="A28" s="32">
        <v>24</v>
      </c>
      <c r="B28" s="170">
        <v>46136</v>
      </c>
      <c r="C28" s="171"/>
      <c r="D28" s="106"/>
      <c r="E28" s="83"/>
      <c r="F28" s="83"/>
      <c r="G28" s="83"/>
      <c r="H28" s="82">
        <f t="shared" si="7"/>
        <v>11</v>
      </c>
      <c r="I28" s="82"/>
      <c r="J28" s="82"/>
      <c r="K28" s="82">
        <f t="shared" si="0"/>
        <v>0</v>
      </c>
      <c r="L28" s="82">
        <f t="shared" si="1"/>
        <v>0</v>
      </c>
      <c r="M28" s="82">
        <f t="shared" si="2"/>
        <v>0</v>
      </c>
      <c r="N28" s="82">
        <f t="shared" si="2"/>
        <v>0</v>
      </c>
      <c r="O28" s="82">
        <f t="shared" si="3"/>
        <v>242</v>
      </c>
      <c r="P28" s="82">
        <f t="shared" si="4"/>
        <v>0</v>
      </c>
      <c r="Q28" s="82">
        <f t="shared" si="5"/>
        <v>0</v>
      </c>
      <c r="R28" s="82">
        <f t="shared" si="6"/>
        <v>242</v>
      </c>
    </row>
    <row r="29" spans="1:18">
      <c r="A29" s="98">
        <v>25</v>
      </c>
      <c r="B29" s="170">
        <v>46137</v>
      </c>
      <c r="C29" s="171"/>
      <c r="D29" s="107"/>
      <c r="E29" s="99"/>
      <c r="F29" s="99"/>
      <c r="G29" s="99"/>
      <c r="H29" s="82">
        <f t="shared" si="7"/>
        <v>11</v>
      </c>
      <c r="I29" s="82"/>
      <c r="J29" s="100"/>
      <c r="K29" s="82">
        <f t="shared" si="0"/>
        <v>0</v>
      </c>
      <c r="L29" s="82">
        <f t="shared" si="1"/>
        <v>0</v>
      </c>
      <c r="M29" s="82">
        <f t="shared" si="2"/>
        <v>0</v>
      </c>
      <c r="N29" s="82">
        <f t="shared" si="2"/>
        <v>0</v>
      </c>
      <c r="O29" s="82">
        <f t="shared" si="3"/>
        <v>242</v>
      </c>
      <c r="P29" s="82">
        <f t="shared" si="4"/>
        <v>0</v>
      </c>
      <c r="Q29" s="82">
        <f t="shared" si="5"/>
        <v>0</v>
      </c>
      <c r="R29" s="100">
        <f t="shared" si="6"/>
        <v>242</v>
      </c>
    </row>
    <row r="30" spans="1:18">
      <c r="A30" s="98">
        <v>26</v>
      </c>
      <c r="B30" s="170">
        <v>46138</v>
      </c>
      <c r="C30" s="171"/>
      <c r="D30" s="107"/>
      <c r="E30" s="99"/>
      <c r="F30" s="99"/>
      <c r="G30" s="99"/>
      <c r="H30" s="82">
        <f t="shared" si="7"/>
        <v>11</v>
      </c>
      <c r="I30" s="82"/>
      <c r="J30" s="100"/>
      <c r="K30" s="82">
        <f t="shared" si="0"/>
        <v>0</v>
      </c>
      <c r="L30" s="82">
        <f t="shared" si="1"/>
        <v>0</v>
      </c>
      <c r="M30" s="82">
        <f t="shared" si="2"/>
        <v>0</v>
      </c>
      <c r="N30" s="82">
        <f t="shared" si="2"/>
        <v>0</v>
      </c>
      <c r="O30" s="82">
        <f t="shared" si="3"/>
        <v>242</v>
      </c>
      <c r="P30" s="82">
        <f t="shared" si="4"/>
        <v>0</v>
      </c>
      <c r="Q30" s="82">
        <f t="shared" si="5"/>
        <v>0</v>
      </c>
      <c r="R30" s="100">
        <f t="shared" si="6"/>
        <v>242</v>
      </c>
    </row>
    <row r="31" spans="1:18">
      <c r="A31" s="98">
        <v>27</v>
      </c>
      <c r="B31" s="170">
        <v>46139</v>
      </c>
      <c r="C31" s="171"/>
      <c r="D31" s="107">
        <v>20</v>
      </c>
      <c r="E31" s="99"/>
      <c r="F31" s="99"/>
      <c r="G31" s="99"/>
      <c r="H31" s="82">
        <f t="shared" si="7"/>
        <v>31</v>
      </c>
      <c r="I31" s="82"/>
      <c r="J31" s="100"/>
      <c r="K31" s="82">
        <f t="shared" si="0"/>
        <v>3420</v>
      </c>
      <c r="L31" s="82">
        <f t="shared" si="1"/>
        <v>0</v>
      </c>
      <c r="M31" s="82">
        <f t="shared" si="2"/>
        <v>0</v>
      </c>
      <c r="N31" s="82">
        <f t="shared" si="2"/>
        <v>0</v>
      </c>
      <c r="O31" s="82">
        <f t="shared" si="3"/>
        <v>682</v>
      </c>
      <c r="P31" s="82">
        <f t="shared" si="4"/>
        <v>0</v>
      </c>
      <c r="Q31" s="82">
        <f t="shared" si="5"/>
        <v>0</v>
      </c>
      <c r="R31" s="100">
        <f t="shared" si="6"/>
        <v>4102</v>
      </c>
    </row>
    <row r="32" spans="1:18">
      <c r="A32" s="98">
        <v>28</v>
      </c>
      <c r="B32" s="170">
        <v>46140</v>
      </c>
      <c r="C32" s="171"/>
      <c r="D32" s="107"/>
      <c r="E32" s="99">
        <v>2</v>
      </c>
      <c r="F32" s="99"/>
      <c r="G32" s="99"/>
      <c r="H32" s="82">
        <f t="shared" si="7"/>
        <v>31</v>
      </c>
      <c r="I32" s="82"/>
      <c r="J32" s="100"/>
      <c r="K32" s="82">
        <f t="shared" si="0"/>
        <v>0</v>
      </c>
      <c r="L32" s="82">
        <f t="shared" si="1"/>
        <v>342</v>
      </c>
      <c r="M32" s="82">
        <f t="shared" si="2"/>
        <v>0</v>
      </c>
      <c r="N32" s="82">
        <f t="shared" si="2"/>
        <v>0</v>
      </c>
      <c r="O32" s="82">
        <f t="shared" si="3"/>
        <v>682</v>
      </c>
      <c r="P32" s="82">
        <f t="shared" si="4"/>
        <v>0</v>
      </c>
      <c r="Q32" s="82">
        <f t="shared" si="5"/>
        <v>0</v>
      </c>
      <c r="R32" s="100">
        <f t="shared" si="6"/>
        <v>1024</v>
      </c>
    </row>
    <row r="33" spans="1:18">
      <c r="A33" s="98">
        <v>29</v>
      </c>
      <c r="B33" s="170">
        <v>46141</v>
      </c>
      <c r="C33" s="171"/>
      <c r="D33" s="107"/>
      <c r="E33" s="99">
        <v>2</v>
      </c>
      <c r="F33" s="99"/>
      <c r="G33" s="99"/>
      <c r="H33" s="82">
        <f t="shared" si="7"/>
        <v>29</v>
      </c>
      <c r="I33" s="82"/>
      <c r="J33" s="100"/>
      <c r="K33" s="82">
        <f t="shared" si="0"/>
        <v>0</v>
      </c>
      <c r="L33" s="82">
        <f t="shared" si="1"/>
        <v>342</v>
      </c>
      <c r="M33" s="82">
        <f t="shared" si="2"/>
        <v>0</v>
      </c>
      <c r="N33" s="82">
        <f t="shared" si="2"/>
        <v>0</v>
      </c>
      <c r="O33" s="82">
        <f t="shared" si="3"/>
        <v>638</v>
      </c>
      <c r="P33" s="82">
        <f t="shared" si="4"/>
        <v>0</v>
      </c>
      <c r="Q33" s="82">
        <f t="shared" si="5"/>
        <v>0</v>
      </c>
      <c r="R33" s="100">
        <f t="shared" si="6"/>
        <v>980</v>
      </c>
    </row>
    <row r="34" spans="1:18">
      <c r="A34" s="98">
        <v>30</v>
      </c>
      <c r="B34" s="170">
        <v>46142</v>
      </c>
      <c r="C34" s="171"/>
      <c r="D34" s="107"/>
      <c r="E34" s="99"/>
      <c r="F34" s="99"/>
      <c r="G34" s="99"/>
      <c r="H34" s="82">
        <f t="shared" si="7"/>
        <v>27</v>
      </c>
      <c r="I34" s="82"/>
      <c r="J34" s="100"/>
      <c r="K34" s="82">
        <f t="shared" si="0"/>
        <v>0</v>
      </c>
      <c r="L34" s="82">
        <f t="shared" si="1"/>
        <v>0</v>
      </c>
      <c r="M34" s="82">
        <f t="shared" si="2"/>
        <v>0</v>
      </c>
      <c r="N34" s="82">
        <f t="shared" si="2"/>
        <v>0</v>
      </c>
      <c r="O34" s="82">
        <f t="shared" si="3"/>
        <v>594</v>
      </c>
      <c r="P34" s="82">
        <f t="shared" si="4"/>
        <v>0</v>
      </c>
      <c r="Q34" s="82">
        <f t="shared" si="5"/>
        <v>0</v>
      </c>
      <c r="R34" s="100">
        <f t="shared" si="6"/>
        <v>594</v>
      </c>
    </row>
    <row r="35" spans="1:18" ht="15.75" thickBot="1">
      <c r="A35" s="98">
        <v>31</v>
      </c>
      <c r="B35" s="170"/>
      <c r="C35" s="171"/>
      <c r="D35" s="107"/>
      <c r="E35" s="99"/>
      <c r="F35" s="99"/>
      <c r="G35" s="99"/>
      <c r="H35" s="82"/>
      <c r="I35" s="82"/>
      <c r="J35" s="100"/>
      <c r="K35" s="82">
        <f t="shared" si="0"/>
        <v>0</v>
      </c>
      <c r="L35" s="82">
        <f t="shared" si="1"/>
        <v>0</v>
      </c>
      <c r="M35" s="82">
        <f t="shared" si="2"/>
        <v>0</v>
      </c>
      <c r="N35" s="82">
        <f t="shared" si="2"/>
        <v>0</v>
      </c>
      <c r="O35" s="82">
        <f t="shared" si="3"/>
        <v>0</v>
      </c>
      <c r="P35" s="82">
        <f t="shared" si="4"/>
        <v>0</v>
      </c>
      <c r="Q35" s="82">
        <f t="shared" si="5"/>
        <v>0</v>
      </c>
      <c r="R35" s="100">
        <f t="shared" ref="R35" si="8">SUM(K35:Q35)</f>
        <v>0</v>
      </c>
    </row>
    <row r="36" spans="1:18" ht="15.75" thickBot="1">
      <c r="D36" s="101">
        <f>SUM(D5:D35)</f>
        <v>20</v>
      </c>
      <c r="E36" s="102">
        <f>SUM(E5:E35)</f>
        <v>13</v>
      </c>
      <c r="F36" s="102">
        <f>SUM(F5:F35)</f>
        <v>0</v>
      </c>
      <c r="G36" s="102"/>
      <c r="H36" s="103">
        <f>SUM(H5:H35)</f>
        <v>508</v>
      </c>
      <c r="I36" s="104"/>
      <c r="J36" s="102"/>
      <c r="K36" s="102">
        <f>SUM(K5:K35)</f>
        <v>3420</v>
      </c>
      <c r="L36" s="102">
        <f t="shared" ref="L36:Q36" si="9">SUM(L5:L35)</f>
        <v>2223</v>
      </c>
      <c r="M36" s="102">
        <f t="shared" si="9"/>
        <v>0</v>
      </c>
      <c r="N36" s="102">
        <f t="shared" si="9"/>
        <v>0</v>
      </c>
      <c r="O36" s="102">
        <f t="shared" si="9"/>
        <v>11176</v>
      </c>
      <c r="P36" s="102">
        <f t="shared" si="9"/>
        <v>0</v>
      </c>
      <c r="Q36" s="102">
        <f t="shared" si="9"/>
        <v>0</v>
      </c>
      <c r="R36" s="105">
        <f>SUM(R5:R35)</f>
        <v>16819</v>
      </c>
    </row>
  </sheetData>
  <mergeCells count="47">
    <mergeCell ref="A3:A4"/>
    <mergeCell ref="B3:C4"/>
    <mergeCell ref="D3:D4"/>
    <mergeCell ref="E3:E4"/>
    <mergeCell ref="F3:F4"/>
    <mergeCell ref="B6:C6"/>
    <mergeCell ref="I3:I4"/>
    <mergeCell ref="J3:J4"/>
    <mergeCell ref="K3:K4"/>
    <mergeCell ref="L3:L4"/>
    <mergeCell ref="G3:G4"/>
    <mergeCell ref="O3:O4"/>
    <mergeCell ref="P3:P4"/>
    <mergeCell ref="Q3:Q4"/>
    <mergeCell ref="R3:R4"/>
    <mergeCell ref="B5:C5"/>
    <mergeCell ref="M3:M4"/>
    <mergeCell ref="N3:N4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1:C31"/>
    <mergeCell ref="B32:C32"/>
    <mergeCell ref="B33:C33"/>
    <mergeCell ref="B34:C34"/>
    <mergeCell ref="B35:C3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F6676-2114-4022-B464-81D4F3D12390}">
  <dimension ref="A1:R36"/>
  <sheetViews>
    <sheetView topLeftCell="A15" workbookViewId="0">
      <selection activeCell="H23" sqref="H23:H34"/>
    </sheetView>
  </sheetViews>
  <sheetFormatPr defaultRowHeight="15"/>
  <cols>
    <col min="1" max="1" width="9.85546875" style="28" customWidth="1"/>
    <col min="2" max="17" width="9.140625" style="28"/>
    <col min="18" max="18" width="10.42578125" style="28" customWidth="1"/>
    <col min="19" max="16384" width="9.140625" style="28"/>
  </cols>
  <sheetData>
    <row r="1" spans="1:18">
      <c r="A1" s="97">
        <f>R36</f>
        <v>8073.5999999999985</v>
      </c>
    </row>
    <row r="2" spans="1:18">
      <c r="B2" s="46" t="s">
        <v>112</v>
      </c>
    </row>
    <row r="3" spans="1:18" ht="28.9" customHeight="1">
      <c r="A3" s="146" t="s">
        <v>0</v>
      </c>
      <c r="B3" s="150" t="s">
        <v>1</v>
      </c>
      <c r="C3" s="151"/>
      <c r="D3" s="146" t="s">
        <v>113</v>
      </c>
      <c r="E3" s="146" t="s">
        <v>114</v>
      </c>
      <c r="F3" s="146" t="s">
        <v>115</v>
      </c>
      <c r="G3" s="146" t="s">
        <v>116</v>
      </c>
      <c r="H3" s="30" t="s">
        <v>4</v>
      </c>
      <c r="I3" s="146" t="s">
        <v>117</v>
      </c>
      <c r="J3" s="146" t="s">
        <v>118</v>
      </c>
      <c r="K3" s="146" t="s">
        <v>11</v>
      </c>
      <c r="L3" s="146" t="s">
        <v>12</v>
      </c>
      <c r="M3" s="146" t="s">
        <v>119</v>
      </c>
      <c r="N3" s="146" t="s">
        <v>120</v>
      </c>
      <c r="O3" s="146" t="s">
        <v>13</v>
      </c>
      <c r="P3" s="146" t="s">
        <v>121</v>
      </c>
      <c r="Q3" s="146" t="s">
        <v>122</v>
      </c>
      <c r="R3" s="146" t="s">
        <v>18</v>
      </c>
    </row>
    <row r="4" spans="1:18" ht="30">
      <c r="A4" s="147"/>
      <c r="B4" s="152"/>
      <c r="C4" s="153"/>
      <c r="D4" s="147"/>
      <c r="E4" s="147"/>
      <c r="F4" s="147"/>
      <c r="G4" s="147"/>
      <c r="H4" s="31" t="s">
        <v>123</v>
      </c>
      <c r="I4" s="147"/>
      <c r="J4" s="147"/>
      <c r="K4" s="147"/>
      <c r="L4" s="147"/>
      <c r="M4" s="147"/>
      <c r="N4" s="147"/>
      <c r="O4" s="147"/>
      <c r="P4" s="147"/>
      <c r="Q4" s="147"/>
      <c r="R4" s="147"/>
    </row>
    <row r="5" spans="1:18">
      <c r="A5" s="32">
        <v>1</v>
      </c>
      <c r="B5" s="170">
        <v>46113</v>
      </c>
      <c r="C5" s="171"/>
      <c r="D5" s="106"/>
      <c r="E5" s="83"/>
      <c r="F5" s="83"/>
      <c r="G5" s="83"/>
      <c r="H5" s="82">
        <v>13</v>
      </c>
      <c r="I5" s="82"/>
      <c r="J5" s="82"/>
      <c r="K5" s="82">
        <f t="shared" ref="K5:K29" si="0">SUM(D5*168)</f>
        <v>0</v>
      </c>
      <c r="L5" s="82">
        <f>SUM(E5*168)</f>
        <v>0</v>
      </c>
      <c r="M5" s="82">
        <f>F5*1000</f>
        <v>0</v>
      </c>
      <c r="N5" s="82">
        <f>G5*1000</f>
        <v>0</v>
      </c>
      <c r="O5" s="82">
        <f>SUM(H5*21.6)</f>
        <v>280.8</v>
      </c>
      <c r="P5" s="82">
        <f>I5*500</f>
        <v>0</v>
      </c>
      <c r="Q5" s="82">
        <f>SUM(J5)*600</f>
        <v>0</v>
      </c>
      <c r="R5" s="82">
        <f>SUM(K5:Q5)</f>
        <v>280.8</v>
      </c>
    </row>
    <row r="6" spans="1:18">
      <c r="A6" s="32">
        <v>2</v>
      </c>
      <c r="B6" s="170">
        <v>46114</v>
      </c>
      <c r="C6" s="171"/>
      <c r="D6" s="106"/>
      <c r="E6" s="83"/>
      <c r="F6" s="83"/>
      <c r="G6" s="83"/>
      <c r="H6" s="82">
        <v>13</v>
      </c>
      <c r="I6" s="82"/>
      <c r="J6" s="82"/>
      <c r="K6" s="82">
        <f t="shared" si="0"/>
        <v>0</v>
      </c>
      <c r="L6" s="82">
        <f t="shared" ref="L6:L34" si="1">SUM(E6*168)</f>
        <v>0</v>
      </c>
      <c r="M6" s="82">
        <f t="shared" ref="M6:N34" si="2">F6*1000</f>
        <v>0</v>
      </c>
      <c r="N6" s="82">
        <f t="shared" si="2"/>
        <v>0</v>
      </c>
      <c r="O6" s="82">
        <f t="shared" ref="O6:O35" si="3">SUM(H6*21.6)</f>
        <v>280.8</v>
      </c>
      <c r="P6" s="82">
        <f t="shared" ref="P6:P35" si="4">I6*500</f>
        <v>0</v>
      </c>
      <c r="Q6" s="82">
        <f t="shared" ref="Q6:Q35" si="5">SUM(J6)*600</f>
        <v>0</v>
      </c>
      <c r="R6" s="82">
        <f t="shared" ref="R6:R35" si="6">SUM(K6:Q6)</f>
        <v>280.8</v>
      </c>
    </row>
    <row r="7" spans="1:18">
      <c r="A7" s="32">
        <v>3</v>
      </c>
      <c r="B7" s="170">
        <v>46115</v>
      </c>
      <c r="C7" s="171"/>
      <c r="D7" s="106"/>
      <c r="E7" s="83">
        <v>1</v>
      </c>
      <c r="F7" s="83"/>
      <c r="G7" s="83"/>
      <c r="H7" s="82">
        <v>13</v>
      </c>
      <c r="I7" s="82"/>
      <c r="J7" s="82"/>
      <c r="K7" s="82">
        <f t="shared" si="0"/>
        <v>0</v>
      </c>
      <c r="L7" s="82">
        <f t="shared" si="1"/>
        <v>168</v>
      </c>
      <c r="M7" s="82">
        <f t="shared" si="2"/>
        <v>0</v>
      </c>
      <c r="N7" s="82">
        <f t="shared" si="2"/>
        <v>0</v>
      </c>
      <c r="O7" s="82">
        <f t="shared" si="3"/>
        <v>280.8</v>
      </c>
      <c r="P7" s="82">
        <f t="shared" si="4"/>
        <v>0</v>
      </c>
      <c r="Q7" s="82">
        <f t="shared" si="5"/>
        <v>0</v>
      </c>
      <c r="R7" s="82">
        <f t="shared" si="6"/>
        <v>448.8</v>
      </c>
    </row>
    <row r="8" spans="1:18">
      <c r="A8" s="32">
        <v>4</v>
      </c>
      <c r="B8" s="170">
        <v>46116</v>
      </c>
      <c r="C8" s="171"/>
      <c r="D8" s="106"/>
      <c r="E8" s="83"/>
      <c r="F8" s="83"/>
      <c r="G8" s="83"/>
      <c r="H8" s="82">
        <v>12</v>
      </c>
      <c r="I8" s="82"/>
      <c r="J8" s="82"/>
      <c r="K8" s="82">
        <f t="shared" si="0"/>
        <v>0</v>
      </c>
      <c r="L8" s="82">
        <f t="shared" si="1"/>
        <v>0</v>
      </c>
      <c r="M8" s="82">
        <f t="shared" si="2"/>
        <v>0</v>
      </c>
      <c r="N8" s="82">
        <f t="shared" si="2"/>
        <v>0</v>
      </c>
      <c r="O8" s="82">
        <f t="shared" si="3"/>
        <v>259.20000000000005</v>
      </c>
      <c r="P8" s="82">
        <f t="shared" si="4"/>
        <v>0</v>
      </c>
      <c r="Q8" s="82">
        <f t="shared" si="5"/>
        <v>0</v>
      </c>
      <c r="R8" s="82">
        <f t="shared" si="6"/>
        <v>259.20000000000005</v>
      </c>
    </row>
    <row r="9" spans="1:18">
      <c r="A9" s="98">
        <v>5</v>
      </c>
      <c r="B9" s="170">
        <v>46117</v>
      </c>
      <c r="C9" s="171"/>
      <c r="D9" s="107"/>
      <c r="E9" s="99"/>
      <c r="F9" s="99"/>
      <c r="G9" s="99"/>
      <c r="H9" s="82">
        <v>12</v>
      </c>
      <c r="I9" s="82"/>
      <c r="J9" s="100"/>
      <c r="K9" s="82">
        <f t="shared" si="0"/>
        <v>0</v>
      </c>
      <c r="L9" s="82">
        <f t="shared" si="1"/>
        <v>0</v>
      </c>
      <c r="M9" s="82">
        <f t="shared" si="2"/>
        <v>0</v>
      </c>
      <c r="N9" s="82">
        <f t="shared" si="2"/>
        <v>0</v>
      </c>
      <c r="O9" s="82">
        <f t="shared" si="3"/>
        <v>259.20000000000005</v>
      </c>
      <c r="P9" s="82">
        <f t="shared" si="4"/>
        <v>0</v>
      </c>
      <c r="Q9" s="82">
        <f t="shared" si="5"/>
        <v>0</v>
      </c>
      <c r="R9" s="100">
        <f t="shared" si="6"/>
        <v>259.20000000000005</v>
      </c>
    </row>
    <row r="10" spans="1:18">
      <c r="A10" s="98">
        <v>6</v>
      </c>
      <c r="B10" s="170">
        <v>46118</v>
      </c>
      <c r="C10" s="171"/>
      <c r="D10" s="107"/>
      <c r="E10" s="99"/>
      <c r="F10" s="99"/>
      <c r="G10" s="99"/>
      <c r="H10" s="82">
        <v>12</v>
      </c>
      <c r="I10" s="82"/>
      <c r="J10" s="100"/>
      <c r="K10" s="82">
        <f t="shared" si="0"/>
        <v>0</v>
      </c>
      <c r="L10" s="82">
        <f t="shared" si="1"/>
        <v>0</v>
      </c>
      <c r="M10" s="82">
        <f t="shared" si="2"/>
        <v>0</v>
      </c>
      <c r="N10" s="82">
        <f t="shared" si="2"/>
        <v>0</v>
      </c>
      <c r="O10" s="82">
        <f t="shared" si="3"/>
        <v>259.20000000000005</v>
      </c>
      <c r="P10" s="82">
        <f t="shared" si="4"/>
        <v>0</v>
      </c>
      <c r="Q10" s="82">
        <f t="shared" si="5"/>
        <v>0</v>
      </c>
      <c r="R10" s="100">
        <f t="shared" si="6"/>
        <v>259.20000000000005</v>
      </c>
    </row>
    <row r="11" spans="1:18">
      <c r="A11" s="98">
        <v>7</v>
      </c>
      <c r="B11" s="170">
        <v>46119</v>
      </c>
      <c r="C11" s="171"/>
      <c r="D11" s="107"/>
      <c r="E11" s="99"/>
      <c r="F11" s="99"/>
      <c r="G11" s="99"/>
      <c r="H11" s="82">
        <v>12</v>
      </c>
      <c r="I11" s="82"/>
      <c r="J11" s="100"/>
      <c r="K11" s="82">
        <f t="shared" si="0"/>
        <v>0</v>
      </c>
      <c r="L11" s="82">
        <f t="shared" si="1"/>
        <v>0</v>
      </c>
      <c r="M11" s="82">
        <f t="shared" si="2"/>
        <v>0</v>
      </c>
      <c r="N11" s="82">
        <f t="shared" si="2"/>
        <v>0</v>
      </c>
      <c r="O11" s="82">
        <f t="shared" si="3"/>
        <v>259.20000000000005</v>
      </c>
      <c r="P11" s="82">
        <f t="shared" si="4"/>
        <v>0</v>
      </c>
      <c r="Q11" s="82">
        <f t="shared" si="5"/>
        <v>0</v>
      </c>
      <c r="R11" s="100">
        <f t="shared" si="6"/>
        <v>259.20000000000005</v>
      </c>
    </row>
    <row r="12" spans="1:18">
      <c r="A12" s="98">
        <v>8</v>
      </c>
      <c r="B12" s="170">
        <v>46120</v>
      </c>
      <c r="C12" s="171"/>
      <c r="D12" s="107"/>
      <c r="E12" s="99"/>
      <c r="F12" s="99"/>
      <c r="G12" s="99"/>
      <c r="H12" s="82">
        <v>12</v>
      </c>
      <c r="I12" s="82"/>
      <c r="J12" s="100"/>
      <c r="K12" s="82">
        <f t="shared" si="0"/>
        <v>0</v>
      </c>
      <c r="L12" s="82">
        <f t="shared" si="1"/>
        <v>0</v>
      </c>
      <c r="M12" s="82">
        <f t="shared" si="2"/>
        <v>0</v>
      </c>
      <c r="N12" s="82">
        <f t="shared" si="2"/>
        <v>0</v>
      </c>
      <c r="O12" s="82">
        <f t="shared" si="3"/>
        <v>259.20000000000005</v>
      </c>
      <c r="P12" s="82">
        <f t="shared" si="4"/>
        <v>0</v>
      </c>
      <c r="Q12" s="82">
        <f t="shared" si="5"/>
        <v>0</v>
      </c>
      <c r="R12" s="100">
        <f t="shared" si="6"/>
        <v>259.20000000000005</v>
      </c>
    </row>
    <row r="13" spans="1:18">
      <c r="A13" s="32">
        <v>9</v>
      </c>
      <c r="B13" s="170">
        <v>46121</v>
      </c>
      <c r="C13" s="171"/>
      <c r="D13" s="106"/>
      <c r="E13" s="83"/>
      <c r="F13" s="83"/>
      <c r="G13" s="83"/>
      <c r="H13" s="82">
        <v>12</v>
      </c>
      <c r="I13" s="82"/>
      <c r="J13" s="82"/>
      <c r="K13" s="82">
        <f t="shared" si="0"/>
        <v>0</v>
      </c>
      <c r="L13" s="82">
        <f t="shared" si="1"/>
        <v>0</v>
      </c>
      <c r="M13" s="82">
        <f t="shared" si="2"/>
        <v>0</v>
      </c>
      <c r="N13" s="82">
        <f t="shared" si="2"/>
        <v>0</v>
      </c>
      <c r="O13" s="82">
        <f t="shared" si="3"/>
        <v>259.20000000000005</v>
      </c>
      <c r="P13" s="82">
        <f t="shared" si="4"/>
        <v>0</v>
      </c>
      <c r="Q13" s="82">
        <f t="shared" si="5"/>
        <v>0</v>
      </c>
      <c r="R13" s="82">
        <f t="shared" si="6"/>
        <v>259.20000000000005</v>
      </c>
    </row>
    <row r="14" spans="1:18">
      <c r="A14" s="32">
        <v>10</v>
      </c>
      <c r="B14" s="170">
        <v>46122</v>
      </c>
      <c r="C14" s="171"/>
      <c r="D14" s="106"/>
      <c r="E14" s="83"/>
      <c r="F14" s="83"/>
      <c r="G14" s="83"/>
      <c r="H14" s="82">
        <v>12</v>
      </c>
      <c r="I14" s="82"/>
      <c r="J14" s="82"/>
      <c r="K14" s="82">
        <f t="shared" si="0"/>
        <v>0</v>
      </c>
      <c r="L14" s="82">
        <f t="shared" si="1"/>
        <v>0</v>
      </c>
      <c r="M14" s="82">
        <f t="shared" si="2"/>
        <v>0</v>
      </c>
      <c r="N14" s="82">
        <f t="shared" si="2"/>
        <v>0</v>
      </c>
      <c r="O14" s="82">
        <f t="shared" si="3"/>
        <v>259.20000000000005</v>
      </c>
      <c r="P14" s="82">
        <f t="shared" si="4"/>
        <v>0</v>
      </c>
      <c r="Q14" s="82">
        <f t="shared" si="5"/>
        <v>0</v>
      </c>
      <c r="R14" s="82">
        <f t="shared" si="6"/>
        <v>259.20000000000005</v>
      </c>
    </row>
    <row r="15" spans="1:18">
      <c r="A15" s="98">
        <v>11</v>
      </c>
      <c r="B15" s="170">
        <v>46123</v>
      </c>
      <c r="C15" s="171"/>
      <c r="D15" s="107"/>
      <c r="E15" s="99"/>
      <c r="F15" s="99"/>
      <c r="G15" s="83"/>
      <c r="H15" s="82">
        <v>12</v>
      </c>
      <c r="I15" s="82"/>
      <c r="J15" s="100"/>
      <c r="K15" s="82">
        <f t="shared" si="0"/>
        <v>0</v>
      </c>
      <c r="L15" s="82">
        <f t="shared" si="1"/>
        <v>0</v>
      </c>
      <c r="M15" s="82">
        <f t="shared" si="2"/>
        <v>0</v>
      </c>
      <c r="N15" s="82">
        <f t="shared" si="2"/>
        <v>0</v>
      </c>
      <c r="O15" s="82">
        <f t="shared" si="3"/>
        <v>259.20000000000005</v>
      </c>
      <c r="P15" s="82">
        <f t="shared" si="4"/>
        <v>0</v>
      </c>
      <c r="Q15" s="82">
        <f t="shared" si="5"/>
        <v>0</v>
      </c>
      <c r="R15" s="100">
        <f t="shared" si="6"/>
        <v>259.20000000000005</v>
      </c>
    </row>
    <row r="16" spans="1:18">
      <c r="A16" s="98">
        <v>12</v>
      </c>
      <c r="B16" s="170">
        <v>46124</v>
      </c>
      <c r="C16" s="171"/>
      <c r="D16" s="107"/>
      <c r="E16" s="99"/>
      <c r="F16" s="99"/>
      <c r="G16" s="83"/>
      <c r="H16" s="82">
        <v>12</v>
      </c>
      <c r="I16" s="82"/>
      <c r="J16" s="100"/>
      <c r="K16" s="82">
        <f t="shared" si="0"/>
        <v>0</v>
      </c>
      <c r="L16" s="82">
        <f t="shared" si="1"/>
        <v>0</v>
      </c>
      <c r="M16" s="82">
        <f t="shared" si="2"/>
        <v>0</v>
      </c>
      <c r="N16" s="82">
        <f t="shared" si="2"/>
        <v>0</v>
      </c>
      <c r="O16" s="82">
        <f t="shared" si="3"/>
        <v>259.20000000000005</v>
      </c>
      <c r="P16" s="82">
        <f t="shared" si="4"/>
        <v>0</v>
      </c>
      <c r="Q16" s="82">
        <f t="shared" si="5"/>
        <v>0</v>
      </c>
      <c r="R16" s="100">
        <f t="shared" si="6"/>
        <v>259.20000000000005</v>
      </c>
    </row>
    <row r="17" spans="1:18">
      <c r="A17" s="98">
        <v>13</v>
      </c>
      <c r="B17" s="170">
        <v>46125</v>
      </c>
      <c r="C17" s="171"/>
      <c r="D17" s="107">
        <v>2</v>
      </c>
      <c r="E17" s="99">
        <v>3</v>
      </c>
      <c r="F17" s="99"/>
      <c r="G17" s="83"/>
      <c r="H17" s="82">
        <v>14</v>
      </c>
      <c r="I17" s="82"/>
      <c r="J17" s="100"/>
      <c r="K17" s="82">
        <f t="shared" si="0"/>
        <v>336</v>
      </c>
      <c r="L17" s="82">
        <f t="shared" si="1"/>
        <v>504</v>
      </c>
      <c r="M17" s="82">
        <f t="shared" si="2"/>
        <v>0</v>
      </c>
      <c r="N17" s="82">
        <f t="shared" si="2"/>
        <v>0</v>
      </c>
      <c r="O17" s="82">
        <f t="shared" si="3"/>
        <v>302.40000000000003</v>
      </c>
      <c r="P17" s="82">
        <f t="shared" si="4"/>
        <v>0</v>
      </c>
      <c r="Q17" s="82">
        <f t="shared" si="5"/>
        <v>0</v>
      </c>
      <c r="R17" s="100">
        <f t="shared" si="6"/>
        <v>1142.4000000000001</v>
      </c>
    </row>
    <row r="18" spans="1:18">
      <c r="A18" s="98">
        <v>14</v>
      </c>
      <c r="B18" s="170">
        <v>46126</v>
      </c>
      <c r="C18" s="171"/>
      <c r="D18" s="107"/>
      <c r="E18" s="99">
        <v>1</v>
      </c>
      <c r="F18" s="99"/>
      <c r="G18" s="83"/>
      <c r="H18" s="82">
        <v>11</v>
      </c>
      <c r="I18" s="82"/>
      <c r="J18" s="100"/>
      <c r="K18" s="82">
        <f t="shared" si="0"/>
        <v>0</v>
      </c>
      <c r="L18" s="82">
        <f t="shared" si="1"/>
        <v>168</v>
      </c>
      <c r="M18" s="82">
        <f t="shared" si="2"/>
        <v>0</v>
      </c>
      <c r="N18" s="82">
        <f t="shared" si="2"/>
        <v>0</v>
      </c>
      <c r="O18" s="82">
        <f t="shared" si="3"/>
        <v>237.60000000000002</v>
      </c>
      <c r="P18" s="82">
        <f t="shared" si="4"/>
        <v>0</v>
      </c>
      <c r="Q18" s="82">
        <f t="shared" si="5"/>
        <v>0</v>
      </c>
      <c r="R18" s="100">
        <f t="shared" si="6"/>
        <v>405.6</v>
      </c>
    </row>
    <row r="19" spans="1:18">
      <c r="A19" s="98">
        <v>15</v>
      </c>
      <c r="B19" s="170">
        <v>46127</v>
      </c>
      <c r="C19" s="171"/>
      <c r="D19" s="107"/>
      <c r="E19" s="99"/>
      <c r="F19" s="99"/>
      <c r="G19" s="83"/>
      <c r="H19" s="82">
        <v>10</v>
      </c>
      <c r="I19" s="82"/>
      <c r="J19" s="100"/>
      <c r="K19" s="82">
        <f t="shared" si="0"/>
        <v>0</v>
      </c>
      <c r="L19" s="82">
        <f t="shared" si="1"/>
        <v>0</v>
      </c>
      <c r="M19" s="82">
        <f t="shared" si="2"/>
        <v>0</v>
      </c>
      <c r="N19" s="82">
        <f t="shared" si="2"/>
        <v>0</v>
      </c>
      <c r="O19" s="82">
        <f t="shared" si="3"/>
        <v>216</v>
      </c>
      <c r="P19" s="82">
        <f t="shared" si="4"/>
        <v>0</v>
      </c>
      <c r="Q19" s="82">
        <f t="shared" si="5"/>
        <v>0</v>
      </c>
      <c r="R19" s="100">
        <f t="shared" si="6"/>
        <v>216</v>
      </c>
    </row>
    <row r="20" spans="1:18">
      <c r="A20" s="32">
        <v>16</v>
      </c>
      <c r="B20" s="170">
        <v>46128</v>
      </c>
      <c r="C20" s="171"/>
      <c r="D20" s="106"/>
      <c r="E20" s="83"/>
      <c r="F20" s="83"/>
      <c r="G20" s="99"/>
      <c r="H20" s="82">
        <v>10</v>
      </c>
      <c r="I20" s="82"/>
      <c r="J20" s="82"/>
      <c r="K20" s="82">
        <f t="shared" si="0"/>
        <v>0</v>
      </c>
      <c r="L20" s="82">
        <f t="shared" si="1"/>
        <v>0</v>
      </c>
      <c r="M20" s="82">
        <f t="shared" si="2"/>
        <v>0</v>
      </c>
      <c r="N20" s="82">
        <f t="shared" si="2"/>
        <v>0</v>
      </c>
      <c r="O20" s="82">
        <f t="shared" si="3"/>
        <v>216</v>
      </c>
      <c r="P20" s="82">
        <f t="shared" si="4"/>
        <v>0</v>
      </c>
      <c r="Q20" s="82">
        <f t="shared" si="5"/>
        <v>0</v>
      </c>
      <c r="R20" s="82">
        <f t="shared" si="6"/>
        <v>216</v>
      </c>
    </row>
    <row r="21" spans="1:18">
      <c r="A21" s="32">
        <v>17</v>
      </c>
      <c r="B21" s="170">
        <v>46129</v>
      </c>
      <c r="C21" s="171"/>
      <c r="D21" s="106"/>
      <c r="E21" s="83"/>
      <c r="F21" s="83"/>
      <c r="G21" s="99"/>
      <c r="H21" s="82">
        <v>10</v>
      </c>
      <c r="I21" s="82"/>
      <c r="J21" s="82"/>
      <c r="K21" s="82">
        <f t="shared" si="0"/>
        <v>0</v>
      </c>
      <c r="L21" s="82">
        <f t="shared" si="1"/>
        <v>0</v>
      </c>
      <c r="M21" s="82">
        <f t="shared" si="2"/>
        <v>0</v>
      </c>
      <c r="N21" s="82">
        <f t="shared" si="2"/>
        <v>0</v>
      </c>
      <c r="O21" s="82">
        <f t="shared" si="3"/>
        <v>216</v>
      </c>
      <c r="P21" s="82">
        <f t="shared" si="4"/>
        <v>0</v>
      </c>
      <c r="Q21" s="82">
        <f t="shared" si="5"/>
        <v>0</v>
      </c>
      <c r="R21" s="82">
        <f t="shared" si="6"/>
        <v>216</v>
      </c>
    </row>
    <row r="22" spans="1:18">
      <c r="A22" s="98">
        <v>18</v>
      </c>
      <c r="B22" s="170">
        <v>46130</v>
      </c>
      <c r="C22" s="171"/>
      <c r="D22" s="107"/>
      <c r="E22" s="99">
        <v>3</v>
      </c>
      <c r="F22" s="99"/>
      <c r="G22" s="99"/>
      <c r="H22" s="82">
        <v>10</v>
      </c>
      <c r="I22" s="100"/>
      <c r="J22" s="100"/>
      <c r="K22" s="82">
        <f t="shared" si="0"/>
        <v>0</v>
      </c>
      <c r="L22" s="82">
        <f t="shared" si="1"/>
        <v>504</v>
      </c>
      <c r="M22" s="82">
        <f t="shared" si="2"/>
        <v>0</v>
      </c>
      <c r="N22" s="82">
        <f t="shared" si="2"/>
        <v>0</v>
      </c>
      <c r="O22" s="82">
        <f t="shared" si="3"/>
        <v>216</v>
      </c>
      <c r="P22" s="82">
        <f t="shared" si="4"/>
        <v>0</v>
      </c>
      <c r="Q22" s="82">
        <f t="shared" si="5"/>
        <v>0</v>
      </c>
      <c r="R22" s="100">
        <f t="shared" si="6"/>
        <v>720</v>
      </c>
    </row>
    <row r="23" spans="1:18">
      <c r="A23" s="98">
        <v>19</v>
      </c>
      <c r="B23" s="170">
        <v>46131</v>
      </c>
      <c r="C23" s="171"/>
      <c r="D23" s="107"/>
      <c r="E23" s="99"/>
      <c r="F23" s="99"/>
      <c r="G23" s="99"/>
      <c r="H23" s="82">
        <v>7</v>
      </c>
      <c r="I23" s="100"/>
      <c r="J23" s="100"/>
      <c r="K23" s="82">
        <f t="shared" si="0"/>
        <v>0</v>
      </c>
      <c r="L23" s="82">
        <f t="shared" si="1"/>
        <v>0</v>
      </c>
      <c r="M23" s="82">
        <f t="shared" si="2"/>
        <v>0</v>
      </c>
      <c r="N23" s="82">
        <f t="shared" si="2"/>
        <v>0</v>
      </c>
      <c r="O23" s="82">
        <f t="shared" si="3"/>
        <v>151.20000000000002</v>
      </c>
      <c r="P23" s="82">
        <f t="shared" si="4"/>
        <v>0</v>
      </c>
      <c r="Q23" s="82">
        <f t="shared" si="5"/>
        <v>0</v>
      </c>
      <c r="R23" s="100">
        <f t="shared" si="6"/>
        <v>151.20000000000002</v>
      </c>
    </row>
    <row r="24" spans="1:18">
      <c r="A24" s="98">
        <v>20</v>
      </c>
      <c r="B24" s="170">
        <v>46132</v>
      </c>
      <c r="C24" s="171"/>
      <c r="D24" s="107"/>
      <c r="E24" s="99"/>
      <c r="F24" s="99"/>
      <c r="G24" s="99"/>
      <c r="H24" s="82">
        <v>7</v>
      </c>
      <c r="I24" s="100"/>
      <c r="J24" s="100"/>
      <c r="K24" s="82">
        <f t="shared" si="0"/>
        <v>0</v>
      </c>
      <c r="L24" s="82">
        <f t="shared" si="1"/>
        <v>0</v>
      </c>
      <c r="M24" s="82">
        <f t="shared" si="2"/>
        <v>0</v>
      </c>
      <c r="N24" s="82">
        <f t="shared" si="2"/>
        <v>0</v>
      </c>
      <c r="O24" s="82">
        <f t="shared" si="3"/>
        <v>151.20000000000002</v>
      </c>
      <c r="P24" s="82">
        <f t="shared" si="4"/>
        <v>0</v>
      </c>
      <c r="Q24" s="82">
        <f t="shared" si="5"/>
        <v>0</v>
      </c>
      <c r="R24" s="100">
        <f t="shared" si="6"/>
        <v>151.20000000000002</v>
      </c>
    </row>
    <row r="25" spans="1:18">
      <c r="A25" s="98">
        <v>21</v>
      </c>
      <c r="B25" s="170">
        <v>46133</v>
      </c>
      <c r="C25" s="171"/>
      <c r="D25" s="107"/>
      <c r="E25" s="99"/>
      <c r="F25" s="99"/>
      <c r="G25" s="99"/>
      <c r="H25" s="82">
        <v>7</v>
      </c>
      <c r="I25" s="100"/>
      <c r="J25" s="100"/>
      <c r="K25" s="82">
        <f t="shared" si="0"/>
        <v>0</v>
      </c>
      <c r="L25" s="82">
        <f t="shared" si="1"/>
        <v>0</v>
      </c>
      <c r="M25" s="82">
        <f t="shared" si="2"/>
        <v>0</v>
      </c>
      <c r="N25" s="82">
        <f t="shared" si="2"/>
        <v>0</v>
      </c>
      <c r="O25" s="82">
        <f t="shared" si="3"/>
        <v>151.20000000000002</v>
      </c>
      <c r="P25" s="82">
        <f t="shared" si="4"/>
        <v>0</v>
      </c>
      <c r="Q25" s="82">
        <f t="shared" si="5"/>
        <v>0</v>
      </c>
      <c r="R25" s="100">
        <f t="shared" si="6"/>
        <v>151.20000000000002</v>
      </c>
    </row>
    <row r="26" spans="1:18">
      <c r="A26" s="98">
        <v>22</v>
      </c>
      <c r="B26" s="170">
        <v>46134</v>
      </c>
      <c r="C26" s="171"/>
      <c r="D26" s="107"/>
      <c r="E26" s="99"/>
      <c r="F26" s="99"/>
      <c r="G26" s="99"/>
      <c r="H26" s="82">
        <v>7</v>
      </c>
      <c r="I26" s="82"/>
      <c r="J26" s="100"/>
      <c r="K26" s="82">
        <f t="shared" si="0"/>
        <v>0</v>
      </c>
      <c r="L26" s="82">
        <f t="shared" si="1"/>
        <v>0</v>
      </c>
      <c r="M26" s="82">
        <f t="shared" si="2"/>
        <v>0</v>
      </c>
      <c r="N26" s="82">
        <f t="shared" si="2"/>
        <v>0</v>
      </c>
      <c r="O26" s="82">
        <f t="shared" si="3"/>
        <v>151.20000000000002</v>
      </c>
      <c r="P26" s="82">
        <f t="shared" si="4"/>
        <v>0</v>
      </c>
      <c r="Q26" s="82">
        <f t="shared" si="5"/>
        <v>0</v>
      </c>
      <c r="R26" s="100">
        <f t="shared" si="6"/>
        <v>151.20000000000002</v>
      </c>
    </row>
    <row r="27" spans="1:18">
      <c r="A27" s="32">
        <v>23</v>
      </c>
      <c r="B27" s="170">
        <v>46135</v>
      </c>
      <c r="C27" s="171"/>
      <c r="D27" s="106"/>
      <c r="E27" s="83"/>
      <c r="F27" s="83"/>
      <c r="G27" s="83"/>
      <c r="H27" s="82">
        <v>7</v>
      </c>
      <c r="I27" s="82"/>
      <c r="J27" s="82"/>
      <c r="K27" s="82">
        <f t="shared" si="0"/>
        <v>0</v>
      </c>
      <c r="L27" s="82">
        <f t="shared" si="1"/>
        <v>0</v>
      </c>
      <c r="M27" s="82">
        <f t="shared" si="2"/>
        <v>0</v>
      </c>
      <c r="N27" s="82">
        <f t="shared" si="2"/>
        <v>0</v>
      </c>
      <c r="O27" s="82">
        <f t="shared" si="3"/>
        <v>151.20000000000002</v>
      </c>
      <c r="P27" s="82">
        <f t="shared" si="4"/>
        <v>0</v>
      </c>
      <c r="Q27" s="82">
        <f t="shared" si="5"/>
        <v>0</v>
      </c>
      <c r="R27" s="82">
        <f t="shared" si="6"/>
        <v>151.20000000000002</v>
      </c>
    </row>
    <row r="28" spans="1:18">
      <c r="A28" s="32">
        <v>24</v>
      </c>
      <c r="B28" s="170">
        <v>46136</v>
      </c>
      <c r="C28" s="171"/>
      <c r="D28" s="106"/>
      <c r="E28" s="83"/>
      <c r="F28" s="83"/>
      <c r="G28" s="83"/>
      <c r="H28" s="82">
        <v>7</v>
      </c>
      <c r="I28" s="82"/>
      <c r="J28" s="82"/>
      <c r="K28" s="82">
        <f t="shared" si="0"/>
        <v>0</v>
      </c>
      <c r="L28" s="82">
        <f t="shared" si="1"/>
        <v>0</v>
      </c>
      <c r="M28" s="82">
        <f t="shared" si="2"/>
        <v>0</v>
      </c>
      <c r="N28" s="82">
        <f t="shared" si="2"/>
        <v>0</v>
      </c>
      <c r="O28" s="82">
        <f t="shared" si="3"/>
        <v>151.20000000000002</v>
      </c>
      <c r="P28" s="82">
        <f t="shared" si="4"/>
        <v>0</v>
      </c>
      <c r="Q28" s="82">
        <f t="shared" si="5"/>
        <v>0</v>
      </c>
      <c r="R28" s="82">
        <f t="shared" si="6"/>
        <v>151.20000000000002</v>
      </c>
    </row>
    <row r="29" spans="1:18">
      <c r="A29" s="98">
        <v>25</v>
      </c>
      <c r="B29" s="170">
        <v>46137</v>
      </c>
      <c r="C29" s="171"/>
      <c r="D29" s="107"/>
      <c r="E29" s="99"/>
      <c r="F29" s="99"/>
      <c r="G29" s="99"/>
      <c r="H29" s="82">
        <v>7</v>
      </c>
      <c r="I29" s="82"/>
      <c r="J29" s="100"/>
      <c r="K29" s="82">
        <f t="shared" si="0"/>
        <v>0</v>
      </c>
      <c r="L29" s="82">
        <f t="shared" si="1"/>
        <v>0</v>
      </c>
      <c r="M29" s="82">
        <f>F29*1000</f>
        <v>0</v>
      </c>
      <c r="N29" s="82">
        <f t="shared" si="2"/>
        <v>0</v>
      </c>
      <c r="O29" s="82">
        <f t="shared" si="3"/>
        <v>151.20000000000002</v>
      </c>
      <c r="P29" s="82">
        <f t="shared" si="4"/>
        <v>0</v>
      </c>
      <c r="Q29" s="82">
        <f t="shared" si="5"/>
        <v>0</v>
      </c>
      <c r="R29" s="100">
        <f t="shared" si="6"/>
        <v>151.20000000000002</v>
      </c>
    </row>
    <row r="30" spans="1:18">
      <c r="A30" s="98">
        <v>26</v>
      </c>
      <c r="B30" s="170">
        <v>46138</v>
      </c>
      <c r="C30" s="171"/>
      <c r="D30" s="107"/>
      <c r="E30" s="99"/>
      <c r="F30" s="99"/>
      <c r="G30" s="99"/>
      <c r="H30" s="82">
        <v>7</v>
      </c>
      <c r="I30" s="82"/>
      <c r="J30" s="100"/>
      <c r="K30" s="82">
        <f>SUM(D30*168)</f>
        <v>0</v>
      </c>
      <c r="L30" s="82">
        <f t="shared" si="1"/>
        <v>0</v>
      </c>
      <c r="M30" s="82">
        <f t="shared" si="2"/>
        <v>0</v>
      </c>
      <c r="N30" s="82">
        <f t="shared" si="2"/>
        <v>0</v>
      </c>
      <c r="O30" s="82">
        <f t="shared" si="3"/>
        <v>151.20000000000002</v>
      </c>
      <c r="P30" s="82">
        <f t="shared" si="4"/>
        <v>0</v>
      </c>
      <c r="Q30" s="82">
        <f t="shared" si="5"/>
        <v>0</v>
      </c>
      <c r="R30" s="100">
        <f t="shared" si="6"/>
        <v>151.20000000000002</v>
      </c>
    </row>
    <row r="31" spans="1:18">
      <c r="A31" s="98">
        <v>27</v>
      </c>
      <c r="B31" s="170">
        <v>46139</v>
      </c>
      <c r="C31" s="171"/>
      <c r="D31" s="107"/>
      <c r="E31" s="99"/>
      <c r="F31" s="99"/>
      <c r="G31" s="99"/>
      <c r="H31" s="82">
        <v>7</v>
      </c>
      <c r="I31" s="82"/>
      <c r="J31" s="100"/>
      <c r="K31" s="82">
        <f t="shared" ref="K31:L35" si="7">SUM(D31*168)</f>
        <v>0</v>
      </c>
      <c r="L31" s="82">
        <f t="shared" si="1"/>
        <v>0</v>
      </c>
      <c r="M31" s="82">
        <f t="shared" si="2"/>
        <v>0</v>
      </c>
      <c r="N31" s="82">
        <f t="shared" si="2"/>
        <v>0</v>
      </c>
      <c r="O31" s="82">
        <f t="shared" si="3"/>
        <v>151.20000000000002</v>
      </c>
      <c r="P31" s="82">
        <f t="shared" si="4"/>
        <v>0</v>
      </c>
      <c r="Q31" s="82">
        <f t="shared" si="5"/>
        <v>0</v>
      </c>
      <c r="R31" s="100">
        <f t="shared" si="6"/>
        <v>151.20000000000002</v>
      </c>
    </row>
    <row r="32" spans="1:18">
      <c r="A32" s="98">
        <v>28</v>
      </c>
      <c r="B32" s="170">
        <v>46140</v>
      </c>
      <c r="C32" s="171"/>
      <c r="D32" s="107"/>
      <c r="E32" s="99"/>
      <c r="F32" s="99"/>
      <c r="G32" s="99"/>
      <c r="H32" s="82">
        <v>7</v>
      </c>
      <c r="I32" s="82"/>
      <c r="J32" s="100"/>
      <c r="K32" s="82">
        <f t="shared" si="7"/>
        <v>0</v>
      </c>
      <c r="L32" s="82">
        <f t="shared" si="1"/>
        <v>0</v>
      </c>
      <c r="M32" s="82">
        <f t="shared" si="2"/>
        <v>0</v>
      </c>
      <c r="N32" s="82">
        <f t="shared" si="2"/>
        <v>0</v>
      </c>
      <c r="O32" s="82">
        <f t="shared" si="3"/>
        <v>151.20000000000002</v>
      </c>
      <c r="P32" s="82">
        <f t="shared" si="4"/>
        <v>0</v>
      </c>
      <c r="Q32" s="82">
        <f t="shared" si="5"/>
        <v>0</v>
      </c>
      <c r="R32" s="100">
        <f t="shared" si="6"/>
        <v>151.20000000000002</v>
      </c>
    </row>
    <row r="33" spans="1:18">
      <c r="A33" s="98">
        <v>29</v>
      </c>
      <c r="B33" s="170">
        <v>46141</v>
      </c>
      <c r="C33" s="171"/>
      <c r="D33" s="107"/>
      <c r="E33" s="99"/>
      <c r="F33" s="99"/>
      <c r="G33" s="99"/>
      <c r="H33" s="82">
        <v>7</v>
      </c>
      <c r="I33" s="82"/>
      <c r="J33" s="100"/>
      <c r="K33" s="82">
        <f t="shared" si="7"/>
        <v>0</v>
      </c>
      <c r="L33" s="82">
        <f t="shared" si="1"/>
        <v>0</v>
      </c>
      <c r="M33" s="82">
        <f t="shared" si="2"/>
        <v>0</v>
      </c>
      <c r="N33" s="82">
        <f t="shared" si="2"/>
        <v>0</v>
      </c>
      <c r="O33" s="82">
        <f t="shared" si="3"/>
        <v>151.20000000000002</v>
      </c>
      <c r="P33" s="82">
        <f t="shared" si="4"/>
        <v>0</v>
      </c>
      <c r="Q33" s="82">
        <f t="shared" si="5"/>
        <v>0</v>
      </c>
      <c r="R33" s="100">
        <f t="shared" si="6"/>
        <v>151.20000000000002</v>
      </c>
    </row>
    <row r="34" spans="1:18">
      <c r="A34" s="98">
        <v>30</v>
      </c>
      <c r="B34" s="170">
        <v>46142</v>
      </c>
      <c r="C34" s="171"/>
      <c r="D34" s="107"/>
      <c r="E34" s="99"/>
      <c r="F34" s="99"/>
      <c r="G34" s="99"/>
      <c r="H34" s="82">
        <v>7</v>
      </c>
      <c r="I34" s="82"/>
      <c r="J34" s="100"/>
      <c r="K34" s="82">
        <f t="shared" si="7"/>
        <v>0</v>
      </c>
      <c r="L34" s="82">
        <f t="shared" si="1"/>
        <v>0</v>
      </c>
      <c r="M34" s="82">
        <f t="shared" si="2"/>
        <v>0</v>
      </c>
      <c r="N34" s="82">
        <f t="shared" si="2"/>
        <v>0</v>
      </c>
      <c r="O34" s="82">
        <f t="shared" si="3"/>
        <v>151.20000000000002</v>
      </c>
      <c r="P34" s="82">
        <f t="shared" si="4"/>
        <v>0</v>
      </c>
      <c r="Q34" s="82">
        <f t="shared" si="5"/>
        <v>0</v>
      </c>
      <c r="R34" s="100">
        <f t="shared" si="6"/>
        <v>151.20000000000002</v>
      </c>
    </row>
    <row r="35" spans="1:18" ht="15.75" thickBot="1">
      <c r="A35" s="98"/>
      <c r="B35" s="170"/>
      <c r="C35" s="171"/>
      <c r="D35" s="107"/>
      <c r="E35" s="99"/>
      <c r="F35" s="99"/>
      <c r="G35" s="99"/>
      <c r="H35" s="82"/>
      <c r="I35" s="82"/>
      <c r="J35" s="100"/>
      <c r="K35" s="82">
        <f t="shared" si="7"/>
        <v>0</v>
      </c>
      <c r="L35" s="82">
        <f t="shared" si="7"/>
        <v>0</v>
      </c>
      <c r="M35" s="82">
        <f t="shared" ref="M35:N35" si="8">F35*1000</f>
        <v>0</v>
      </c>
      <c r="N35" s="82">
        <f t="shared" si="8"/>
        <v>0</v>
      </c>
      <c r="O35" s="82">
        <f t="shared" si="3"/>
        <v>0</v>
      </c>
      <c r="P35" s="82">
        <f t="shared" si="4"/>
        <v>0</v>
      </c>
      <c r="Q35" s="82">
        <f t="shared" si="5"/>
        <v>0</v>
      </c>
      <c r="R35" s="100">
        <f t="shared" si="6"/>
        <v>0</v>
      </c>
    </row>
    <row r="36" spans="1:18" ht="15.75" thickBot="1">
      <c r="D36" s="101">
        <f>SUM(D5:D35)</f>
        <v>2</v>
      </c>
      <c r="E36" s="102">
        <f>SUM(E5:E35)</f>
        <v>8</v>
      </c>
      <c r="F36" s="102">
        <f>SUM(F5:F35)</f>
        <v>0</v>
      </c>
      <c r="G36" s="102"/>
      <c r="H36" s="103">
        <f>SUM(H5:H35)</f>
        <v>296</v>
      </c>
      <c r="I36" s="104"/>
      <c r="J36" s="102"/>
      <c r="K36" s="102">
        <f>SUM(K5:K35)</f>
        <v>336</v>
      </c>
      <c r="L36" s="102">
        <f t="shared" ref="L36:Q36" si="9">SUM(L5:L35)</f>
        <v>1344</v>
      </c>
      <c r="M36" s="102">
        <f t="shared" si="9"/>
        <v>0</v>
      </c>
      <c r="N36" s="102">
        <f t="shared" si="9"/>
        <v>0</v>
      </c>
      <c r="O36" s="102">
        <f t="shared" si="9"/>
        <v>6393.5999999999976</v>
      </c>
      <c r="P36" s="102">
        <f t="shared" si="9"/>
        <v>0</v>
      </c>
      <c r="Q36" s="102">
        <f t="shared" si="9"/>
        <v>0</v>
      </c>
      <c r="R36" s="105">
        <f>SUM(R5:R35)</f>
        <v>8073.5999999999985</v>
      </c>
    </row>
  </sheetData>
  <mergeCells count="47">
    <mergeCell ref="A3:A4"/>
    <mergeCell ref="B3:C4"/>
    <mergeCell ref="D3:D4"/>
    <mergeCell ref="E3:E4"/>
    <mergeCell ref="F3:F4"/>
    <mergeCell ref="B6:C6"/>
    <mergeCell ref="I3:I4"/>
    <mergeCell ref="J3:J4"/>
    <mergeCell ref="K3:K4"/>
    <mergeCell ref="L3:L4"/>
    <mergeCell ref="G3:G4"/>
    <mergeCell ref="O3:O4"/>
    <mergeCell ref="P3:P4"/>
    <mergeCell ref="Q3:Q4"/>
    <mergeCell ref="R3:R4"/>
    <mergeCell ref="B5:C5"/>
    <mergeCell ref="M3:M4"/>
    <mergeCell ref="N3:N4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1:C31"/>
    <mergeCell ref="B32:C32"/>
    <mergeCell ref="B33:C33"/>
    <mergeCell ref="B34:C34"/>
    <mergeCell ref="B35:C3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F1B3C-6DC7-432B-A06E-3F8CE3611E11}">
  <dimension ref="A1:S39"/>
  <sheetViews>
    <sheetView topLeftCell="A23" zoomScaleNormal="100" workbookViewId="0">
      <selection activeCell="K37" sqref="K37"/>
    </sheetView>
  </sheetViews>
  <sheetFormatPr defaultRowHeight="15"/>
  <cols>
    <col min="1" max="1" width="12" style="28" bestFit="1" customWidth="1"/>
    <col min="2" max="11" width="9.140625" style="28"/>
    <col min="12" max="12" width="11.7109375" style="28" customWidth="1"/>
    <col min="13" max="13" width="9.140625" style="28"/>
    <col min="14" max="14" width="11.7109375" style="28" customWidth="1"/>
    <col min="15" max="16" width="9.140625" style="28"/>
    <col min="17" max="17" width="11.7109375" style="28" customWidth="1"/>
    <col min="18" max="18" width="11.28515625" style="28" customWidth="1"/>
    <col min="19" max="19" width="15" style="28" customWidth="1"/>
    <col min="20" max="16384" width="9.140625" style="28"/>
  </cols>
  <sheetData>
    <row r="1" spans="1:19">
      <c r="A1" s="108">
        <f>S39</f>
        <v>22922.399999999998</v>
      </c>
      <c r="C1" s="95"/>
      <c r="D1" s="95"/>
      <c r="E1" s="95"/>
      <c r="F1" s="95"/>
      <c r="G1" s="95"/>
      <c r="H1" s="187"/>
      <c r="I1" s="187"/>
      <c r="J1" s="95"/>
      <c r="K1" s="95"/>
      <c r="S1" s="108"/>
    </row>
    <row r="2" spans="1:19">
      <c r="C2" s="95"/>
      <c r="D2" s="95"/>
      <c r="E2" s="95"/>
      <c r="F2" s="95"/>
      <c r="G2" s="95"/>
      <c r="H2" s="187"/>
      <c r="I2" s="187"/>
      <c r="J2" s="95"/>
      <c r="K2" s="95"/>
      <c r="S2" s="108"/>
    </row>
    <row r="3" spans="1:19" ht="15.75" thickBot="1">
      <c r="C3" s="95"/>
      <c r="D3" s="95"/>
      <c r="E3" s="95"/>
      <c r="F3" s="95"/>
      <c r="G3" s="95"/>
      <c r="H3" s="187"/>
      <c r="I3" s="187"/>
      <c r="J3" s="95"/>
      <c r="K3" s="95"/>
      <c r="S3" s="108"/>
    </row>
    <row r="4" spans="1:19" ht="15.75" thickBot="1">
      <c r="A4" s="187" t="s">
        <v>124</v>
      </c>
      <c r="B4" s="188"/>
      <c r="C4" s="188"/>
      <c r="D4" s="188"/>
      <c r="E4" s="188"/>
      <c r="F4" s="188"/>
      <c r="G4" s="188"/>
      <c r="H4" s="189"/>
      <c r="I4" s="189"/>
      <c r="J4" s="95"/>
      <c r="K4" s="95"/>
      <c r="L4" s="190" t="s">
        <v>125</v>
      </c>
      <c r="M4" s="191"/>
      <c r="N4" s="191"/>
      <c r="O4" s="191"/>
      <c r="P4" s="191"/>
      <c r="Q4" s="191"/>
      <c r="R4" s="191"/>
      <c r="S4" s="192"/>
    </row>
    <row r="5" spans="1:19" ht="30">
      <c r="A5" s="183" t="s">
        <v>1</v>
      </c>
      <c r="B5" s="184"/>
      <c r="C5" s="176" t="s">
        <v>126</v>
      </c>
      <c r="D5" s="176" t="s">
        <v>127</v>
      </c>
      <c r="E5" s="176" t="s">
        <v>128</v>
      </c>
      <c r="F5" s="176" t="s">
        <v>129</v>
      </c>
      <c r="G5" s="176" t="s">
        <v>130</v>
      </c>
      <c r="H5" s="176"/>
      <c r="I5" s="176"/>
      <c r="J5" s="176" t="s">
        <v>131</v>
      </c>
      <c r="K5" s="17" t="s">
        <v>4</v>
      </c>
      <c r="L5" s="181" t="s">
        <v>132</v>
      </c>
      <c r="M5" s="176" t="s">
        <v>127</v>
      </c>
      <c r="N5" s="176" t="s">
        <v>128</v>
      </c>
      <c r="O5" s="176" t="s">
        <v>129</v>
      </c>
      <c r="P5" s="176" t="s">
        <v>133</v>
      </c>
      <c r="Q5" s="176" t="s">
        <v>8</v>
      </c>
      <c r="R5" s="176" t="s">
        <v>4</v>
      </c>
      <c r="S5" s="178" t="s">
        <v>18</v>
      </c>
    </row>
    <row r="6" spans="1:19" ht="15.75" thickBot="1">
      <c r="A6" s="185"/>
      <c r="B6" s="186"/>
      <c r="C6" s="177"/>
      <c r="D6" s="177"/>
      <c r="E6" s="177"/>
      <c r="F6" s="177"/>
      <c r="G6" s="177"/>
      <c r="H6" s="180"/>
      <c r="I6" s="180"/>
      <c r="J6" s="177"/>
      <c r="K6" s="18">
        <v>38</v>
      </c>
      <c r="L6" s="182"/>
      <c r="M6" s="177"/>
      <c r="N6" s="177"/>
      <c r="O6" s="177"/>
      <c r="P6" s="177"/>
      <c r="Q6" s="177"/>
      <c r="R6" s="177"/>
      <c r="S6" s="179"/>
    </row>
    <row r="7" spans="1:19">
      <c r="A7" s="174">
        <v>46113</v>
      </c>
      <c r="B7" s="175"/>
      <c r="C7" s="109"/>
      <c r="D7" s="109"/>
      <c r="E7" s="110"/>
      <c r="F7" s="110"/>
      <c r="G7" s="111"/>
      <c r="H7" s="111"/>
      <c r="I7" s="110"/>
      <c r="J7" s="110">
        <v>0</v>
      </c>
      <c r="K7" s="112">
        <v>38</v>
      </c>
      <c r="L7" s="19">
        <f t="shared" ref="L7:L37" si="0">C7*168</f>
        <v>0</v>
      </c>
      <c r="M7" s="19">
        <f t="shared" ref="M7:M37" si="1">D7*4</f>
        <v>0</v>
      </c>
      <c r="N7" s="19">
        <f t="shared" ref="N7:N37" si="2">E7*168</f>
        <v>0</v>
      </c>
      <c r="O7" s="19">
        <f t="shared" ref="O7:P37" si="3">F7*4</f>
        <v>0</v>
      </c>
      <c r="P7" s="19">
        <f t="shared" si="3"/>
        <v>0</v>
      </c>
      <c r="Q7" s="19">
        <f>J7*600</f>
        <v>0</v>
      </c>
      <c r="R7" s="19">
        <f>K7*21.6</f>
        <v>820.80000000000007</v>
      </c>
      <c r="S7" s="20">
        <f t="shared" ref="S7:S37" si="4">SUM(L7:R7)</f>
        <v>820.80000000000007</v>
      </c>
    </row>
    <row r="8" spans="1:19">
      <c r="A8" s="174">
        <v>46114</v>
      </c>
      <c r="B8" s="175"/>
      <c r="C8" s="112"/>
      <c r="D8" s="112"/>
      <c r="E8" s="83"/>
      <c r="F8" s="83"/>
      <c r="G8" s="113"/>
      <c r="H8" s="113"/>
      <c r="I8" s="83"/>
      <c r="J8" s="110">
        <v>0</v>
      </c>
      <c r="K8" s="112">
        <v>38</v>
      </c>
      <c r="L8" s="19">
        <f t="shared" si="0"/>
        <v>0</v>
      </c>
      <c r="M8" s="19">
        <f t="shared" si="1"/>
        <v>0</v>
      </c>
      <c r="N8" s="19">
        <f t="shared" si="2"/>
        <v>0</v>
      </c>
      <c r="O8" s="19">
        <f t="shared" si="3"/>
        <v>0</v>
      </c>
      <c r="P8" s="19">
        <f t="shared" si="3"/>
        <v>0</v>
      </c>
      <c r="Q8" s="19">
        <f t="shared" ref="Q8:Q37" si="5">J8*600</f>
        <v>0</v>
      </c>
      <c r="R8" s="19">
        <f t="shared" ref="R8:R37" si="6">K8*21.6</f>
        <v>820.80000000000007</v>
      </c>
      <c r="S8" s="21">
        <f t="shared" si="4"/>
        <v>820.80000000000007</v>
      </c>
    </row>
    <row r="9" spans="1:19">
      <c r="A9" s="174">
        <v>46115</v>
      </c>
      <c r="B9" s="175"/>
      <c r="C9" s="112"/>
      <c r="D9" s="112"/>
      <c r="E9" s="83"/>
      <c r="F9" s="83"/>
      <c r="G9" s="113"/>
      <c r="H9" s="113"/>
      <c r="I9" s="83"/>
      <c r="J9" s="110">
        <v>0</v>
      </c>
      <c r="K9" s="112">
        <v>38</v>
      </c>
      <c r="L9" s="19">
        <f t="shared" si="0"/>
        <v>0</v>
      </c>
      <c r="M9" s="19">
        <f t="shared" si="1"/>
        <v>0</v>
      </c>
      <c r="N9" s="19">
        <f t="shared" si="2"/>
        <v>0</v>
      </c>
      <c r="O9" s="19">
        <f t="shared" si="3"/>
        <v>0</v>
      </c>
      <c r="P9" s="19">
        <f t="shared" si="3"/>
        <v>0</v>
      </c>
      <c r="Q9" s="19">
        <f t="shared" si="5"/>
        <v>0</v>
      </c>
      <c r="R9" s="19">
        <f t="shared" si="6"/>
        <v>820.80000000000007</v>
      </c>
      <c r="S9" s="21">
        <f t="shared" si="4"/>
        <v>820.80000000000007</v>
      </c>
    </row>
    <row r="10" spans="1:19">
      <c r="A10" s="174">
        <v>46116</v>
      </c>
      <c r="B10" s="175"/>
      <c r="C10" s="112"/>
      <c r="D10" s="112"/>
      <c r="E10" s="83"/>
      <c r="F10" s="83"/>
      <c r="G10" s="113"/>
      <c r="H10" s="113"/>
      <c r="I10" s="83"/>
      <c r="J10" s="110">
        <v>0</v>
      </c>
      <c r="K10" s="112">
        <v>38</v>
      </c>
      <c r="L10" s="19">
        <f t="shared" si="0"/>
        <v>0</v>
      </c>
      <c r="M10" s="19">
        <f t="shared" si="1"/>
        <v>0</v>
      </c>
      <c r="N10" s="19">
        <f t="shared" si="2"/>
        <v>0</v>
      </c>
      <c r="O10" s="19">
        <f t="shared" si="3"/>
        <v>0</v>
      </c>
      <c r="P10" s="19">
        <f t="shared" si="3"/>
        <v>0</v>
      </c>
      <c r="Q10" s="19">
        <f t="shared" si="5"/>
        <v>0</v>
      </c>
      <c r="R10" s="19">
        <f t="shared" si="6"/>
        <v>820.80000000000007</v>
      </c>
      <c r="S10" s="21">
        <f t="shared" si="4"/>
        <v>820.80000000000007</v>
      </c>
    </row>
    <row r="11" spans="1:19">
      <c r="A11" s="174">
        <v>46117</v>
      </c>
      <c r="B11" s="175"/>
      <c r="C11" s="112"/>
      <c r="D11" s="112"/>
      <c r="E11" s="83"/>
      <c r="F11" s="83"/>
      <c r="G11" s="113"/>
      <c r="H11" s="113"/>
      <c r="I11" s="83"/>
      <c r="J11" s="110">
        <v>0</v>
      </c>
      <c r="K11" s="112">
        <v>38</v>
      </c>
      <c r="L11" s="19">
        <f t="shared" si="0"/>
        <v>0</v>
      </c>
      <c r="M11" s="19">
        <f t="shared" si="1"/>
        <v>0</v>
      </c>
      <c r="N11" s="19">
        <f t="shared" si="2"/>
        <v>0</v>
      </c>
      <c r="O11" s="19">
        <f t="shared" si="3"/>
        <v>0</v>
      </c>
      <c r="P11" s="19">
        <f t="shared" si="3"/>
        <v>0</v>
      </c>
      <c r="Q11" s="19">
        <f t="shared" si="5"/>
        <v>0</v>
      </c>
      <c r="R11" s="19">
        <f t="shared" si="6"/>
        <v>820.80000000000007</v>
      </c>
      <c r="S11" s="21">
        <f t="shared" si="4"/>
        <v>820.80000000000007</v>
      </c>
    </row>
    <row r="12" spans="1:19">
      <c r="A12" s="174">
        <v>46118</v>
      </c>
      <c r="B12" s="175"/>
      <c r="C12" s="112"/>
      <c r="D12" s="112"/>
      <c r="E12" s="83"/>
      <c r="F12" s="83"/>
      <c r="G12" s="113"/>
      <c r="H12" s="113"/>
      <c r="I12" s="83"/>
      <c r="J12" s="110">
        <v>0</v>
      </c>
      <c r="K12" s="112">
        <v>38</v>
      </c>
      <c r="L12" s="19">
        <f t="shared" si="0"/>
        <v>0</v>
      </c>
      <c r="M12" s="19">
        <f t="shared" si="1"/>
        <v>0</v>
      </c>
      <c r="N12" s="19">
        <f t="shared" si="2"/>
        <v>0</v>
      </c>
      <c r="O12" s="19">
        <f t="shared" si="3"/>
        <v>0</v>
      </c>
      <c r="P12" s="19">
        <f t="shared" si="3"/>
        <v>0</v>
      </c>
      <c r="Q12" s="19">
        <f t="shared" si="5"/>
        <v>0</v>
      </c>
      <c r="R12" s="19">
        <f t="shared" si="6"/>
        <v>820.80000000000007</v>
      </c>
      <c r="S12" s="21">
        <f t="shared" si="4"/>
        <v>820.80000000000007</v>
      </c>
    </row>
    <row r="13" spans="1:19">
      <c r="A13" s="174">
        <v>46119</v>
      </c>
      <c r="B13" s="175"/>
      <c r="C13" s="112"/>
      <c r="D13" s="112"/>
      <c r="E13" s="83"/>
      <c r="F13" s="83"/>
      <c r="G13" s="113"/>
      <c r="H13" s="113"/>
      <c r="I13" s="83"/>
      <c r="J13" s="110">
        <v>0</v>
      </c>
      <c r="K13" s="112">
        <v>38</v>
      </c>
      <c r="L13" s="19">
        <f t="shared" si="0"/>
        <v>0</v>
      </c>
      <c r="M13" s="19">
        <f t="shared" si="1"/>
        <v>0</v>
      </c>
      <c r="N13" s="19">
        <f t="shared" si="2"/>
        <v>0</v>
      </c>
      <c r="O13" s="19">
        <f t="shared" si="3"/>
        <v>0</v>
      </c>
      <c r="P13" s="19">
        <f t="shared" si="3"/>
        <v>0</v>
      </c>
      <c r="Q13" s="19">
        <f t="shared" si="5"/>
        <v>0</v>
      </c>
      <c r="R13" s="19">
        <f t="shared" si="6"/>
        <v>820.80000000000007</v>
      </c>
      <c r="S13" s="21">
        <f t="shared" si="4"/>
        <v>820.80000000000007</v>
      </c>
    </row>
    <row r="14" spans="1:19">
      <c r="A14" s="174">
        <v>46120</v>
      </c>
      <c r="B14" s="175"/>
      <c r="C14" s="112"/>
      <c r="D14" s="112"/>
      <c r="E14" s="83">
        <v>6</v>
      </c>
      <c r="F14" s="83"/>
      <c r="G14" s="113"/>
      <c r="H14" s="113"/>
      <c r="I14" s="83"/>
      <c r="J14" s="110">
        <v>0</v>
      </c>
      <c r="K14" s="112">
        <v>38</v>
      </c>
      <c r="L14" s="19">
        <f t="shared" si="0"/>
        <v>0</v>
      </c>
      <c r="M14" s="19">
        <f t="shared" si="1"/>
        <v>0</v>
      </c>
      <c r="N14" s="19">
        <f t="shared" si="2"/>
        <v>1008</v>
      </c>
      <c r="O14" s="19">
        <f t="shared" si="3"/>
        <v>0</v>
      </c>
      <c r="P14" s="19">
        <f t="shared" si="3"/>
        <v>0</v>
      </c>
      <c r="Q14" s="19">
        <f t="shared" si="5"/>
        <v>0</v>
      </c>
      <c r="R14" s="19">
        <f t="shared" si="6"/>
        <v>820.80000000000007</v>
      </c>
      <c r="S14" s="21">
        <f t="shared" si="4"/>
        <v>1828.8000000000002</v>
      </c>
    </row>
    <row r="15" spans="1:19">
      <c r="A15" s="174">
        <v>46121</v>
      </c>
      <c r="B15" s="175"/>
      <c r="C15" s="112"/>
      <c r="D15" s="112"/>
      <c r="E15" s="83"/>
      <c r="F15" s="83"/>
      <c r="G15" s="113"/>
      <c r="H15" s="113"/>
      <c r="I15" s="83"/>
      <c r="J15" s="110">
        <v>0</v>
      </c>
      <c r="K15" s="112">
        <v>32</v>
      </c>
      <c r="L15" s="19">
        <f t="shared" si="0"/>
        <v>0</v>
      </c>
      <c r="M15" s="19">
        <f t="shared" si="1"/>
        <v>0</v>
      </c>
      <c r="N15" s="19">
        <f t="shared" si="2"/>
        <v>0</v>
      </c>
      <c r="O15" s="19">
        <f t="shared" si="3"/>
        <v>0</v>
      </c>
      <c r="P15" s="19">
        <f t="shared" si="3"/>
        <v>0</v>
      </c>
      <c r="Q15" s="19">
        <f t="shared" si="5"/>
        <v>0</v>
      </c>
      <c r="R15" s="19">
        <f t="shared" si="6"/>
        <v>691.2</v>
      </c>
      <c r="S15" s="21">
        <f t="shared" si="4"/>
        <v>691.2</v>
      </c>
    </row>
    <row r="16" spans="1:19">
      <c r="A16" s="174">
        <v>46122</v>
      </c>
      <c r="B16" s="175"/>
      <c r="C16" s="112"/>
      <c r="D16" s="112"/>
      <c r="E16" s="83"/>
      <c r="F16" s="83"/>
      <c r="G16" s="113"/>
      <c r="H16" s="113"/>
      <c r="I16" s="83"/>
      <c r="J16" s="110">
        <v>0</v>
      </c>
      <c r="K16" s="112">
        <v>32</v>
      </c>
      <c r="L16" s="19">
        <f t="shared" si="0"/>
        <v>0</v>
      </c>
      <c r="M16" s="19">
        <f t="shared" si="1"/>
        <v>0</v>
      </c>
      <c r="N16" s="19">
        <f t="shared" si="2"/>
        <v>0</v>
      </c>
      <c r="O16" s="19">
        <f t="shared" si="3"/>
        <v>0</v>
      </c>
      <c r="P16" s="19">
        <f t="shared" si="3"/>
        <v>0</v>
      </c>
      <c r="Q16" s="19">
        <f t="shared" si="5"/>
        <v>0</v>
      </c>
      <c r="R16" s="19">
        <f t="shared" si="6"/>
        <v>691.2</v>
      </c>
      <c r="S16" s="21">
        <f t="shared" si="4"/>
        <v>691.2</v>
      </c>
    </row>
    <row r="17" spans="1:19">
      <c r="A17" s="174">
        <v>46123</v>
      </c>
      <c r="B17" s="175"/>
      <c r="C17" s="112"/>
      <c r="D17" s="112"/>
      <c r="E17" s="83"/>
      <c r="F17" s="83"/>
      <c r="G17" s="113"/>
      <c r="H17" s="113"/>
      <c r="I17" s="83"/>
      <c r="J17" s="110">
        <v>0</v>
      </c>
      <c r="K17" s="112">
        <v>32</v>
      </c>
      <c r="L17" s="19">
        <f t="shared" si="0"/>
        <v>0</v>
      </c>
      <c r="M17" s="19">
        <f t="shared" si="1"/>
        <v>0</v>
      </c>
      <c r="N17" s="19">
        <f t="shared" si="2"/>
        <v>0</v>
      </c>
      <c r="O17" s="19">
        <f t="shared" si="3"/>
        <v>0</v>
      </c>
      <c r="P17" s="19">
        <f t="shared" si="3"/>
        <v>0</v>
      </c>
      <c r="Q17" s="19">
        <f t="shared" si="5"/>
        <v>0</v>
      </c>
      <c r="R17" s="19">
        <f t="shared" si="6"/>
        <v>691.2</v>
      </c>
      <c r="S17" s="21">
        <f t="shared" si="4"/>
        <v>691.2</v>
      </c>
    </row>
    <row r="18" spans="1:19">
      <c r="A18" s="174">
        <v>46124</v>
      </c>
      <c r="B18" s="175"/>
      <c r="C18" s="114"/>
      <c r="D18" s="114"/>
      <c r="E18" s="115"/>
      <c r="F18" s="115"/>
      <c r="G18" s="116"/>
      <c r="H18" s="116"/>
      <c r="I18" s="115"/>
      <c r="J18" s="110">
        <v>0</v>
      </c>
      <c r="K18" s="112">
        <v>32</v>
      </c>
      <c r="L18" s="19">
        <f t="shared" si="0"/>
        <v>0</v>
      </c>
      <c r="M18" s="19">
        <f t="shared" si="1"/>
        <v>0</v>
      </c>
      <c r="N18" s="19">
        <f t="shared" si="2"/>
        <v>0</v>
      </c>
      <c r="O18" s="19">
        <f t="shared" si="3"/>
        <v>0</v>
      </c>
      <c r="P18" s="19">
        <f t="shared" si="3"/>
        <v>0</v>
      </c>
      <c r="Q18" s="19">
        <f t="shared" si="5"/>
        <v>0</v>
      </c>
      <c r="R18" s="19">
        <f t="shared" si="6"/>
        <v>691.2</v>
      </c>
      <c r="S18" s="21">
        <f t="shared" si="4"/>
        <v>691.2</v>
      </c>
    </row>
    <row r="19" spans="1:19">
      <c r="A19" s="174">
        <v>46125</v>
      </c>
      <c r="B19" s="175"/>
      <c r="C19" s="112"/>
      <c r="D19" s="112"/>
      <c r="E19" s="83"/>
      <c r="F19" s="83"/>
      <c r="G19" s="113"/>
      <c r="H19" s="113"/>
      <c r="I19" s="83"/>
      <c r="J19" s="110">
        <v>0</v>
      </c>
      <c r="K19" s="112">
        <v>32</v>
      </c>
      <c r="L19" s="19">
        <f t="shared" si="0"/>
        <v>0</v>
      </c>
      <c r="M19" s="19">
        <f t="shared" si="1"/>
        <v>0</v>
      </c>
      <c r="N19" s="19">
        <f t="shared" si="2"/>
        <v>0</v>
      </c>
      <c r="O19" s="19">
        <f t="shared" si="3"/>
        <v>0</v>
      </c>
      <c r="P19" s="19">
        <f t="shared" si="3"/>
        <v>0</v>
      </c>
      <c r="Q19" s="19">
        <f t="shared" si="5"/>
        <v>0</v>
      </c>
      <c r="R19" s="19">
        <f t="shared" si="6"/>
        <v>691.2</v>
      </c>
      <c r="S19" s="21">
        <f t="shared" si="4"/>
        <v>691.2</v>
      </c>
    </row>
    <row r="20" spans="1:19">
      <c r="A20" s="174">
        <v>46126</v>
      </c>
      <c r="B20" s="175"/>
      <c r="C20" s="112"/>
      <c r="D20" s="112"/>
      <c r="E20" s="83"/>
      <c r="F20" s="83"/>
      <c r="G20" s="113"/>
      <c r="H20" s="113"/>
      <c r="I20" s="83"/>
      <c r="J20" s="110">
        <v>0</v>
      </c>
      <c r="K20" s="112">
        <v>32</v>
      </c>
      <c r="L20" s="19">
        <f t="shared" si="0"/>
        <v>0</v>
      </c>
      <c r="M20" s="19">
        <f t="shared" si="1"/>
        <v>0</v>
      </c>
      <c r="N20" s="19">
        <f t="shared" si="2"/>
        <v>0</v>
      </c>
      <c r="O20" s="19">
        <f t="shared" si="3"/>
        <v>0</v>
      </c>
      <c r="P20" s="19">
        <f t="shared" si="3"/>
        <v>0</v>
      </c>
      <c r="Q20" s="19">
        <f t="shared" si="5"/>
        <v>0</v>
      </c>
      <c r="R20" s="19">
        <f t="shared" si="6"/>
        <v>691.2</v>
      </c>
      <c r="S20" s="21">
        <f t="shared" si="4"/>
        <v>691.2</v>
      </c>
    </row>
    <row r="21" spans="1:19">
      <c r="A21" s="174">
        <v>46127</v>
      </c>
      <c r="B21" s="175"/>
      <c r="C21" s="112"/>
      <c r="D21" s="112"/>
      <c r="E21" s="83"/>
      <c r="F21" s="83"/>
      <c r="G21" s="113"/>
      <c r="H21" s="113"/>
      <c r="I21" s="83"/>
      <c r="J21" s="110">
        <v>0</v>
      </c>
      <c r="K21" s="112">
        <v>32</v>
      </c>
      <c r="L21" s="19">
        <f t="shared" si="0"/>
        <v>0</v>
      </c>
      <c r="M21" s="19">
        <f t="shared" si="1"/>
        <v>0</v>
      </c>
      <c r="N21" s="19">
        <f t="shared" si="2"/>
        <v>0</v>
      </c>
      <c r="O21" s="19">
        <f t="shared" si="3"/>
        <v>0</v>
      </c>
      <c r="P21" s="19">
        <f t="shared" si="3"/>
        <v>0</v>
      </c>
      <c r="Q21" s="19">
        <f t="shared" si="5"/>
        <v>0</v>
      </c>
      <c r="R21" s="19">
        <f t="shared" si="6"/>
        <v>691.2</v>
      </c>
      <c r="S21" s="21">
        <f t="shared" si="4"/>
        <v>691.2</v>
      </c>
    </row>
    <row r="22" spans="1:19">
      <c r="A22" s="174">
        <v>46128</v>
      </c>
      <c r="B22" s="175"/>
      <c r="C22" s="112"/>
      <c r="D22" s="112"/>
      <c r="E22" s="83"/>
      <c r="F22" s="83"/>
      <c r="G22" s="113"/>
      <c r="H22" s="113"/>
      <c r="I22" s="83"/>
      <c r="J22" s="110">
        <v>0</v>
      </c>
      <c r="K22" s="112">
        <v>32</v>
      </c>
      <c r="L22" s="19">
        <f t="shared" si="0"/>
        <v>0</v>
      </c>
      <c r="M22" s="19">
        <f t="shared" si="1"/>
        <v>0</v>
      </c>
      <c r="N22" s="19">
        <f t="shared" si="2"/>
        <v>0</v>
      </c>
      <c r="O22" s="19">
        <f t="shared" si="3"/>
        <v>0</v>
      </c>
      <c r="P22" s="19">
        <f t="shared" si="3"/>
        <v>0</v>
      </c>
      <c r="Q22" s="19">
        <f t="shared" si="5"/>
        <v>0</v>
      </c>
      <c r="R22" s="19">
        <f t="shared" si="6"/>
        <v>691.2</v>
      </c>
      <c r="S22" s="21">
        <f t="shared" si="4"/>
        <v>691.2</v>
      </c>
    </row>
    <row r="23" spans="1:19">
      <c r="A23" s="174">
        <v>46129</v>
      </c>
      <c r="B23" s="175"/>
      <c r="C23" s="112"/>
      <c r="D23" s="112"/>
      <c r="E23" s="83"/>
      <c r="F23" s="83"/>
      <c r="G23" s="113"/>
      <c r="H23" s="113"/>
      <c r="I23" s="83"/>
      <c r="J23" s="110">
        <v>0</v>
      </c>
      <c r="K23" s="112">
        <v>32</v>
      </c>
      <c r="L23" s="19">
        <f t="shared" si="0"/>
        <v>0</v>
      </c>
      <c r="M23" s="19">
        <f t="shared" si="1"/>
        <v>0</v>
      </c>
      <c r="N23" s="19">
        <f t="shared" si="2"/>
        <v>0</v>
      </c>
      <c r="O23" s="19">
        <f t="shared" si="3"/>
        <v>0</v>
      </c>
      <c r="P23" s="19">
        <f t="shared" si="3"/>
        <v>0</v>
      </c>
      <c r="Q23" s="19">
        <f t="shared" si="5"/>
        <v>0</v>
      </c>
      <c r="R23" s="19">
        <f t="shared" si="6"/>
        <v>691.2</v>
      </c>
      <c r="S23" s="21">
        <f t="shared" si="4"/>
        <v>691.2</v>
      </c>
    </row>
    <row r="24" spans="1:19">
      <c r="A24" s="174">
        <v>46130</v>
      </c>
      <c r="B24" s="175"/>
      <c r="C24" s="112"/>
      <c r="D24" s="112"/>
      <c r="E24" s="83"/>
      <c r="F24" s="83"/>
      <c r="G24" s="113"/>
      <c r="H24" s="113"/>
      <c r="I24" s="83"/>
      <c r="J24" s="110">
        <v>0</v>
      </c>
      <c r="K24" s="112">
        <v>32</v>
      </c>
      <c r="L24" s="19">
        <f t="shared" si="0"/>
        <v>0</v>
      </c>
      <c r="M24" s="19">
        <f t="shared" si="1"/>
        <v>0</v>
      </c>
      <c r="N24" s="19">
        <f t="shared" si="2"/>
        <v>0</v>
      </c>
      <c r="O24" s="19">
        <f t="shared" si="3"/>
        <v>0</v>
      </c>
      <c r="P24" s="19">
        <f t="shared" si="3"/>
        <v>0</v>
      </c>
      <c r="Q24" s="19">
        <f t="shared" si="5"/>
        <v>0</v>
      </c>
      <c r="R24" s="19">
        <f t="shared" si="6"/>
        <v>691.2</v>
      </c>
      <c r="S24" s="21">
        <f t="shared" si="4"/>
        <v>691.2</v>
      </c>
    </row>
    <row r="25" spans="1:19">
      <c r="A25" s="174">
        <v>46131</v>
      </c>
      <c r="B25" s="175"/>
      <c r="C25" s="112"/>
      <c r="D25" s="112"/>
      <c r="E25" s="83"/>
      <c r="F25" s="83"/>
      <c r="G25" s="113"/>
      <c r="H25" s="113"/>
      <c r="I25" s="83"/>
      <c r="J25" s="110">
        <v>0</v>
      </c>
      <c r="K25" s="112">
        <v>32</v>
      </c>
      <c r="L25" s="19">
        <f t="shared" si="0"/>
        <v>0</v>
      </c>
      <c r="M25" s="19">
        <f t="shared" si="1"/>
        <v>0</v>
      </c>
      <c r="N25" s="19">
        <f t="shared" si="2"/>
        <v>0</v>
      </c>
      <c r="O25" s="19">
        <f t="shared" si="3"/>
        <v>0</v>
      </c>
      <c r="P25" s="19">
        <f t="shared" si="3"/>
        <v>0</v>
      </c>
      <c r="Q25" s="19">
        <f t="shared" si="5"/>
        <v>0</v>
      </c>
      <c r="R25" s="19">
        <f t="shared" si="6"/>
        <v>691.2</v>
      </c>
      <c r="S25" s="21">
        <f t="shared" si="4"/>
        <v>691.2</v>
      </c>
    </row>
    <row r="26" spans="1:19">
      <c r="A26" s="174">
        <v>46132</v>
      </c>
      <c r="B26" s="175"/>
      <c r="C26" s="112"/>
      <c r="D26" s="112"/>
      <c r="E26" s="83"/>
      <c r="F26" s="83"/>
      <c r="G26" s="113"/>
      <c r="H26" s="113"/>
      <c r="I26" s="83"/>
      <c r="J26" s="110">
        <v>0</v>
      </c>
      <c r="K26" s="112">
        <v>32</v>
      </c>
      <c r="L26" s="19">
        <f t="shared" si="0"/>
        <v>0</v>
      </c>
      <c r="M26" s="19">
        <f t="shared" si="1"/>
        <v>0</v>
      </c>
      <c r="N26" s="19">
        <f t="shared" si="2"/>
        <v>0</v>
      </c>
      <c r="O26" s="19">
        <f t="shared" si="3"/>
        <v>0</v>
      </c>
      <c r="P26" s="19">
        <f t="shared" si="3"/>
        <v>0</v>
      </c>
      <c r="Q26" s="19">
        <f t="shared" si="5"/>
        <v>0</v>
      </c>
      <c r="R26" s="19">
        <f t="shared" si="6"/>
        <v>691.2</v>
      </c>
      <c r="S26" s="21">
        <f t="shared" si="4"/>
        <v>691.2</v>
      </c>
    </row>
    <row r="27" spans="1:19">
      <c r="A27" s="174">
        <v>46133</v>
      </c>
      <c r="B27" s="175"/>
      <c r="C27" s="112"/>
      <c r="D27" s="112"/>
      <c r="E27" s="83"/>
      <c r="F27" s="83"/>
      <c r="G27" s="113"/>
      <c r="H27" s="113"/>
      <c r="I27" s="83"/>
      <c r="J27" s="110">
        <v>0</v>
      </c>
      <c r="K27" s="112">
        <v>32</v>
      </c>
      <c r="L27" s="19">
        <f t="shared" si="0"/>
        <v>0</v>
      </c>
      <c r="M27" s="19">
        <f t="shared" si="1"/>
        <v>0</v>
      </c>
      <c r="N27" s="19">
        <f t="shared" si="2"/>
        <v>0</v>
      </c>
      <c r="O27" s="19">
        <f t="shared" si="3"/>
        <v>0</v>
      </c>
      <c r="P27" s="19">
        <f t="shared" si="3"/>
        <v>0</v>
      </c>
      <c r="Q27" s="19">
        <f t="shared" si="5"/>
        <v>0</v>
      </c>
      <c r="R27" s="19">
        <f t="shared" si="6"/>
        <v>691.2</v>
      </c>
      <c r="S27" s="21">
        <f t="shared" si="4"/>
        <v>691.2</v>
      </c>
    </row>
    <row r="28" spans="1:19">
      <c r="A28" s="174">
        <v>46134</v>
      </c>
      <c r="B28" s="175"/>
      <c r="C28" s="112"/>
      <c r="D28" s="112"/>
      <c r="E28" s="83">
        <v>1</v>
      </c>
      <c r="F28" s="83"/>
      <c r="G28" s="113"/>
      <c r="H28" s="113"/>
      <c r="I28" s="83"/>
      <c r="J28" s="110">
        <v>0</v>
      </c>
      <c r="K28" s="112">
        <v>32</v>
      </c>
      <c r="L28" s="19">
        <f t="shared" si="0"/>
        <v>0</v>
      </c>
      <c r="M28" s="19">
        <f t="shared" si="1"/>
        <v>0</v>
      </c>
      <c r="N28" s="19">
        <f t="shared" si="2"/>
        <v>168</v>
      </c>
      <c r="O28" s="19">
        <f t="shared" si="3"/>
        <v>0</v>
      </c>
      <c r="P28" s="19">
        <f t="shared" si="3"/>
        <v>0</v>
      </c>
      <c r="Q28" s="19">
        <f t="shared" si="5"/>
        <v>0</v>
      </c>
      <c r="R28" s="19">
        <f t="shared" si="6"/>
        <v>691.2</v>
      </c>
      <c r="S28" s="21">
        <f t="shared" si="4"/>
        <v>859.2</v>
      </c>
    </row>
    <row r="29" spans="1:19">
      <c r="A29" s="174">
        <v>46135</v>
      </c>
      <c r="B29" s="175"/>
      <c r="C29" s="32"/>
      <c r="D29" s="32"/>
      <c r="E29" s="32"/>
      <c r="F29" s="32"/>
      <c r="G29" s="32"/>
      <c r="H29" s="32"/>
      <c r="I29" s="32"/>
      <c r="J29" s="110">
        <v>0</v>
      </c>
      <c r="K29" s="112">
        <v>31</v>
      </c>
      <c r="L29" s="19">
        <f t="shared" si="0"/>
        <v>0</v>
      </c>
      <c r="M29" s="19">
        <f t="shared" si="1"/>
        <v>0</v>
      </c>
      <c r="N29" s="19">
        <f t="shared" si="2"/>
        <v>0</v>
      </c>
      <c r="O29" s="19">
        <f t="shared" si="3"/>
        <v>0</v>
      </c>
      <c r="P29" s="19">
        <f t="shared" si="3"/>
        <v>0</v>
      </c>
      <c r="Q29" s="19">
        <f t="shared" si="5"/>
        <v>0</v>
      </c>
      <c r="R29" s="19">
        <f t="shared" si="6"/>
        <v>669.6</v>
      </c>
      <c r="S29" s="21">
        <f t="shared" si="4"/>
        <v>669.6</v>
      </c>
    </row>
    <row r="30" spans="1:19">
      <c r="A30" s="174">
        <v>46136</v>
      </c>
      <c r="B30" s="175"/>
      <c r="C30" s="112"/>
      <c r="D30" s="112"/>
      <c r="E30" s="83"/>
      <c r="F30" s="83"/>
      <c r="G30" s="113"/>
      <c r="H30" s="113"/>
      <c r="I30" s="83"/>
      <c r="J30" s="110">
        <v>0</v>
      </c>
      <c r="K30" s="112">
        <v>31</v>
      </c>
      <c r="L30" s="19">
        <f t="shared" si="0"/>
        <v>0</v>
      </c>
      <c r="M30" s="19">
        <f t="shared" si="1"/>
        <v>0</v>
      </c>
      <c r="N30" s="19">
        <f t="shared" si="2"/>
        <v>0</v>
      </c>
      <c r="O30" s="19">
        <f t="shared" si="3"/>
        <v>0</v>
      </c>
      <c r="P30" s="19">
        <f t="shared" si="3"/>
        <v>0</v>
      </c>
      <c r="Q30" s="19">
        <f t="shared" si="5"/>
        <v>0</v>
      </c>
      <c r="R30" s="19">
        <f t="shared" si="6"/>
        <v>669.6</v>
      </c>
      <c r="S30" s="21">
        <f t="shared" si="4"/>
        <v>669.6</v>
      </c>
    </row>
    <row r="31" spans="1:19">
      <c r="A31" s="174">
        <v>46137</v>
      </c>
      <c r="B31" s="175"/>
      <c r="C31" s="112"/>
      <c r="D31" s="112"/>
      <c r="E31" s="83"/>
      <c r="F31" s="83"/>
      <c r="G31" s="113"/>
      <c r="H31" s="113"/>
      <c r="I31" s="83"/>
      <c r="J31" s="110">
        <v>0</v>
      </c>
      <c r="K31" s="112">
        <v>31</v>
      </c>
      <c r="L31" s="19">
        <f t="shared" si="0"/>
        <v>0</v>
      </c>
      <c r="M31" s="19">
        <f t="shared" si="1"/>
        <v>0</v>
      </c>
      <c r="N31" s="19">
        <f t="shared" si="2"/>
        <v>0</v>
      </c>
      <c r="O31" s="19">
        <f t="shared" si="3"/>
        <v>0</v>
      </c>
      <c r="P31" s="19">
        <f t="shared" si="3"/>
        <v>0</v>
      </c>
      <c r="Q31" s="19">
        <f t="shared" si="5"/>
        <v>0</v>
      </c>
      <c r="R31" s="19">
        <f t="shared" si="6"/>
        <v>669.6</v>
      </c>
      <c r="S31" s="21">
        <f t="shared" si="4"/>
        <v>669.6</v>
      </c>
    </row>
    <row r="32" spans="1:19">
      <c r="A32" s="174">
        <v>46138</v>
      </c>
      <c r="B32" s="175"/>
      <c r="C32" s="112"/>
      <c r="D32" s="112"/>
      <c r="E32" s="83"/>
      <c r="F32" s="83"/>
      <c r="G32" s="113"/>
      <c r="H32" s="113"/>
      <c r="I32" s="83"/>
      <c r="J32" s="110">
        <v>0</v>
      </c>
      <c r="K32" s="112">
        <v>31</v>
      </c>
      <c r="L32" s="19">
        <f t="shared" si="0"/>
        <v>0</v>
      </c>
      <c r="M32" s="19">
        <f t="shared" si="1"/>
        <v>0</v>
      </c>
      <c r="N32" s="19">
        <f t="shared" si="2"/>
        <v>0</v>
      </c>
      <c r="O32" s="19">
        <f t="shared" si="3"/>
        <v>0</v>
      </c>
      <c r="P32" s="19">
        <f t="shared" si="3"/>
        <v>0</v>
      </c>
      <c r="Q32" s="19">
        <f t="shared" si="5"/>
        <v>0</v>
      </c>
      <c r="R32" s="19">
        <f t="shared" si="6"/>
        <v>669.6</v>
      </c>
      <c r="S32" s="21">
        <f t="shared" si="4"/>
        <v>669.6</v>
      </c>
    </row>
    <row r="33" spans="1:19">
      <c r="A33" s="174">
        <v>46139</v>
      </c>
      <c r="B33" s="175"/>
      <c r="C33" s="112"/>
      <c r="D33" s="112"/>
      <c r="E33" s="83"/>
      <c r="F33" s="83"/>
      <c r="G33" s="113"/>
      <c r="H33" s="113"/>
      <c r="I33" s="83"/>
      <c r="J33" s="110">
        <v>0</v>
      </c>
      <c r="K33" s="112">
        <v>31</v>
      </c>
      <c r="L33" s="19">
        <f t="shared" si="0"/>
        <v>0</v>
      </c>
      <c r="M33" s="19">
        <f t="shared" si="1"/>
        <v>0</v>
      </c>
      <c r="N33" s="19">
        <f t="shared" si="2"/>
        <v>0</v>
      </c>
      <c r="O33" s="19">
        <f t="shared" si="3"/>
        <v>0</v>
      </c>
      <c r="P33" s="19">
        <f t="shared" si="3"/>
        <v>0</v>
      </c>
      <c r="Q33" s="19">
        <f t="shared" si="5"/>
        <v>0</v>
      </c>
      <c r="R33" s="19">
        <f t="shared" si="6"/>
        <v>669.6</v>
      </c>
      <c r="S33" s="21">
        <f t="shared" si="4"/>
        <v>669.6</v>
      </c>
    </row>
    <row r="34" spans="1:19">
      <c r="A34" s="174">
        <v>46140</v>
      </c>
      <c r="B34" s="175"/>
      <c r="C34" s="112"/>
      <c r="D34" s="112"/>
      <c r="E34" s="83"/>
      <c r="F34" s="83"/>
      <c r="G34" s="83"/>
      <c r="H34" s="113"/>
      <c r="I34" s="83"/>
      <c r="J34" s="110">
        <v>0</v>
      </c>
      <c r="K34" s="112">
        <v>31</v>
      </c>
      <c r="L34" s="19">
        <f t="shared" si="0"/>
        <v>0</v>
      </c>
      <c r="M34" s="19">
        <f t="shared" si="1"/>
        <v>0</v>
      </c>
      <c r="N34" s="19">
        <f t="shared" si="2"/>
        <v>0</v>
      </c>
      <c r="O34" s="19">
        <f t="shared" si="3"/>
        <v>0</v>
      </c>
      <c r="P34" s="19">
        <f t="shared" si="3"/>
        <v>0</v>
      </c>
      <c r="Q34" s="19">
        <f t="shared" si="5"/>
        <v>0</v>
      </c>
      <c r="R34" s="19">
        <f t="shared" si="6"/>
        <v>669.6</v>
      </c>
      <c r="S34" s="21">
        <f t="shared" si="4"/>
        <v>669.6</v>
      </c>
    </row>
    <row r="35" spans="1:19">
      <c r="A35" s="174">
        <v>46141</v>
      </c>
      <c r="B35" s="175"/>
      <c r="C35" s="112"/>
      <c r="D35" s="112"/>
      <c r="E35" s="83">
        <v>1</v>
      </c>
      <c r="F35" s="83"/>
      <c r="G35" s="83"/>
      <c r="H35" s="113"/>
      <c r="I35" s="83"/>
      <c r="J35" s="110"/>
      <c r="K35" s="112">
        <v>31</v>
      </c>
      <c r="L35" s="19">
        <f t="shared" si="0"/>
        <v>0</v>
      </c>
      <c r="M35" s="19">
        <f t="shared" si="1"/>
        <v>0</v>
      </c>
      <c r="N35" s="19">
        <f t="shared" si="2"/>
        <v>168</v>
      </c>
      <c r="O35" s="19">
        <f t="shared" si="3"/>
        <v>0</v>
      </c>
      <c r="P35" s="19">
        <f t="shared" si="3"/>
        <v>0</v>
      </c>
      <c r="Q35" s="19">
        <f t="shared" si="5"/>
        <v>0</v>
      </c>
      <c r="R35" s="19">
        <f t="shared" si="6"/>
        <v>669.6</v>
      </c>
      <c r="S35" s="21">
        <f t="shared" si="4"/>
        <v>837.6</v>
      </c>
    </row>
    <row r="36" spans="1:19">
      <c r="A36" s="174">
        <v>46142</v>
      </c>
      <c r="B36" s="175"/>
      <c r="C36" s="112"/>
      <c r="D36" s="112"/>
      <c r="E36" s="83"/>
      <c r="F36" s="83"/>
      <c r="G36" s="83"/>
      <c r="H36" s="113"/>
      <c r="I36" s="83"/>
      <c r="J36" s="110"/>
      <c r="K36" s="112">
        <v>30</v>
      </c>
      <c r="L36" s="19">
        <f t="shared" si="0"/>
        <v>0</v>
      </c>
      <c r="M36" s="19">
        <f t="shared" si="1"/>
        <v>0</v>
      </c>
      <c r="N36" s="19">
        <f t="shared" si="2"/>
        <v>0</v>
      </c>
      <c r="O36" s="19">
        <f t="shared" si="3"/>
        <v>0</v>
      </c>
      <c r="P36" s="19">
        <f t="shared" si="3"/>
        <v>0</v>
      </c>
      <c r="Q36" s="19">
        <f t="shared" si="5"/>
        <v>0</v>
      </c>
      <c r="R36" s="19">
        <f t="shared" si="6"/>
        <v>648</v>
      </c>
      <c r="S36" s="21">
        <f t="shared" si="4"/>
        <v>648</v>
      </c>
    </row>
    <row r="37" spans="1:19" ht="15.75" thickBot="1">
      <c r="A37" s="174"/>
      <c r="B37" s="175"/>
      <c r="C37" s="112"/>
      <c r="D37" s="112"/>
      <c r="E37" s="83"/>
      <c r="F37" s="83"/>
      <c r="G37" s="83"/>
      <c r="H37" s="113"/>
      <c r="I37" s="83"/>
      <c r="J37" s="110"/>
      <c r="K37" s="112"/>
      <c r="L37" s="19">
        <f t="shared" si="0"/>
        <v>0</v>
      </c>
      <c r="M37" s="19">
        <f t="shared" si="1"/>
        <v>0</v>
      </c>
      <c r="N37" s="19">
        <f t="shared" si="2"/>
        <v>0</v>
      </c>
      <c r="O37" s="19">
        <f t="shared" si="3"/>
        <v>0</v>
      </c>
      <c r="P37" s="19">
        <f t="shared" si="3"/>
        <v>0</v>
      </c>
      <c r="Q37" s="19">
        <f t="shared" si="5"/>
        <v>0</v>
      </c>
      <c r="R37" s="19">
        <f t="shared" si="6"/>
        <v>0</v>
      </c>
      <c r="S37" s="21">
        <f t="shared" si="4"/>
        <v>0</v>
      </c>
    </row>
    <row r="38" spans="1:19" ht="15.75" thickBot="1">
      <c r="A38" s="172" t="s">
        <v>26</v>
      </c>
      <c r="B38" s="173"/>
      <c r="C38" s="22">
        <f t="shared" ref="C38:K38" si="7">SUM(C7:C37)</f>
        <v>0</v>
      </c>
      <c r="D38" s="22">
        <f t="shared" si="7"/>
        <v>0</v>
      </c>
      <c r="E38" s="22">
        <f t="shared" si="7"/>
        <v>8</v>
      </c>
      <c r="F38" s="22">
        <f t="shared" si="7"/>
        <v>0</v>
      </c>
      <c r="G38" s="22">
        <f t="shared" si="7"/>
        <v>0</v>
      </c>
      <c r="H38" s="22">
        <f t="shared" si="7"/>
        <v>0</v>
      </c>
      <c r="I38" s="22">
        <f t="shared" si="7"/>
        <v>0</v>
      </c>
      <c r="J38" s="22">
        <f t="shared" si="7"/>
        <v>0</v>
      </c>
      <c r="K38" s="22">
        <f t="shared" si="7"/>
        <v>999</v>
      </c>
      <c r="L38" s="23">
        <f>SUM(L7:L37)</f>
        <v>0</v>
      </c>
      <c r="M38" s="23">
        <f t="shared" ref="M38:R38" si="8">SUM(M7:M37)</f>
        <v>0</v>
      </c>
      <c r="N38" s="23">
        <f t="shared" si="8"/>
        <v>1344</v>
      </c>
      <c r="O38" s="23">
        <f t="shared" si="8"/>
        <v>0</v>
      </c>
      <c r="P38" s="23">
        <f t="shared" si="8"/>
        <v>0</v>
      </c>
      <c r="Q38" s="23">
        <f t="shared" si="8"/>
        <v>0</v>
      </c>
      <c r="R38" s="24">
        <f t="shared" si="8"/>
        <v>21578.399999999998</v>
      </c>
      <c r="S38" s="25">
        <f>SUM(S7:S37)</f>
        <v>22922.399999999998</v>
      </c>
    </row>
    <row r="39" spans="1:19">
      <c r="C39" s="95"/>
      <c r="D39" s="95"/>
      <c r="E39" s="95"/>
      <c r="F39" s="95"/>
      <c r="G39" s="95"/>
      <c r="H39" s="95"/>
      <c r="I39" s="95"/>
      <c r="J39" s="95"/>
      <c r="K39" s="95"/>
      <c r="R39" s="117" t="s">
        <v>26</v>
      </c>
      <c r="S39" s="118">
        <f>S38</f>
        <v>22922.399999999998</v>
      </c>
    </row>
  </sheetData>
  <mergeCells count="55">
    <mergeCell ref="L4:S4"/>
    <mergeCell ref="H1:I1"/>
    <mergeCell ref="H2:I2"/>
    <mergeCell ref="H3:I3"/>
    <mergeCell ref="A4:G4"/>
    <mergeCell ref="H4:I4"/>
    <mergeCell ref="M5:M6"/>
    <mergeCell ref="N5:N6"/>
    <mergeCell ref="A5:B6"/>
    <mergeCell ref="C5:C6"/>
    <mergeCell ref="D5:D6"/>
    <mergeCell ref="E5:E6"/>
    <mergeCell ref="F5:F6"/>
    <mergeCell ref="G5:G6"/>
    <mergeCell ref="A7:B7"/>
    <mergeCell ref="H5:H6"/>
    <mergeCell ref="I5:I6"/>
    <mergeCell ref="J5:J6"/>
    <mergeCell ref="L5:L6"/>
    <mergeCell ref="O5:O6"/>
    <mergeCell ref="P5:P6"/>
    <mergeCell ref="Q5:Q6"/>
    <mergeCell ref="R5:R6"/>
    <mergeCell ref="S5:S6"/>
    <mergeCell ref="A19:B19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31:B31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8:B38"/>
    <mergeCell ref="A32:B32"/>
    <mergeCell ref="A33:B33"/>
    <mergeCell ref="A34:B34"/>
    <mergeCell ref="A35:B35"/>
    <mergeCell ref="A36:B36"/>
    <mergeCell ref="A37:B3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58DA8-B1B7-4BC3-967D-B9722385B514}">
  <dimension ref="A1:K36"/>
  <sheetViews>
    <sheetView topLeftCell="A16" workbookViewId="0">
      <selection activeCell="G28" sqref="G28:G34"/>
    </sheetView>
  </sheetViews>
  <sheetFormatPr defaultRowHeight="15"/>
  <cols>
    <col min="1" max="4" width="9.140625" style="28"/>
    <col min="5" max="5" width="12.85546875" style="28" customWidth="1"/>
    <col min="6" max="10" width="9.140625" style="28"/>
    <col min="11" max="11" width="10.85546875" style="28" customWidth="1"/>
    <col min="12" max="16384" width="9.140625" style="28"/>
  </cols>
  <sheetData>
    <row r="1" spans="1:11">
      <c r="A1" s="119">
        <f>K36</f>
        <v>22125</v>
      </c>
    </row>
    <row r="2" spans="1:11">
      <c r="A2" s="149" t="s">
        <v>134</v>
      </c>
      <c r="B2" s="149"/>
      <c r="C2" s="149"/>
      <c r="D2" s="149"/>
      <c r="E2" s="149"/>
      <c r="F2" s="149"/>
      <c r="G2" s="149"/>
      <c r="H2" s="149"/>
    </row>
    <row r="3" spans="1:11" ht="28.9" customHeight="1">
      <c r="A3" s="146" t="s">
        <v>0</v>
      </c>
      <c r="B3" s="150" t="s">
        <v>1</v>
      </c>
      <c r="C3" s="151"/>
      <c r="D3" s="146" t="s">
        <v>113</v>
      </c>
      <c r="E3" s="193" t="s">
        <v>135</v>
      </c>
      <c r="F3" s="194"/>
      <c r="G3" s="30" t="s">
        <v>4</v>
      </c>
      <c r="H3" s="146" t="s">
        <v>11</v>
      </c>
      <c r="I3" s="146" t="s">
        <v>136</v>
      </c>
      <c r="J3" s="146" t="s">
        <v>13</v>
      </c>
      <c r="K3" s="146" t="s">
        <v>18</v>
      </c>
    </row>
    <row r="4" spans="1:11" ht="30">
      <c r="A4" s="147"/>
      <c r="B4" s="152"/>
      <c r="C4" s="153"/>
      <c r="D4" s="147"/>
      <c r="E4" s="120" t="s">
        <v>137</v>
      </c>
      <c r="F4" s="120" t="s">
        <v>138</v>
      </c>
      <c r="G4" s="31" t="s">
        <v>123</v>
      </c>
      <c r="H4" s="147"/>
      <c r="I4" s="147"/>
      <c r="J4" s="147"/>
      <c r="K4" s="147"/>
    </row>
    <row r="5" spans="1:11">
      <c r="A5" s="32">
        <v>1</v>
      </c>
      <c r="B5" s="144">
        <v>46113</v>
      </c>
      <c r="C5" s="145"/>
      <c r="D5" s="106"/>
      <c r="E5" s="82"/>
      <c r="F5" s="82"/>
      <c r="G5" s="122">
        <v>51</v>
      </c>
      <c r="H5" s="82">
        <f t="shared" ref="H5:H35" si="0">SUM(D5*60)</f>
        <v>0</v>
      </c>
      <c r="I5" s="82">
        <f>SUM(E5*25+F5*7)</f>
        <v>0</v>
      </c>
      <c r="J5" s="82">
        <f t="shared" ref="J5:J35" si="1">SUM(G5*15)</f>
        <v>765</v>
      </c>
      <c r="K5" s="82">
        <f t="shared" ref="K5:K35" si="2">SUM(H5:J5)</f>
        <v>765</v>
      </c>
    </row>
    <row r="6" spans="1:11">
      <c r="A6" s="32">
        <v>2</v>
      </c>
      <c r="B6" s="144">
        <v>46114</v>
      </c>
      <c r="C6" s="145"/>
      <c r="D6" s="106"/>
      <c r="E6" s="82">
        <v>18</v>
      </c>
      <c r="F6" s="82"/>
      <c r="G6" s="122">
        <v>51</v>
      </c>
      <c r="H6" s="82">
        <f t="shared" si="0"/>
        <v>0</v>
      </c>
      <c r="I6" s="82">
        <f>SUM(E6*25+F6*7)</f>
        <v>450</v>
      </c>
      <c r="J6" s="82">
        <f t="shared" si="1"/>
        <v>765</v>
      </c>
      <c r="K6" s="82">
        <f t="shared" si="2"/>
        <v>1215</v>
      </c>
    </row>
    <row r="7" spans="1:11">
      <c r="A7" s="32">
        <v>3</v>
      </c>
      <c r="B7" s="144">
        <v>46115</v>
      </c>
      <c r="C7" s="145"/>
      <c r="D7" s="106"/>
      <c r="E7" s="82"/>
      <c r="F7" s="82"/>
      <c r="G7" s="122">
        <v>48</v>
      </c>
      <c r="H7" s="82">
        <f t="shared" si="0"/>
        <v>0</v>
      </c>
      <c r="I7" s="82">
        <f>SUM(E7*25+F7*7)</f>
        <v>0</v>
      </c>
      <c r="J7" s="82">
        <f t="shared" si="1"/>
        <v>720</v>
      </c>
      <c r="K7" s="82">
        <f t="shared" si="2"/>
        <v>720</v>
      </c>
    </row>
    <row r="8" spans="1:11">
      <c r="A8" s="32">
        <v>4</v>
      </c>
      <c r="B8" s="144">
        <v>46116</v>
      </c>
      <c r="C8" s="145"/>
      <c r="D8" s="106"/>
      <c r="E8" s="82"/>
      <c r="F8" s="82"/>
      <c r="G8" s="122">
        <v>48</v>
      </c>
      <c r="H8" s="82">
        <f t="shared" si="0"/>
        <v>0</v>
      </c>
      <c r="I8" s="82">
        <f t="shared" ref="I8:I35" si="3">SUM(E8*25+F8*7)</f>
        <v>0</v>
      </c>
      <c r="J8" s="82">
        <f t="shared" si="1"/>
        <v>720</v>
      </c>
      <c r="K8" s="82">
        <f t="shared" si="2"/>
        <v>720</v>
      </c>
    </row>
    <row r="9" spans="1:11">
      <c r="A9" s="32">
        <v>5</v>
      </c>
      <c r="B9" s="144">
        <v>46117</v>
      </c>
      <c r="C9" s="145"/>
      <c r="D9" s="106"/>
      <c r="E9" s="82"/>
      <c r="F9" s="82"/>
      <c r="G9" s="122">
        <v>48</v>
      </c>
      <c r="H9" s="82">
        <f t="shared" si="0"/>
        <v>0</v>
      </c>
      <c r="I9" s="82">
        <f t="shared" si="3"/>
        <v>0</v>
      </c>
      <c r="J9" s="82">
        <f t="shared" si="1"/>
        <v>720</v>
      </c>
      <c r="K9" s="82">
        <f t="shared" si="2"/>
        <v>720</v>
      </c>
    </row>
    <row r="10" spans="1:11">
      <c r="A10" s="32">
        <v>6</v>
      </c>
      <c r="B10" s="144">
        <v>46118</v>
      </c>
      <c r="C10" s="145"/>
      <c r="D10" s="106"/>
      <c r="E10" s="82"/>
      <c r="F10" s="82"/>
      <c r="G10" s="122">
        <v>48</v>
      </c>
      <c r="H10" s="82">
        <f t="shared" si="0"/>
        <v>0</v>
      </c>
      <c r="I10" s="82">
        <f t="shared" si="3"/>
        <v>0</v>
      </c>
      <c r="J10" s="82">
        <f t="shared" si="1"/>
        <v>720</v>
      </c>
      <c r="K10" s="82">
        <f t="shared" si="2"/>
        <v>720</v>
      </c>
    </row>
    <row r="11" spans="1:11">
      <c r="A11" s="32">
        <v>7</v>
      </c>
      <c r="B11" s="144">
        <v>46119</v>
      </c>
      <c r="C11" s="145"/>
      <c r="D11" s="106"/>
      <c r="E11" s="82"/>
      <c r="F11" s="82"/>
      <c r="G11" s="122">
        <v>48</v>
      </c>
      <c r="H11" s="82">
        <f t="shared" si="0"/>
        <v>0</v>
      </c>
      <c r="I11" s="82">
        <f t="shared" si="3"/>
        <v>0</v>
      </c>
      <c r="J11" s="82">
        <f t="shared" si="1"/>
        <v>720</v>
      </c>
      <c r="K11" s="82">
        <f t="shared" si="2"/>
        <v>720</v>
      </c>
    </row>
    <row r="12" spans="1:11">
      <c r="A12" s="32">
        <v>8</v>
      </c>
      <c r="B12" s="144">
        <v>46120</v>
      </c>
      <c r="C12" s="145"/>
      <c r="D12" s="106"/>
      <c r="E12" s="82"/>
      <c r="F12" s="82"/>
      <c r="G12" s="122">
        <v>48</v>
      </c>
      <c r="H12" s="82">
        <f t="shared" si="0"/>
        <v>0</v>
      </c>
      <c r="I12" s="82">
        <f t="shared" si="3"/>
        <v>0</v>
      </c>
      <c r="J12" s="82">
        <f t="shared" si="1"/>
        <v>720</v>
      </c>
      <c r="K12" s="82">
        <f t="shared" si="2"/>
        <v>720</v>
      </c>
    </row>
    <row r="13" spans="1:11">
      <c r="A13" s="32">
        <v>9</v>
      </c>
      <c r="B13" s="144">
        <v>46121</v>
      </c>
      <c r="C13" s="145"/>
      <c r="D13" s="106"/>
      <c r="E13" s="82"/>
      <c r="F13" s="82"/>
      <c r="G13" s="122">
        <v>48</v>
      </c>
      <c r="H13" s="82">
        <f t="shared" si="0"/>
        <v>0</v>
      </c>
      <c r="I13" s="82">
        <f t="shared" si="3"/>
        <v>0</v>
      </c>
      <c r="J13" s="82">
        <f t="shared" si="1"/>
        <v>720</v>
      </c>
      <c r="K13" s="82">
        <f t="shared" si="2"/>
        <v>720</v>
      </c>
    </row>
    <row r="14" spans="1:11">
      <c r="A14" s="32">
        <v>10</v>
      </c>
      <c r="B14" s="144">
        <v>46122</v>
      </c>
      <c r="C14" s="145"/>
      <c r="D14" s="106"/>
      <c r="E14" s="82"/>
      <c r="F14" s="82"/>
      <c r="G14" s="122">
        <v>48</v>
      </c>
      <c r="H14" s="82">
        <f t="shared" si="0"/>
        <v>0</v>
      </c>
      <c r="I14" s="82">
        <f t="shared" si="3"/>
        <v>0</v>
      </c>
      <c r="J14" s="82">
        <f t="shared" si="1"/>
        <v>720</v>
      </c>
      <c r="K14" s="82">
        <f t="shared" si="2"/>
        <v>720</v>
      </c>
    </row>
    <row r="15" spans="1:11">
      <c r="A15" s="32">
        <v>11</v>
      </c>
      <c r="B15" s="144">
        <v>46123</v>
      </c>
      <c r="C15" s="145"/>
      <c r="D15" s="106"/>
      <c r="E15" s="82"/>
      <c r="F15" s="82"/>
      <c r="G15" s="122">
        <v>48</v>
      </c>
      <c r="H15" s="82">
        <f t="shared" si="0"/>
        <v>0</v>
      </c>
      <c r="I15" s="82">
        <f t="shared" si="3"/>
        <v>0</v>
      </c>
      <c r="J15" s="82">
        <f t="shared" si="1"/>
        <v>720</v>
      </c>
      <c r="K15" s="82">
        <f t="shared" si="2"/>
        <v>720</v>
      </c>
    </row>
    <row r="16" spans="1:11">
      <c r="A16" s="32">
        <v>12</v>
      </c>
      <c r="B16" s="144">
        <v>46124</v>
      </c>
      <c r="C16" s="145"/>
      <c r="D16" s="106"/>
      <c r="E16" s="82"/>
      <c r="F16" s="82"/>
      <c r="G16" s="122">
        <v>48</v>
      </c>
      <c r="H16" s="82">
        <f t="shared" si="0"/>
        <v>0</v>
      </c>
      <c r="I16" s="82">
        <f t="shared" si="3"/>
        <v>0</v>
      </c>
      <c r="J16" s="82">
        <f t="shared" si="1"/>
        <v>720</v>
      </c>
      <c r="K16" s="82">
        <f t="shared" si="2"/>
        <v>720</v>
      </c>
    </row>
    <row r="17" spans="1:11">
      <c r="A17" s="32">
        <v>13</v>
      </c>
      <c r="B17" s="144">
        <v>46125</v>
      </c>
      <c r="C17" s="145"/>
      <c r="D17" s="106"/>
      <c r="E17" s="82">
        <v>20</v>
      </c>
      <c r="F17" s="82"/>
      <c r="G17" s="122">
        <v>48</v>
      </c>
      <c r="H17" s="82">
        <f t="shared" si="0"/>
        <v>0</v>
      </c>
      <c r="I17" s="82">
        <f t="shared" si="3"/>
        <v>500</v>
      </c>
      <c r="J17" s="82">
        <f t="shared" si="1"/>
        <v>720</v>
      </c>
      <c r="K17" s="82">
        <f t="shared" si="2"/>
        <v>1220</v>
      </c>
    </row>
    <row r="18" spans="1:11">
      <c r="A18" s="32">
        <v>14</v>
      </c>
      <c r="B18" s="144">
        <v>46126</v>
      </c>
      <c r="C18" s="145"/>
      <c r="D18" s="106"/>
      <c r="E18" s="82"/>
      <c r="F18" s="82"/>
      <c r="G18" s="122">
        <v>46</v>
      </c>
      <c r="H18" s="82">
        <f t="shared" si="0"/>
        <v>0</v>
      </c>
      <c r="I18" s="82">
        <f t="shared" si="3"/>
        <v>0</v>
      </c>
      <c r="J18" s="82">
        <f t="shared" si="1"/>
        <v>690</v>
      </c>
      <c r="K18" s="82">
        <f t="shared" si="2"/>
        <v>690</v>
      </c>
    </row>
    <row r="19" spans="1:11">
      <c r="A19" s="32">
        <v>15</v>
      </c>
      <c r="B19" s="144">
        <v>46127</v>
      </c>
      <c r="C19" s="145"/>
      <c r="D19" s="106"/>
      <c r="E19" s="82"/>
      <c r="F19" s="82"/>
      <c r="G19" s="122">
        <v>46</v>
      </c>
      <c r="H19" s="82">
        <f t="shared" si="0"/>
        <v>0</v>
      </c>
      <c r="I19" s="82">
        <f t="shared" si="3"/>
        <v>0</v>
      </c>
      <c r="J19" s="82">
        <f t="shared" si="1"/>
        <v>690</v>
      </c>
      <c r="K19" s="82">
        <f t="shared" si="2"/>
        <v>690</v>
      </c>
    </row>
    <row r="20" spans="1:11">
      <c r="A20" s="32">
        <v>16</v>
      </c>
      <c r="B20" s="144">
        <v>46128</v>
      </c>
      <c r="C20" s="145"/>
      <c r="D20" s="106"/>
      <c r="E20" s="82"/>
      <c r="F20" s="82"/>
      <c r="G20" s="122">
        <v>46</v>
      </c>
      <c r="H20" s="82">
        <f t="shared" si="0"/>
        <v>0</v>
      </c>
      <c r="I20" s="82">
        <f t="shared" si="3"/>
        <v>0</v>
      </c>
      <c r="J20" s="82">
        <f t="shared" si="1"/>
        <v>690</v>
      </c>
      <c r="K20" s="82">
        <f t="shared" si="2"/>
        <v>690</v>
      </c>
    </row>
    <row r="21" spans="1:11">
      <c r="A21" s="32">
        <v>17</v>
      </c>
      <c r="B21" s="144">
        <v>46129</v>
      </c>
      <c r="C21" s="145"/>
      <c r="D21" s="106"/>
      <c r="E21" s="82"/>
      <c r="F21" s="82"/>
      <c r="G21" s="122">
        <v>46</v>
      </c>
      <c r="H21" s="82">
        <f t="shared" si="0"/>
        <v>0</v>
      </c>
      <c r="I21" s="82">
        <f t="shared" si="3"/>
        <v>0</v>
      </c>
      <c r="J21" s="82">
        <f t="shared" si="1"/>
        <v>690</v>
      </c>
      <c r="K21" s="82">
        <f t="shared" si="2"/>
        <v>690</v>
      </c>
    </row>
    <row r="22" spans="1:11">
      <c r="A22" s="32">
        <v>18</v>
      </c>
      <c r="B22" s="144">
        <v>46130</v>
      </c>
      <c r="C22" s="145"/>
      <c r="D22" s="106"/>
      <c r="E22" s="82"/>
      <c r="F22" s="82"/>
      <c r="G22" s="122">
        <v>46</v>
      </c>
      <c r="H22" s="82">
        <f t="shared" si="0"/>
        <v>0</v>
      </c>
      <c r="I22" s="82">
        <f t="shared" si="3"/>
        <v>0</v>
      </c>
      <c r="J22" s="82">
        <f t="shared" si="1"/>
        <v>690</v>
      </c>
      <c r="K22" s="82">
        <f t="shared" si="2"/>
        <v>690</v>
      </c>
    </row>
    <row r="23" spans="1:11">
      <c r="A23" s="32">
        <v>19</v>
      </c>
      <c r="B23" s="144">
        <v>46131</v>
      </c>
      <c r="C23" s="145"/>
      <c r="D23" s="106"/>
      <c r="E23" s="82"/>
      <c r="F23" s="82"/>
      <c r="G23" s="122">
        <v>46</v>
      </c>
      <c r="H23" s="82">
        <f t="shared" si="0"/>
        <v>0</v>
      </c>
      <c r="I23" s="82">
        <f t="shared" si="3"/>
        <v>0</v>
      </c>
      <c r="J23" s="82">
        <f t="shared" si="1"/>
        <v>690</v>
      </c>
      <c r="K23" s="82">
        <f t="shared" si="2"/>
        <v>690</v>
      </c>
    </row>
    <row r="24" spans="1:11">
      <c r="A24" s="32">
        <v>20</v>
      </c>
      <c r="B24" s="144">
        <v>46132</v>
      </c>
      <c r="C24" s="145"/>
      <c r="D24" s="106"/>
      <c r="E24" s="82"/>
      <c r="F24" s="82"/>
      <c r="G24" s="122">
        <v>46</v>
      </c>
      <c r="H24" s="82">
        <f t="shared" si="0"/>
        <v>0</v>
      </c>
      <c r="I24" s="82">
        <f t="shared" si="3"/>
        <v>0</v>
      </c>
      <c r="J24" s="82">
        <f t="shared" si="1"/>
        <v>690</v>
      </c>
      <c r="K24" s="82">
        <f t="shared" si="2"/>
        <v>690</v>
      </c>
    </row>
    <row r="25" spans="1:11">
      <c r="A25" s="32">
        <v>21</v>
      </c>
      <c r="B25" s="144">
        <v>46133</v>
      </c>
      <c r="C25" s="145"/>
      <c r="D25" s="106"/>
      <c r="E25" s="82"/>
      <c r="F25" s="82"/>
      <c r="G25" s="122">
        <v>46</v>
      </c>
      <c r="H25" s="82">
        <f t="shared" si="0"/>
        <v>0</v>
      </c>
      <c r="I25" s="82">
        <f t="shared" si="3"/>
        <v>0</v>
      </c>
      <c r="J25" s="82">
        <f t="shared" si="1"/>
        <v>690</v>
      </c>
      <c r="K25" s="82">
        <f t="shared" si="2"/>
        <v>690</v>
      </c>
    </row>
    <row r="26" spans="1:11">
      <c r="A26" s="32">
        <v>22</v>
      </c>
      <c r="B26" s="144">
        <v>46134</v>
      </c>
      <c r="C26" s="145"/>
      <c r="D26" s="106"/>
      <c r="E26" s="82"/>
      <c r="F26" s="82"/>
      <c r="G26" s="122">
        <v>46</v>
      </c>
      <c r="H26" s="82">
        <f t="shared" si="0"/>
        <v>0</v>
      </c>
      <c r="I26" s="82">
        <f t="shared" si="3"/>
        <v>0</v>
      </c>
      <c r="J26" s="82">
        <f t="shared" si="1"/>
        <v>690</v>
      </c>
      <c r="K26" s="82">
        <f t="shared" si="2"/>
        <v>690</v>
      </c>
    </row>
    <row r="27" spans="1:11">
      <c r="A27" s="32">
        <v>23</v>
      </c>
      <c r="B27" s="144">
        <v>46135</v>
      </c>
      <c r="C27" s="145"/>
      <c r="D27" s="106"/>
      <c r="E27" s="82">
        <v>4</v>
      </c>
      <c r="F27" s="82"/>
      <c r="G27" s="122">
        <v>46</v>
      </c>
      <c r="H27" s="82">
        <f t="shared" si="0"/>
        <v>0</v>
      </c>
      <c r="I27" s="82">
        <f t="shared" si="3"/>
        <v>100</v>
      </c>
      <c r="J27" s="82">
        <f t="shared" si="1"/>
        <v>690</v>
      </c>
      <c r="K27" s="82">
        <f t="shared" si="2"/>
        <v>790</v>
      </c>
    </row>
    <row r="28" spans="1:11">
      <c r="A28" s="32">
        <v>24</v>
      </c>
      <c r="B28" s="144">
        <v>46136</v>
      </c>
      <c r="C28" s="145"/>
      <c r="D28" s="106"/>
      <c r="E28" s="82"/>
      <c r="F28" s="82"/>
      <c r="G28" s="122">
        <v>45</v>
      </c>
      <c r="H28" s="82">
        <f t="shared" si="0"/>
        <v>0</v>
      </c>
      <c r="I28" s="82">
        <f t="shared" si="3"/>
        <v>0</v>
      </c>
      <c r="J28" s="82">
        <f t="shared" si="1"/>
        <v>675</v>
      </c>
      <c r="K28" s="82">
        <f t="shared" si="2"/>
        <v>675</v>
      </c>
    </row>
    <row r="29" spans="1:11">
      <c r="A29" s="32">
        <v>25</v>
      </c>
      <c r="B29" s="144">
        <v>46137</v>
      </c>
      <c r="C29" s="145"/>
      <c r="D29" s="106"/>
      <c r="E29" s="82"/>
      <c r="F29" s="82"/>
      <c r="G29" s="122">
        <v>45</v>
      </c>
      <c r="H29" s="82">
        <f t="shared" si="0"/>
        <v>0</v>
      </c>
      <c r="I29" s="82">
        <f t="shared" si="3"/>
        <v>0</v>
      </c>
      <c r="J29" s="82">
        <f t="shared" si="1"/>
        <v>675</v>
      </c>
      <c r="K29" s="82">
        <f t="shared" si="2"/>
        <v>675</v>
      </c>
    </row>
    <row r="30" spans="1:11">
      <c r="A30" s="32">
        <v>26</v>
      </c>
      <c r="B30" s="144">
        <v>46138</v>
      </c>
      <c r="C30" s="145"/>
      <c r="D30" s="106"/>
      <c r="E30" s="82"/>
      <c r="F30" s="82"/>
      <c r="G30" s="122">
        <v>45</v>
      </c>
      <c r="H30" s="82">
        <f t="shared" si="0"/>
        <v>0</v>
      </c>
      <c r="I30" s="82">
        <f t="shared" si="3"/>
        <v>0</v>
      </c>
      <c r="J30" s="82">
        <f t="shared" si="1"/>
        <v>675</v>
      </c>
      <c r="K30" s="82">
        <f t="shared" si="2"/>
        <v>675</v>
      </c>
    </row>
    <row r="31" spans="1:11">
      <c r="A31" s="32">
        <v>27</v>
      </c>
      <c r="B31" s="144">
        <v>46139</v>
      </c>
      <c r="C31" s="145"/>
      <c r="D31" s="106"/>
      <c r="E31" s="82"/>
      <c r="F31" s="82"/>
      <c r="G31" s="122">
        <v>45</v>
      </c>
      <c r="H31" s="82">
        <f t="shared" si="0"/>
        <v>0</v>
      </c>
      <c r="I31" s="82">
        <f t="shared" si="3"/>
        <v>0</v>
      </c>
      <c r="J31" s="82">
        <f t="shared" si="1"/>
        <v>675</v>
      </c>
      <c r="K31" s="82">
        <f t="shared" si="2"/>
        <v>675</v>
      </c>
    </row>
    <row r="32" spans="1:11">
      <c r="A32" s="32">
        <v>28</v>
      </c>
      <c r="B32" s="144">
        <v>46140</v>
      </c>
      <c r="C32" s="145"/>
      <c r="D32" s="106"/>
      <c r="E32" s="82"/>
      <c r="F32" s="82"/>
      <c r="G32" s="122">
        <v>45</v>
      </c>
      <c r="H32" s="82">
        <f t="shared" si="0"/>
        <v>0</v>
      </c>
      <c r="I32" s="82">
        <f t="shared" si="3"/>
        <v>0</v>
      </c>
      <c r="J32" s="82">
        <f t="shared" si="1"/>
        <v>675</v>
      </c>
      <c r="K32" s="82">
        <f t="shared" si="2"/>
        <v>675</v>
      </c>
    </row>
    <row r="33" spans="1:11">
      <c r="A33" s="32">
        <v>29</v>
      </c>
      <c r="B33" s="144">
        <v>46141</v>
      </c>
      <c r="C33" s="145"/>
      <c r="D33" s="106"/>
      <c r="E33" s="82"/>
      <c r="F33" s="82"/>
      <c r="G33" s="122">
        <v>45</v>
      </c>
      <c r="H33" s="82">
        <f t="shared" si="0"/>
        <v>0</v>
      </c>
      <c r="I33" s="82">
        <f t="shared" si="3"/>
        <v>0</v>
      </c>
      <c r="J33" s="82">
        <f t="shared" si="1"/>
        <v>675</v>
      </c>
      <c r="K33" s="82">
        <f t="shared" si="2"/>
        <v>675</v>
      </c>
    </row>
    <row r="34" spans="1:11">
      <c r="A34" s="32">
        <v>30</v>
      </c>
      <c r="B34" s="144">
        <v>46142</v>
      </c>
      <c r="C34" s="145"/>
      <c r="D34" s="106"/>
      <c r="E34" s="82"/>
      <c r="F34" s="82"/>
      <c r="G34" s="122">
        <v>45</v>
      </c>
      <c r="H34" s="82">
        <f t="shared" si="0"/>
        <v>0</v>
      </c>
      <c r="I34" s="82">
        <f t="shared" si="3"/>
        <v>0</v>
      </c>
      <c r="J34" s="82">
        <f t="shared" si="1"/>
        <v>675</v>
      </c>
      <c r="K34" s="82">
        <f t="shared" si="2"/>
        <v>675</v>
      </c>
    </row>
    <row r="35" spans="1:11">
      <c r="A35" s="32"/>
      <c r="B35" s="144"/>
      <c r="C35" s="145"/>
      <c r="D35" s="106"/>
      <c r="E35" s="82"/>
      <c r="F35" s="82"/>
      <c r="G35" s="122"/>
      <c r="H35" s="82">
        <f t="shared" si="0"/>
        <v>0</v>
      </c>
      <c r="I35" s="82">
        <f t="shared" si="3"/>
        <v>0</v>
      </c>
      <c r="J35" s="82">
        <f t="shared" si="1"/>
        <v>0</v>
      </c>
      <c r="K35" s="82">
        <f t="shared" si="2"/>
        <v>0</v>
      </c>
    </row>
    <row r="36" spans="1:11">
      <c r="D36" s="82"/>
      <c r="E36" s="82"/>
      <c r="F36" s="82"/>
      <c r="G36" s="82">
        <f>SUM(G5:G35)</f>
        <v>1405</v>
      </c>
      <c r="H36" s="82">
        <f>SUM(H5:H35)</f>
        <v>0</v>
      </c>
      <c r="I36" s="82">
        <f>SUM(I5:I35)</f>
        <v>1050</v>
      </c>
      <c r="J36" s="82">
        <f>SUM(J5:J35)</f>
        <v>21075</v>
      </c>
      <c r="K36" s="121">
        <f>SUM(K5:K35)</f>
        <v>22125</v>
      </c>
    </row>
  </sheetData>
  <mergeCells count="40">
    <mergeCell ref="A2:H2"/>
    <mergeCell ref="A3:A4"/>
    <mergeCell ref="B3:C4"/>
    <mergeCell ref="D3:D4"/>
    <mergeCell ref="E3:F3"/>
    <mergeCell ref="H3:H4"/>
    <mergeCell ref="B13:C13"/>
    <mergeCell ref="I3:I4"/>
    <mergeCell ref="J3:J4"/>
    <mergeCell ref="K3:K4"/>
    <mergeCell ref="B5:C5"/>
    <mergeCell ref="B6:C6"/>
    <mergeCell ref="B7:C7"/>
    <mergeCell ref="B8:C8"/>
    <mergeCell ref="B9:C9"/>
    <mergeCell ref="B10:C10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38397-8CE2-45B0-9DA1-38D3B696AEA7}">
  <dimension ref="A1:J35"/>
  <sheetViews>
    <sheetView topLeftCell="A22" workbookViewId="0">
      <selection activeCell="B34" sqref="B34:F34"/>
    </sheetView>
  </sheetViews>
  <sheetFormatPr defaultRowHeight="15"/>
  <cols>
    <col min="1" max="16384" width="9.140625" style="28"/>
  </cols>
  <sheetData>
    <row r="1" spans="1:10">
      <c r="A1" s="119">
        <f>J35</f>
        <v>8640</v>
      </c>
      <c r="B1" s="149" t="s">
        <v>139</v>
      </c>
      <c r="C1" s="149"/>
      <c r="D1" s="149"/>
      <c r="E1" s="149"/>
      <c r="F1" s="149"/>
      <c r="G1" s="149"/>
      <c r="H1" s="149"/>
    </row>
    <row r="2" spans="1:10" ht="28.9" customHeight="1">
      <c r="A2" s="146" t="s">
        <v>0</v>
      </c>
      <c r="B2" s="150" t="s">
        <v>1</v>
      </c>
      <c r="C2" s="151"/>
      <c r="D2" s="146" t="s">
        <v>113</v>
      </c>
      <c r="E2" s="146" t="s">
        <v>114</v>
      </c>
      <c r="F2" s="30" t="s">
        <v>4</v>
      </c>
      <c r="G2" s="146" t="s">
        <v>11</v>
      </c>
      <c r="H2" s="146" t="s">
        <v>12</v>
      </c>
      <c r="I2" s="146" t="s">
        <v>13</v>
      </c>
      <c r="J2" s="146" t="s">
        <v>18</v>
      </c>
    </row>
    <row r="3" spans="1:10" ht="30">
      <c r="A3" s="147"/>
      <c r="B3" s="152"/>
      <c r="C3" s="153"/>
      <c r="D3" s="147"/>
      <c r="E3" s="147"/>
      <c r="F3" s="31" t="s">
        <v>123</v>
      </c>
      <c r="G3" s="147"/>
      <c r="H3" s="147"/>
      <c r="I3" s="147"/>
      <c r="J3" s="147"/>
    </row>
    <row r="4" spans="1:10">
      <c r="A4" s="32">
        <v>1</v>
      </c>
      <c r="B4" s="144">
        <v>46113</v>
      </c>
      <c r="C4" s="145"/>
      <c r="D4" s="106"/>
      <c r="E4" s="83"/>
      <c r="F4" s="123">
        <v>24</v>
      </c>
      <c r="G4" s="82">
        <f>SUM(D4*120)</f>
        <v>0</v>
      </c>
      <c r="H4" s="82">
        <f>SUM(E4*120)</f>
        <v>0</v>
      </c>
      <c r="I4" s="82">
        <f>SUM(F4*12)</f>
        <v>288</v>
      </c>
      <c r="J4" s="82">
        <f>SUM(G4:I4)</f>
        <v>288</v>
      </c>
    </row>
    <row r="5" spans="1:10">
      <c r="A5" s="32">
        <v>2</v>
      </c>
      <c r="B5" s="144">
        <v>46114</v>
      </c>
      <c r="C5" s="145"/>
      <c r="D5" s="106"/>
      <c r="E5" s="83"/>
      <c r="F5" s="123">
        <v>24</v>
      </c>
      <c r="G5" s="82">
        <f t="shared" ref="G5:G34" si="0">SUM(D5*120)</f>
        <v>0</v>
      </c>
      <c r="H5" s="82">
        <f t="shared" ref="H5:H34" si="1">SUM(E5*120)</f>
        <v>0</v>
      </c>
      <c r="I5" s="82">
        <f t="shared" ref="I5:I34" si="2">SUM(F5*12)</f>
        <v>288</v>
      </c>
      <c r="J5" s="82">
        <f t="shared" ref="J5:J34" si="3">SUM(G5:I5)</f>
        <v>288</v>
      </c>
    </row>
    <row r="6" spans="1:10">
      <c r="A6" s="32">
        <v>3</v>
      </c>
      <c r="B6" s="144">
        <v>46115</v>
      </c>
      <c r="C6" s="145"/>
      <c r="D6" s="106"/>
      <c r="E6" s="83"/>
      <c r="F6" s="123">
        <v>24</v>
      </c>
      <c r="G6" s="82">
        <f t="shared" si="0"/>
        <v>0</v>
      </c>
      <c r="H6" s="82">
        <f t="shared" si="1"/>
        <v>0</v>
      </c>
      <c r="I6" s="82">
        <f t="shared" si="2"/>
        <v>288</v>
      </c>
      <c r="J6" s="82">
        <f t="shared" si="3"/>
        <v>288</v>
      </c>
    </row>
    <row r="7" spans="1:10">
      <c r="A7" s="32">
        <v>4</v>
      </c>
      <c r="B7" s="144">
        <v>46116</v>
      </c>
      <c r="C7" s="145"/>
      <c r="D7" s="106"/>
      <c r="E7" s="83"/>
      <c r="F7" s="123">
        <v>24</v>
      </c>
      <c r="G7" s="82">
        <f t="shared" si="0"/>
        <v>0</v>
      </c>
      <c r="H7" s="82">
        <f t="shared" si="1"/>
        <v>0</v>
      </c>
      <c r="I7" s="82">
        <f t="shared" si="2"/>
        <v>288</v>
      </c>
      <c r="J7" s="82">
        <f t="shared" si="3"/>
        <v>288</v>
      </c>
    </row>
    <row r="8" spans="1:10">
      <c r="A8" s="32">
        <v>5</v>
      </c>
      <c r="B8" s="144">
        <v>46117</v>
      </c>
      <c r="C8" s="145"/>
      <c r="D8" s="106"/>
      <c r="E8" s="83"/>
      <c r="F8" s="123">
        <v>24</v>
      </c>
      <c r="G8" s="82">
        <f t="shared" si="0"/>
        <v>0</v>
      </c>
      <c r="H8" s="82">
        <f t="shared" si="1"/>
        <v>0</v>
      </c>
      <c r="I8" s="82">
        <f t="shared" si="2"/>
        <v>288</v>
      </c>
      <c r="J8" s="82">
        <f t="shared" si="3"/>
        <v>288</v>
      </c>
    </row>
    <row r="9" spans="1:10">
      <c r="A9" s="32">
        <v>6</v>
      </c>
      <c r="B9" s="144">
        <v>46118</v>
      </c>
      <c r="C9" s="145"/>
      <c r="D9" s="106"/>
      <c r="E9" s="83"/>
      <c r="F9" s="123">
        <v>24</v>
      </c>
      <c r="G9" s="82">
        <f t="shared" si="0"/>
        <v>0</v>
      </c>
      <c r="H9" s="82">
        <f t="shared" si="1"/>
        <v>0</v>
      </c>
      <c r="I9" s="82">
        <f t="shared" si="2"/>
        <v>288</v>
      </c>
      <c r="J9" s="82">
        <f t="shared" si="3"/>
        <v>288</v>
      </c>
    </row>
    <row r="10" spans="1:10">
      <c r="A10" s="32">
        <v>7</v>
      </c>
      <c r="B10" s="144">
        <v>46119</v>
      </c>
      <c r="C10" s="145"/>
      <c r="D10" s="106"/>
      <c r="E10" s="83"/>
      <c r="F10" s="123">
        <v>24</v>
      </c>
      <c r="G10" s="82">
        <f t="shared" si="0"/>
        <v>0</v>
      </c>
      <c r="H10" s="82">
        <f t="shared" si="1"/>
        <v>0</v>
      </c>
      <c r="I10" s="82">
        <f t="shared" si="2"/>
        <v>288</v>
      </c>
      <c r="J10" s="82">
        <f t="shared" si="3"/>
        <v>288</v>
      </c>
    </row>
    <row r="11" spans="1:10">
      <c r="A11" s="32">
        <v>8</v>
      </c>
      <c r="B11" s="144">
        <v>46120</v>
      </c>
      <c r="C11" s="145"/>
      <c r="D11" s="106"/>
      <c r="E11" s="83"/>
      <c r="F11" s="123">
        <v>24</v>
      </c>
      <c r="G11" s="82">
        <f t="shared" si="0"/>
        <v>0</v>
      </c>
      <c r="H11" s="82">
        <f t="shared" si="1"/>
        <v>0</v>
      </c>
      <c r="I11" s="82">
        <f t="shared" si="2"/>
        <v>288</v>
      </c>
      <c r="J11" s="82">
        <f t="shared" si="3"/>
        <v>288</v>
      </c>
    </row>
    <row r="12" spans="1:10">
      <c r="A12" s="32">
        <v>9</v>
      </c>
      <c r="B12" s="144">
        <v>46121</v>
      </c>
      <c r="C12" s="145"/>
      <c r="D12" s="106"/>
      <c r="E12" s="83"/>
      <c r="F12" s="123">
        <v>24</v>
      </c>
      <c r="G12" s="82">
        <f t="shared" si="0"/>
        <v>0</v>
      </c>
      <c r="H12" s="82">
        <f t="shared" si="1"/>
        <v>0</v>
      </c>
      <c r="I12" s="82">
        <f t="shared" si="2"/>
        <v>288</v>
      </c>
      <c r="J12" s="82">
        <f t="shared" si="3"/>
        <v>288</v>
      </c>
    </row>
    <row r="13" spans="1:10">
      <c r="A13" s="32">
        <v>10</v>
      </c>
      <c r="B13" s="144">
        <v>46122</v>
      </c>
      <c r="C13" s="145"/>
      <c r="D13" s="106"/>
      <c r="E13" s="83"/>
      <c r="F13" s="123">
        <v>24</v>
      </c>
      <c r="G13" s="82">
        <f t="shared" si="0"/>
        <v>0</v>
      </c>
      <c r="H13" s="82">
        <f t="shared" si="1"/>
        <v>0</v>
      </c>
      <c r="I13" s="82">
        <f t="shared" si="2"/>
        <v>288</v>
      </c>
      <c r="J13" s="82">
        <f t="shared" si="3"/>
        <v>288</v>
      </c>
    </row>
    <row r="14" spans="1:10">
      <c r="A14" s="32">
        <v>11</v>
      </c>
      <c r="B14" s="144">
        <v>46123</v>
      </c>
      <c r="C14" s="145"/>
      <c r="D14" s="106"/>
      <c r="E14" s="83"/>
      <c r="F14" s="123">
        <v>24</v>
      </c>
      <c r="G14" s="82">
        <f t="shared" si="0"/>
        <v>0</v>
      </c>
      <c r="H14" s="82">
        <f t="shared" si="1"/>
        <v>0</v>
      </c>
      <c r="I14" s="82">
        <f t="shared" si="2"/>
        <v>288</v>
      </c>
      <c r="J14" s="82">
        <f t="shared" si="3"/>
        <v>288</v>
      </c>
    </row>
    <row r="15" spans="1:10">
      <c r="A15" s="32">
        <v>12</v>
      </c>
      <c r="B15" s="144">
        <v>46124</v>
      </c>
      <c r="C15" s="145"/>
      <c r="D15" s="106"/>
      <c r="E15" s="83"/>
      <c r="F15" s="123">
        <v>24</v>
      </c>
      <c r="G15" s="82">
        <f t="shared" si="0"/>
        <v>0</v>
      </c>
      <c r="H15" s="82">
        <f t="shared" si="1"/>
        <v>0</v>
      </c>
      <c r="I15" s="82">
        <f t="shared" si="2"/>
        <v>288</v>
      </c>
      <c r="J15" s="82">
        <f t="shared" si="3"/>
        <v>288</v>
      </c>
    </row>
    <row r="16" spans="1:10">
      <c r="A16" s="32">
        <v>13</v>
      </c>
      <c r="B16" s="144">
        <v>46125</v>
      </c>
      <c r="C16" s="145"/>
      <c r="D16" s="106"/>
      <c r="E16" s="83"/>
      <c r="F16" s="123">
        <v>24</v>
      </c>
      <c r="G16" s="82">
        <f t="shared" si="0"/>
        <v>0</v>
      </c>
      <c r="H16" s="82">
        <f t="shared" si="1"/>
        <v>0</v>
      </c>
      <c r="I16" s="82">
        <f t="shared" si="2"/>
        <v>288</v>
      </c>
      <c r="J16" s="82">
        <f t="shared" si="3"/>
        <v>288</v>
      </c>
    </row>
    <row r="17" spans="1:10">
      <c r="A17" s="32">
        <v>14</v>
      </c>
      <c r="B17" s="144">
        <v>46126</v>
      </c>
      <c r="C17" s="145"/>
      <c r="D17" s="106"/>
      <c r="E17" s="83"/>
      <c r="F17" s="123">
        <v>24</v>
      </c>
      <c r="G17" s="82">
        <f t="shared" si="0"/>
        <v>0</v>
      </c>
      <c r="H17" s="82">
        <f t="shared" si="1"/>
        <v>0</v>
      </c>
      <c r="I17" s="82">
        <f t="shared" si="2"/>
        <v>288</v>
      </c>
      <c r="J17" s="82">
        <f t="shared" si="3"/>
        <v>288</v>
      </c>
    </row>
    <row r="18" spans="1:10">
      <c r="A18" s="32">
        <v>15</v>
      </c>
      <c r="B18" s="144">
        <v>46127</v>
      </c>
      <c r="C18" s="145"/>
      <c r="D18" s="106"/>
      <c r="E18" s="83"/>
      <c r="F18" s="123">
        <v>24</v>
      </c>
      <c r="G18" s="82">
        <f t="shared" si="0"/>
        <v>0</v>
      </c>
      <c r="H18" s="82">
        <f t="shared" si="1"/>
        <v>0</v>
      </c>
      <c r="I18" s="82">
        <f t="shared" si="2"/>
        <v>288</v>
      </c>
      <c r="J18" s="82">
        <f t="shared" si="3"/>
        <v>288</v>
      </c>
    </row>
    <row r="19" spans="1:10">
      <c r="A19" s="32">
        <v>16</v>
      </c>
      <c r="B19" s="144">
        <v>46128</v>
      </c>
      <c r="C19" s="145"/>
      <c r="D19" s="106"/>
      <c r="E19" s="83"/>
      <c r="F19" s="123">
        <v>24</v>
      </c>
      <c r="G19" s="82">
        <f t="shared" si="0"/>
        <v>0</v>
      </c>
      <c r="H19" s="82">
        <f t="shared" si="1"/>
        <v>0</v>
      </c>
      <c r="I19" s="82">
        <f t="shared" si="2"/>
        <v>288</v>
      </c>
      <c r="J19" s="82">
        <f t="shared" si="3"/>
        <v>288</v>
      </c>
    </row>
    <row r="20" spans="1:10">
      <c r="A20" s="32">
        <v>17</v>
      </c>
      <c r="B20" s="144">
        <v>46129</v>
      </c>
      <c r="C20" s="145"/>
      <c r="D20" s="106"/>
      <c r="E20" s="83"/>
      <c r="F20" s="123">
        <v>24</v>
      </c>
      <c r="G20" s="82">
        <f t="shared" si="0"/>
        <v>0</v>
      </c>
      <c r="H20" s="82">
        <f t="shared" si="1"/>
        <v>0</v>
      </c>
      <c r="I20" s="82">
        <f t="shared" si="2"/>
        <v>288</v>
      </c>
      <c r="J20" s="82">
        <f t="shared" si="3"/>
        <v>288</v>
      </c>
    </row>
    <row r="21" spans="1:10">
      <c r="A21" s="32">
        <v>18</v>
      </c>
      <c r="B21" s="144">
        <v>46130</v>
      </c>
      <c r="C21" s="145"/>
      <c r="D21" s="106"/>
      <c r="E21" s="83"/>
      <c r="F21" s="123">
        <v>24</v>
      </c>
      <c r="G21" s="82">
        <f t="shared" si="0"/>
        <v>0</v>
      </c>
      <c r="H21" s="82">
        <f t="shared" si="1"/>
        <v>0</v>
      </c>
      <c r="I21" s="82">
        <f t="shared" si="2"/>
        <v>288</v>
      </c>
      <c r="J21" s="82">
        <f t="shared" si="3"/>
        <v>288</v>
      </c>
    </row>
    <row r="22" spans="1:10">
      <c r="A22" s="32">
        <v>19</v>
      </c>
      <c r="B22" s="144">
        <v>46131</v>
      </c>
      <c r="C22" s="145"/>
      <c r="D22" s="106"/>
      <c r="E22" s="83"/>
      <c r="F22" s="123">
        <v>24</v>
      </c>
      <c r="G22" s="82">
        <f t="shared" si="0"/>
        <v>0</v>
      </c>
      <c r="H22" s="82">
        <f t="shared" si="1"/>
        <v>0</v>
      </c>
      <c r="I22" s="82">
        <f t="shared" si="2"/>
        <v>288</v>
      </c>
      <c r="J22" s="82">
        <f t="shared" si="3"/>
        <v>288</v>
      </c>
    </row>
    <row r="23" spans="1:10">
      <c r="A23" s="32">
        <v>20</v>
      </c>
      <c r="B23" s="144">
        <v>46132</v>
      </c>
      <c r="C23" s="145"/>
      <c r="D23" s="106"/>
      <c r="E23" s="83"/>
      <c r="F23" s="123">
        <v>24</v>
      </c>
      <c r="G23" s="82">
        <f t="shared" si="0"/>
        <v>0</v>
      </c>
      <c r="H23" s="82">
        <f t="shared" si="1"/>
        <v>0</v>
      </c>
      <c r="I23" s="82">
        <f t="shared" si="2"/>
        <v>288</v>
      </c>
      <c r="J23" s="82">
        <f t="shared" si="3"/>
        <v>288</v>
      </c>
    </row>
    <row r="24" spans="1:10">
      <c r="A24" s="32">
        <v>21</v>
      </c>
      <c r="B24" s="144">
        <v>46133</v>
      </c>
      <c r="C24" s="145"/>
      <c r="D24" s="106"/>
      <c r="E24" s="83"/>
      <c r="F24" s="123">
        <v>24</v>
      </c>
      <c r="G24" s="82">
        <f t="shared" si="0"/>
        <v>0</v>
      </c>
      <c r="H24" s="82">
        <f t="shared" si="1"/>
        <v>0</v>
      </c>
      <c r="I24" s="82">
        <f t="shared" si="2"/>
        <v>288</v>
      </c>
      <c r="J24" s="82">
        <f t="shared" si="3"/>
        <v>288</v>
      </c>
    </row>
    <row r="25" spans="1:10">
      <c r="A25" s="32">
        <v>22</v>
      </c>
      <c r="B25" s="144">
        <v>46134</v>
      </c>
      <c r="C25" s="145"/>
      <c r="D25" s="106"/>
      <c r="E25" s="83"/>
      <c r="F25" s="123">
        <v>24</v>
      </c>
      <c r="G25" s="82">
        <f t="shared" si="0"/>
        <v>0</v>
      </c>
      <c r="H25" s="82">
        <f t="shared" si="1"/>
        <v>0</v>
      </c>
      <c r="I25" s="82">
        <f t="shared" si="2"/>
        <v>288</v>
      </c>
      <c r="J25" s="82">
        <f t="shared" si="3"/>
        <v>288</v>
      </c>
    </row>
    <row r="26" spans="1:10">
      <c r="A26" s="32">
        <v>23</v>
      </c>
      <c r="B26" s="144">
        <v>46135</v>
      </c>
      <c r="C26" s="145"/>
      <c r="D26" s="106"/>
      <c r="E26" s="83"/>
      <c r="F26" s="123">
        <v>24</v>
      </c>
      <c r="G26" s="82">
        <f t="shared" si="0"/>
        <v>0</v>
      </c>
      <c r="H26" s="82">
        <f t="shared" si="1"/>
        <v>0</v>
      </c>
      <c r="I26" s="82">
        <f t="shared" si="2"/>
        <v>288</v>
      </c>
      <c r="J26" s="82">
        <f t="shared" si="3"/>
        <v>288</v>
      </c>
    </row>
    <row r="27" spans="1:10">
      <c r="A27" s="32">
        <v>24</v>
      </c>
      <c r="B27" s="144">
        <v>46136</v>
      </c>
      <c r="C27" s="145"/>
      <c r="D27" s="106"/>
      <c r="E27" s="83"/>
      <c r="F27" s="123">
        <v>24</v>
      </c>
      <c r="G27" s="82">
        <f t="shared" si="0"/>
        <v>0</v>
      </c>
      <c r="H27" s="82">
        <f t="shared" si="1"/>
        <v>0</v>
      </c>
      <c r="I27" s="82">
        <f t="shared" si="2"/>
        <v>288</v>
      </c>
      <c r="J27" s="82">
        <f t="shared" si="3"/>
        <v>288</v>
      </c>
    </row>
    <row r="28" spans="1:10">
      <c r="A28" s="32">
        <v>25</v>
      </c>
      <c r="B28" s="144">
        <v>46137</v>
      </c>
      <c r="C28" s="145"/>
      <c r="D28" s="106"/>
      <c r="E28" s="83"/>
      <c r="F28" s="123">
        <v>24</v>
      </c>
      <c r="G28" s="82">
        <f t="shared" si="0"/>
        <v>0</v>
      </c>
      <c r="H28" s="82">
        <f t="shared" si="1"/>
        <v>0</v>
      </c>
      <c r="I28" s="82">
        <f t="shared" si="2"/>
        <v>288</v>
      </c>
      <c r="J28" s="82">
        <f t="shared" si="3"/>
        <v>288</v>
      </c>
    </row>
    <row r="29" spans="1:10">
      <c r="A29" s="32">
        <v>26</v>
      </c>
      <c r="B29" s="144">
        <v>46138</v>
      </c>
      <c r="C29" s="145"/>
      <c r="D29" s="106"/>
      <c r="E29" s="83"/>
      <c r="F29" s="123">
        <v>24</v>
      </c>
      <c r="G29" s="82">
        <f t="shared" si="0"/>
        <v>0</v>
      </c>
      <c r="H29" s="82">
        <f t="shared" si="1"/>
        <v>0</v>
      </c>
      <c r="I29" s="82">
        <f t="shared" si="2"/>
        <v>288</v>
      </c>
      <c r="J29" s="82">
        <f t="shared" si="3"/>
        <v>288</v>
      </c>
    </row>
    <row r="30" spans="1:10">
      <c r="A30" s="32">
        <v>27</v>
      </c>
      <c r="B30" s="144">
        <v>46139</v>
      </c>
      <c r="C30" s="145"/>
      <c r="D30" s="106"/>
      <c r="E30" s="83"/>
      <c r="F30" s="123">
        <v>24</v>
      </c>
      <c r="G30" s="82">
        <f t="shared" si="0"/>
        <v>0</v>
      </c>
      <c r="H30" s="82">
        <f t="shared" si="1"/>
        <v>0</v>
      </c>
      <c r="I30" s="82">
        <f t="shared" si="2"/>
        <v>288</v>
      </c>
      <c r="J30" s="82">
        <f t="shared" si="3"/>
        <v>288</v>
      </c>
    </row>
    <row r="31" spans="1:10">
      <c r="A31" s="32">
        <v>28</v>
      </c>
      <c r="B31" s="144">
        <v>46140</v>
      </c>
      <c r="C31" s="145"/>
      <c r="D31" s="106"/>
      <c r="E31" s="83"/>
      <c r="F31" s="123">
        <v>24</v>
      </c>
      <c r="G31" s="82">
        <f t="shared" si="0"/>
        <v>0</v>
      </c>
      <c r="H31" s="82">
        <f t="shared" si="1"/>
        <v>0</v>
      </c>
      <c r="I31" s="82">
        <f t="shared" si="2"/>
        <v>288</v>
      </c>
      <c r="J31" s="82">
        <f t="shared" si="3"/>
        <v>288</v>
      </c>
    </row>
    <row r="32" spans="1:10">
      <c r="A32" s="32">
        <v>29</v>
      </c>
      <c r="B32" s="144">
        <v>46141</v>
      </c>
      <c r="C32" s="145"/>
      <c r="D32" s="106"/>
      <c r="E32" s="83"/>
      <c r="F32" s="123">
        <v>24</v>
      </c>
      <c r="G32" s="82">
        <f t="shared" si="0"/>
        <v>0</v>
      </c>
      <c r="H32" s="82">
        <f t="shared" si="1"/>
        <v>0</v>
      </c>
      <c r="I32" s="82">
        <f t="shared" si="2"/>
        <v>288</v>
      </c>
      <c r="J32" s="82">
        <f t="shared" si="3"/>
        <v>288</v>
      </c>
    </row>
    <row r="33" spans="1:10">
      <c r="A33" s="32">
        <v>30</v>
      </c>
      <c r="B33" s="144">
        <v>46142</v>
      </c>
      <c r="C33" s="145"/>
      <c r="D33" s="106"/>
      <c r="E33" s="83"/>
      <c r="F33" s="123">
        <v>24</v>
      </c>
      <c r="G33" s="82">
        <f t="shared" si="0"/>
        <v>0</v>
      </c>
      <c r="H33" s="82">
        <f t="shared" si="1"/>
        <v>0</v>
      </c>
      <c r="I33" s="82">
        <f t="shared" si="2"/>
        <v>288</v>
      </c>
      <c r="J33" s="82">
        <f t="shared" si="3"/>
        <v>288</v>
      </c>
    </row>
    <row r="34" spans="1:10">
      <c r="A34" s="32">
        <v>31</v>
      </c>
      <c r="B34" s="144"/>
      <c r="C34" s="145"/>
      <c r="D34" s="106"/>
      <c r="E34" s="83"/>
      <c r="F34" s="123"/>
      <c r="G34" s="82">
        <f t="shared" si="0"/>
        <v>0</v>
      </c>
      <c r="H34" s="82">
        <f t="shared" si="1"/>
        <v>0</v>
      </c>
      <c r="I34" s="82">
        <f t="shared" si="2"/>
        <v>0</v>
      </c>
      <c r="J34" s="82">
        <f t="shared" si="3"/>
        <v>0</v>
      </c>
    </row>
    <row r="35" spans="1:10">
      <c r="D35" s="82"/>
      <c r="E35" s="82"/>
      <c r="F35" s="82"/>
      <c r="G35" s="82">
        <f>SUM(G4:G34)</f>
        <v>0</v>
      </c>
      <c r="H35" s="82">
        <f>SUM(H4:H34)</f>
        <v>0</v>
      </c>
      <c r="I35" s="82">
        <f>SUM(I4:I34)</f>
        <v>8640</v>
      </c>
      <c r="J35" s="121">
        <f>SUM(J4:J34)</f>
        <v>8640</v>
      </c>
    </row>
  </sheetData>
  <mergeCells count="40">
    <mergeCell ref="B1:H1"/>
    <mergeCell ref="A2:A3"/>
    <mergeCell ref="B2:C3"/>
    <mergeCell ref="D2:D3"/>
    <mergeCell ref="E2:E3"/>
    <mergeCell ref="G2:G3"/>
    <mergeCell ref="H2:H3"/>
    <mergeCell ref="B13:C13"/>
    <mergeCell ref="I2:I3"/>
    <mergeCell ref="J2:J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32:C32"/>
    <mergeCell ref="B33:C33"/>
    <mergeCell ref="B34:C34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92742-1E53-4DD7-87A6-B1C5398637BF}">
  <dimension ref="A1:R37"/>
  <sheetViews>
    <sheetView topLeftCell="A14" workbookViewId="0">
      <selection activeCell="K28" sqref="K28"/>
    </sheetView>
  </sheetViews>
  <sheetFormatPr defaultRowHeight="15"/>
  <cols>
    <col min="1" max="1" width="13.85546875" style="28" customWidth="1"/>
    <col min="2" max="3" width="9.140625" style="28"/>
    <col min="4" max="4" width="11.7109375" style="28" customWidth="1"/>
    <col min="5" max="5" width="12.140625" style="28" customWidth="1"/>
    <col min="6" max="6" width="13.28515625" style="28" customWidth="1"/>
    <col min="7" max="7" width="10.5703125" style="28" bestFit="1" customWidth="1"/>
    <col min="8" max="8" width="9.42578125" style="28" bestFit="1" customWidth="1"/>
    <col min="9" max="9" width="15.140625" style="28" customWidth="1"/>
    <col min="10" max="10" width="13.5703125" style="28" customWidth="1"/>
    <col min="11" max="11" width="14.5703125" style="28" customWidth="1"/>
    <col min="12" max="12" width="13.28515625" style="28" customWidth="1"/>
    <col min="13" max="13" width="11.7109375" style="28" customWidth="1"/>
    <col min="14" max="14" width="24.28515625" style="28" customWidth="1"/>
    <col min="15" max="16" width="9.140625" style="28"/>
    <col min="17" max="17" width="19.28515625" style="28" customWidth="1"/>
    <col min="18" max="16384" width="9.140625" style="28"/>
  </cols>
  <sheetData>
    <row r="1" spans="1:18">
      <c r="A1" s="27">
        <f>N37</f>
        <v>12010.656000000003</v>
      </c>
      <c r="G1" s="29"/>
    </row>
    <row r="2" spans="1:18" ht="28.9" customHeight="1">
      <c r="A2" s="149" t="str">
        <f>"Отчет по хранению товара за " &amp; TEXT(B5,"ММММ ГГГГ")</f>
        <v>Отчет по хранению товара за Апрель 2026</v>
      </c>
      <c r="B2" s="149"/>
      <c r="C2" s="149"/>
      <c r="D2" s="149"/>
      <c r="E2" s="149"/>
      <c r="F2" s="149"/>
      <c r="G2" s="149"/>
      <c r="H2" s="149"/>
      <c r="I2" s="28" t="s">
        <v>36</v>
      </c>
    </row>
    <row r="3" spans="1:18" ht="28.9" customHeight="1">
      <c r="A3" s="146" t="s">
        <v>0</v>
      </c>
      <c r="B3" s="150" t="s">
        <v>1</v>
      </c>
      <c r="C3" s="151"/>
      <c r="D3" s="146" t="s">
        <v>2</v>
      </c>
      <c r="E3" s="146" t="s">
        <v>3</v>
      </c>
      <c r="F3" s="30" t="s">
        <v>4</v>
      </c>
      <c r="G3" s="146" t="s">
        <v>7</v>
      </c>
      <c r="H3" s="146" t="s">
        <v>8</v>
      </c>
      <c r="I3" s="146" t="s">
        <v>11</v>
      </c>
      <c r="J3" s="146" t="s">
        <v>12</v>
      </c>
      <c r="K3" s="146" t="s">
        <v>13</v>
      </c>
      <c r="L3" s="146" t="s">
        <v>16</v>
      </c>
      <c r="M3" s="146" t="s">
        <v>17</v>
      </c>
      <c r="N3" s="146" t="s">
        <v>18</v>
      </c>
      <c r="Q3" s="187" t="s">
        <v>140</v>
      </c>
      <c r="R3" s="187"/>
    </row>
    <row r="4" spans="1:18">
      <c r="A4" s="147"/>
      <c r="B4" s="152"/>
      <c r="C4" s="153"/>
      <c r="D4" s="147"/>
      <c r="E4" s="147"/>
      <c r="F4" s="31"/>
      <c r="G4" s="147"/>
      <c r="H4" s="147"/>
      <c r="I4" s="147"/>
      <c r="J4" s="147"/>
      <c r="K4" s="147"/>
      <c r="L4" s="147"/>
      <c r="M4" s="147"/>
      <c r="N4" s="147"/>
      <c r="Q4" s="124" t="s">
        <v>141</v>
      </c>
      <c r="R4" s="125">
        <v>130</v>
      </c>
    </row>
    <row r="5" spans="1:18">
      <c r="A5" s="32">
        <v>1</v>
      </c>
      <c r="B5" s="144">
        <v>46113</v>
      </c>
      <c r="C5" s="145"/>
      <c r="D5" s="126"/>
      <c r="E5" s="126"/>
      <c r="F5" s="127">
        <v>32.549999999999997</v>
      </c>
      <c r="G5" s="127">
        <v>0</v>
      </c>
      <c r="H5" s="127">
        <v>0</v>
      </c>
      <c r="I5" s="38">
        <f>SUM(D5*$R$4)</f>
        <v>0</v>
      </c>
      <c r="J5" s="38">
        <f>SUM(E5*$R$5)</f>
        <v>0</v>
      </c>
      <c r="K5" s="38">
        <f>SUM(F5*$R$6)</f>
        <v>716.09999999999991</v>
      </c>
      <c r="L5" s="38">
        <f>SUM(G5*$R$7)</f>
        <v>0</v>
      </c>
      <c r="M5" s="38">
        <f>SUM(H5*$R$8)</f>
        <v>0</v>
      </c>
      <c r="N5" s="38">
        <f t="shared" ref="N5:N35" si="0">SUM(I5:M5)</f>
        <v>716.09999999999991</v>
      </c>
      <c r="Q5" s="128" t="s">
        <v>142</v>
      </c>
      <c r="R5" s="129">
        <v>130</v>
      </c>
    </row>
    <row r="6" spans="1:18">
      <c r="A6" s="39">
        <v>2</v>
      </c>
      <c r="B6" s="144">
        <v>46114</v>
      </c>
      <c r="C6" s="145"/>
      <c r="D6" s="126"/>
      <c r="E6" s="126"/>
      <c r="F6" s="127">
        <f>F5-E5+D6</f>
        <v>32.549999999999997</v>
      </c>
      <c r="G6" s="127">
        <v>0</v>
      </c>
      <c r="H6" s="127">
        <v>0</v>
      </c>
      <c r="I6" s="38">
        <f t="shared" ref="I6:I35" si="1">SUM(D6*$R$4)</f>
        <v>0</v>
      </c>
      <c r="J6" s="38">
        <f t="shared" ref="J6:J35" si="2">SUM(E6*$R$5)</f>
        <v>0</v>
      </c>
      <c r="K6" s="38">
        <f t="shared" ref="K6:K35" si="3">SUM(F6*$R$6)</f>
        <v>716.09999999999991</v>
      </c>
      <c r="L6" s="38">
        <f t="shared" ref="L6:L35" si="4">SUM(G6*$R$7)</f>
        <v>0</v>
      </c>
      <c r="M6" s="38">
        <f t="shared" ref="M6:M35" si="5">SUM(H6*$R$8)</f>
        <v>0</v>
      </c>
      <c r="N6" s="38">
        <f t="shared" si="0"/>
        <v>716.09999999999991</v>
      </c>
      <c r="Q6" s="128" t="s">
        <v>4</v>
      </c>
      <c r="R6" s="129">
        <v>22</v>
      </c>
    </row>
    <row r="7" spans="1:18">
      <c r="A7" s="39">
        <v>3</v>
      </c>
      <c r="B7" s="144">
        <v>46115</v>
      </c>
      <c r="C7" s="145"/>
      <c r="D7" s="126"/>
      <c r="E7" s="126"/>
      <c r="F7" s="127">
        <f t="shared" ref="F7:F15" si="6">F6-E6+D7</f>
        <v>32.549999999999997</v>
      </c>
      <c r="G7" s="127">
        <v>0</v>
      </c>
      <c r="H7" s="127">
        <v>0</v>
      </c>
      <c r="I7" s="38">
        <f t="shared" si="1"/>
        <v>0</v>
      </c>
      <c r="J7" s="38">
        <f t="shared" si="2"/>
        <v>0</v>
      </c>
      <c r="K7" s="38">
        <f t="shared" si="3"/>
        <v>716.09999999999991</v>
      </c>
      <c r="L7" s="38">
        <f t="shared" si="4"/>
        <v>0</v>
      </c>
      <c r="M7" s="38">
        <f t="shared" si="5"/>
        <v>0</v>
      </c>
      <c r="N7" s="38">
        <f t="shared" si="0"/>
        <v>716.09999999999991</v>
      </c>
      <c r="Q7" s="128" t="s">
        <v>143</v>
      </c>
      <c r="R7" s="129">
        <v>950</v>
      </c>
    </row>
    <row r="8" spans="1:18">
      <c r="A8" s="39">
        <v>4</v>
      </c>
      <c r="B8" s="144">
        <v>46116</v>
      </c>
      <c r="C8" s="145"/>
      <c r="D8" s="126"/>
      <c r="E8" s="126"/>
      <c r="F8" s="127">
        <f t="shared" si="6"/>
        <v>32.549999999999997</v>
      </c>
      <c r="G8" s="127">
        <v>0</v>
      </c>
      <c r="H8" s="127">
        <v>0</v>
      </c>
      <c r="I8" s="38">
        <f t="shared" si="1"/>
        <v>0</v>
      </c>
      <c r="J8" s="38">
        <f t="shared" si="2"/>
        <v>0</v>
      </c>
      <c r="K8" s="38">
        <f t="shared" si="3"/>
        <v>716.09999999999991</v>
      </c>
      <c r="L8" s="38">
        <f t="shared" si="4"/>
        <v>0</v>
      </c>
      <c r="M8" s="38">
        <f t="shared" si="5"/>
        <v>0</v>
      </c>
      <c r="N8" s="38">
        <f t="shared" si="0"/>
        <v>716.09999999999991</v>
      </c>
      <c r="Q8" s="128" t="s">
        <v>8</v>
      </c>
      <c r="R8" s="129">
        <v>120</v>
      </c>
    </row>
    <row r="9" spans="1:18">
      <c r="A9" s="39">
        <v>5</v>
      </c>
      <c r="B9" s="144">
        <v>46117</v>
      </c>
      <c r="C9" s="145"/>
      <c r="D9" s="130"/>
      <c r="E9" s="131">
        <v>21</v>
      </c>
      <c r="F9" s="127">
        <f t="shared" si="6"/>
        <v>32.549999999999997</v>
      </c>
      <c r="G9" s="127">
        <v>0</v>
      </c>
      <c r="H9" s="127">
        <v>0</v>
      </c>
      <c r="I9" s="38">
        <f t="shared" si="1"/>
        <v>0</v>
      </c>
      <c r="J9" s="38">
        <f t="shared" si="2"/>
        <v>2730</v>
      </c>
      <c r="K9" s="38">
        <f t="shared" si="3"/>
        <v>716.09999999999991</v>
      </c>
      <c r="L9" s="38">
        <f t="shared" si="4"/>
        <v>0</v>
      </c>
      <c r="M9" s="38">
        <f t="shared" si="5"/>
        <v>0</v>
      </c>
      <c r="N9" s="38">
        <f t="shared" si="0"/>
        <v>3446.1</v>
      </c>
    </row>
    <row r="10" spans="1:18">
      <c r="A10" s="39">
        <v>6</v>
      </c>
      <c r="B10" s="144">
        <v>46118</v>
      </c>
      <c r="C10" s="145"/>
      <c r="D10" s="126"/>
      <c r="E10" s="126"/>
      <c r="F10" s="127">
        <f t="shared" si="6"/>
        <v>11.549999999999997</v>
      </c>
      <c r="G10" s="127">
        <v>0</v>
      </c>
      <c r="H10" s="127">
        <v>0</v>
      </c>
      <c r="I10" s="38">
        <f t="shared" si="1"/>
        <v>0</v>
      </c>
      <c r="J10" s="38">
        <f t="shared" si="2"/>
        <v>0</v>
      </c>
      <c r="K10" s="38">
        <f t="shared" si="3"/>
        <v>254.09999999999994</v>
      </c>
      <c r="L10" s="38">
        <f t="shared" si="4"/>
        <v>0</v>
      </c>
      <c r="M10" s="38">
        <f t="shared" si="5"/>
        <v>0</v>
      </c>
      <c r="N10" s="38">
        <f t="shared" si="0"/>
        <v>254.09999999999994</v>
      </c>
    </row>
    <row r="11" spans="1:18">
      <c r="A11" s="39">
        <v>7</v>
      </c>
      <c r="B11" s="144">
        <v>46119</v>
      </c>
      <c r="C11" s="145"/>
      <c r="D11" s="126"/>
      <c r="E11" s="126"/>
      <c r="F11" s="127">
        <f t="shared" si="6"/>
        <v>11.549999999999997</v>
      </c>
      <c r="G11" s="127">
        <v>0</v>
      </c>
      <c r="H11" s="127">
        <v>0</v>
      </c>
      <c r="I11" s="38">
        <f t="shared" si="1"/>
        <v>0</v>
      </c>
      <c r="J11" s="38">
        <f t="shared" si="2"/>
        <v>0</v>
      </c>
      <c r="K11" s="38">
        <f t="shared" si="3"/>
        <v>254.09999999999994</v>
      </c>
      <c r="L11" s="38">
        <f t="shared" si="4"/>
        <v>0</v>
      </c>
      <c r="M11" s="38">
        <f t="shared" si="5"/>
        <v>0</v>
      </c>
      <c r="N11" s="38">
        <f t="shared" si="0"/>
        <v>254.09999999999994</v>
      </c>
    </row>
    <row r="12" spans="1:18">
      <c r="A12" s="39">
        <v>8</v>
      </c>
      <c r="B12" s="144">
        <v>46120</v>
      </c>
      <c r="C12" s="145"/>
      <c r="D12" s="126"/>
      <c r="E12" s="126"/>
      <c r="F12" s="127">
        <f t="shared" si="6"/>
        <v>11.549999999999997</v>
      </c>
      <c r="G12" s="127">
        <v>0</v>
      </c>
      <c r="H12" s="127">
        <v>0</v>
      </c>
      <c r="I12" s="38">
        <f t="shared" si="1"/>
        <v>0</v>
      </c>
      <c r="J12" s="38">
        <f t="shared" si="2"/>
        <v>0</v>
      </c>
      <c r="K12" s="38">
        <f t="shared" si="3"/>
        <v>254.09999999999994</v>
      </c>
      <c r="L12" s="38">
        <f t="shared" si="4"/>
        <v>0</v>
      </c>
      <c r="M12" s="38">
        <f t="shared" si="5"/>
        <v>0</v>
      </c>
      <c r="N12" s="38">
        <f t="shared" si="0"/>
        <v>254.09999999999994</v>
      </c>
    </row>
    <row r="13" spans="1:18">
      <c r="A13" s="39">
        <v>9</v>
      </c>
      <c r="B13" s="144">
        <v>46121</v>
      </c>
      <c r="C13" s="145"/>
      <c r="D13" s="126"/>
      <c r="E13" s="126"/>
      <c r="F13" s="127">
        <f t="shared" si="6"/>
        <v>11.549999999999997</v>
      </c>
      <c r="G13" s="127">
        <v>0</v>
      </c>
      <c r="H13" s="127">
        <v>0</v>
      </c>
      <c r="I13" s="38">
        <f t="shared" si="1"/>
        <v>0</v>
      </c>
      <c r="J13" s="38">
        <f t="shared" si="2"/>
        <v>0</v>
      </c>
      <c r="K13" s="38">
        <f t="shared" si="3"/>
        <v>254.09999999999994</v>
      </c>
      <c r="L13" s="38">
        <f t="shared" si="4"/>
        <v>0</v>
      </c>
      <c r="M13" s="38">
        <f t="shared" si="5"/>
        <v>0</v>
      </c>
      <c r="N13" s="38">
        <f t="shared" si="0"/>
        <v>254.09999999999994</v>
      </c>
    </row>
    <row r="14" spans="1:18">
      <c r="A14" s="39">
        <v>10</v>
      </c>
      <c r="B14" s="144">
        <v>46122</v>
      </c>
      <c r="C14" s="145"/>
      <c r="D14" s="126"/>
      <c r="E14" s="126"/>
      <c r="F14" s="127">
        <f t="shared" si="6"/>
        <v>11.549999999999997</v>
      </c>
      <c r="G14" s="127">
        <v>0</v>
      </c>
      <c r="H14" s="127">
        <v>0</v>
      </c>
      <c r="I14" s="38">
        <f t="shared" si="1"/>
        <v>0</v>
      </c>
      <c r="J14" s="38">
        <f t="shared" si="2"/>
        <v>0</v>
      </c>
      <c r="K14" s="38">
        <f t="shared" si="3"/>
        <v>254.09999999999994</v>
      </c>
      <c r="L14" s="38">
        <f t="shared" si="4"/>
        <v>0</v>
      </c>
      <c r="M14" s="38">
        <f t="shared" si="5"/>
        <v>0</v>
      </c>
      <c r="N14" s="38">
        <f t="shared" si="0"/>
        <v>254.09999999999994</v>
      </c>
    </row>
    <row r="15" spans="1:18">
      <c r="A15" s="39">
        <v>11</v>
      </c>
      <c r="B15" s="144">
        <v>46123</v>
      </c>
      <c r="C15" s="145"/>
      <c r="D15" s="126"/>
      <c r="E15" s="126"/>
      <c r="F15" s="127">
        <f t="shared" si="6"/>
        <v>11.549999999999997</v>
      </c>
      <c r="G15" s="127">
        <v>0</v>
      </c>
      <c r="H15" s="127">
        <v>0</v>
      </c>
      <c r="I15" s="38">
        <f t="shared" si="1"/>
        <v>0</v>
      </c>
      <c r="J15" s="38">
        <f t="shared" si="2"/>
        <v>0</v>
      </c>
      <c r="K15" s="38">
        <f t="shared" si="3"/>
        <v>254.09999999999994</v>
      </c>
      <c r="L15" s="38">
        <f t="shared" si="4"/>
        <v>0</v>
      </c>
      <c r="M15" s="38">
        <f t="shared" si="5"/>
        <v>0</v>
      </c>
      <c r="N15" s="38">
        <f t="shared" si="0"/>
        <v>254.09999999999994</v>
      </c>
    </row>
    <row r="16" spans="1:18">
      <c r="A16" s="39">
        <v>12</v>
      </c>
      <c r="B16" s="144">
        <v>46124</v>
      </c>
      <c r="C16" s="145"/>
      <c r="D16" s="126"/>
      <c r="E16" s="126"/>
      <c r="F16" s="127">
        <f>F15-E15+D16</f>
        <v>11.549999999999997</v>
      </c>
      <c r="G16" s="127">
        <v>0</v>
      </c>
      <c r="H16" s="127">
        <v>0</v>
      </c>
      <c r="I16" s="38">
        <f t="shared" si="1"/>
        <v>0</v>
      </c>
      <c r="J16" s="38">
        <f t="shared" si="2"/>
        <v>0</v>
      </c>
      <c r="K16" s="38">
        <f t="shared" si="3"/>
        <v>254.09999999999994</v>
      </c>
      <c r="L16" s="38">
        <f t="shared" si="4"/>
        <v>0</v>
      </c>
      <c r="M16" s="38">
        <f t="shared" si="5"/>
        <v>0</v>
      </c>
      <c r="N16" s="38">
        <f t="shared" si="0"/>
        <v>254.09999999999994</v>
      </c>
    </row>
    <row r="17" spans="1:14">
      <c r="A17" s="39">
        <v>13</v>
      </c>
      <c r="B17" s="144">
        <v>46125</v>
      </c>
      <c r="C17" s="145"/>
      <c r="D17" s="130"/>
      <c r="E17" s="132">
        <v>11.55</v>
      </c>
      <c r="F17" s="127">
        <f t="shared" ref="F17:F34" si="7">F16-E16+D17</f>
        <v>11.549999999999997</v>
      </c>
      <c r="G17" s="127">
        <v>0</v>
      </c>
      <c r="H17" s="127">
        <v>0</v>
      </c>
      <c r="I17" s="38">
        <f t="shared" si="1"/>
        <v>0</v>
      </c>
      <c r="J17" s="38">
        <f t="shared" si="2"/>
        <v>1501.5</v>
      </c>
      <c r="K17" s="38">
        <f t="shared" si="3"/>
        <v>254.09999999999994</v>
      </c>
      <c r="L17" s="38">
        <f t="shared" si="4"/>
        <v>0</v>
      </c>
      <c r="M17" s="38">
        <f t="shared" si="5"/>
        <v>0</v>
      </c>
      <c r="N17" s="38">
        <f t="shared" si="0"/>
        <v>1755.6</v>
      </c>
    </row>
    <row r="18" spans="1:14">
      <c r="A18" s="39">
        <v>14</v>
      </c>
      <c r="B18" s="144">
        <v>46126</v>
      </c>
      <c r="C18" s="145"/>
      <c r="D18" s="126"/>
      <c r="E18" s="126"/>
      <c r="F18" s="127">
        <f t="shared" si="7"/>
        <v>-3.5527136788005009E-15</v>
      </c>
      <c r="G18" s="127">
        <v>0</v>
      </c>
      <c r="H18" s="127">
        <v>0</v>
      </c>
      <c r="I18" s="38">
        <f t="shared" si="1"/>
        <v>0</v>
      </c>
      <c r="J18" s="38">
        <f t="shared" si="2"/>
        <v>0</v>
      </c>
      <c r="K18" s="38">
        <f t="shared" si="3"/>
        <v>-7.815970093361102E-14</v>
      </c>
      <c r="L18" s="38">
        <f t="shared" si="4"/>
        <v>0</v>
      </c>
      <c r="M18" s="38">
        <f t="shared" si="5"/>
        <v>0</v>
      </c>
      <c r="N18" s="38">
        <f t="shared" si="0"/>
        <v>-7.815970093361102E-14</v>
      </c>
    </row>
    <row r="19" spans="1:14">
      <c r="A19" s="39">
        <v>15</v>
      </c>
      <c r="B19" s="144">
        <v>46127</v>
      </c>
      <c r="C19" s="145"/>
      <c r="D19" s="126"/>
      <c r="E19" s="126"/>
      <c r="F19" s="127">
        <f t="shared" si="7"/>
        <v>-3.5527136788005009E-15</v>
      </c>
      <c r="G19" s="127">
        <v>0</v>
      </c>
      <c r="H19" s="127">
        <v>0</v>
      </c>
      <c r="I19" s="38">
        <f t="shared" si="1"/>
        <v>0</v>
      </c>
      <c r="J19" s="38">
        <f t="shared" si="2"/>
        <v>0</v>
      </c>
      <c r="K19" s="38">
        <f t="shared" si="3"/>
        <v>-7.815970093361102E-14</v>
      </c>
      <c r="L19" s="38">
        <f t="shared" si="4"/>
        <v>0</v>
      </c>
      <c r="M19" s="38">
        <f t="shared" si="5"/>
        <v>0</v>
      </c>
      <c r="N19" s="38">
        <f t="shared" si="0"/>
        <v>-7.815970093361102E-14</v>
      </c>
    </row>
    <row r="20" spans="1:14">
      <c r="A20" s="39">
        <v>16</v>
      </c>
      <c r="B20" s="144">
        <v>46128</v>
      </c>
      <c r="C20" s="145"/>
      <c r="D20" s="126"/>
      <c r="E20" s="126"/>
      <c r="F20" s="127">
        <f t="shared" si="7"/>
        <v>-3.5527136788005009E-15</v>
      </c>
      <c r="G20" s="127">
        <v>0</v>
      </c>
      <c r="H20" s="127">
        <v>0</v>
      </c>
      <c r="I20" s="38">
        <f t="shared" si="1"/>
        <v>0</v>
      </c>
      <c r="J20" s="38">
        <f t="shared" si="2"/>
        <v>0</v>
      </c>
      <c r="K20" s="38">
        <f t="shared" si="3"/>
        <v>-7.815970093361102E-14</v>
      </c>
      <c r="L20" s="38">
        <f t="shared" si="4"/>
        <v>0</v>
      </c>
      <c r="M20" s="38">
        <f t="shared" si="5"/>
        <v>0</v>
      </c>
      <c r="N20" s="38">
        <f t="shared" si="0"/>
        <v>-7.815970093361102E-14</v>
      </c>
    </row>
    <row r="21" spans="1:14">
      <c r="A21" s="39">
        <v>17</v>
      </c>
      <c r="B21" s="144">
        <v>46129</v>
      </c>
      <c r="C21" s="145"/>
      <c r="D21" s="126"/>
      <c r="E21" s="126"/>
      <c r="F21" s="127">
        <f t="shared" si="7"/>
        <v>-3.5527136788005009E-15</v>
      </c>
      <c r="G21" s="127">
        <v>0</v>
      </c>
      <c r="H21" s="127">
        <v>0</v>
      </c>
      <c r="I21" s="38">
        <f t="shared" si="1"/>
        <v>0</v>
      </c>
      <c r="J21" s="38">
        <f t="shared" si="2"/>
        <v>0</v>
      </c>
      <c r="K21" s="38">
        <f t="shared" si="3"/>
        <v>-7.815970093361102E-14</v>
      </c>
      <c r="L21" s="38">
        <f t="shared" si="4"/>
        <v>0</v>
      </c>
      <c r="M21" s="38">
        <f t="shared" si="5"/>
        <v>0</v>
      </c>
      <c r="N21" s="38">
        <f t="shared" si="0"/>
        <v>-7.815970093361102E-14</v>
      </c>
    </row>
    <row r="22" spans="1:14">
      <c r="A22" s="39">
        <v>18</v>
      </c>
      <c r="B22" s="144">
        <v>46130</v>
      </c>
      <c r="C22" s="145"/>
      <c r="D22" s="126"/>
      <c r="E22" s="126"/>
      <c r="F22" s="127">
        <f t="shared" si="7"/>
        <v>-3.5527136788005009E-15</v>
      </c>
      <c r="G22" s="127">
        <v>0</v>
      </c>
      <c r="H22" s="127">
        <v>0</v>
      </c>
      <c r="I22" s="38">
        <f t="shared" si="1"/>
        <v>0</v>
      </c>
      <c r="J22" s="38">
        <f t="shared" si="2"/>
        <v>0</v>
      </c>
      <c r="K22" s="38">
        <f t="shared" si="3"/>
        <v>-7.815970093361102E-14</v>
      </c>
      <c r="L22" s="38">
        <f t="shared" si="4"/>
        <v>0</v>
      </c>
      <c r="M22" s="38">
        <f t="shared" si="5"/>
        <v>0</v>
      </c>
      <c r="N22" s="38">
        <f t="shared" si="0"/>
        <v>-7.815970093361102E-14</v>
      </c>
    </row>
    <row r="23" spans="1:14">
      <c r="A23" s="39">
        <v>19</v>
      </c>
      <c r="B23" s="144">
        <v>46131</v>
      </c>
      <c r="C23" s="145"/>
      <c r="D23" s="126"/>
      <c r="E23" s="126"/>
      <c r="F23" s="127">
        <f t="shared" si="7"/>
        <v>-3.5527136788005009E-15</v>
      </c>
      <c r="G23" s="127">
        <v>0</v>
      </c>
      <c r="H23" s="127">
        <v>0</v>
      </c>
      <c r="I23" s="38">
        <f t="shared" si="1"/>
        <v>0</v>
      </c>
      <c r="J23" s="38">
        <f t="shared" si="2"/>
        <v>0</v>
      </c>
      <c r="K23" s="38">
        <f t="shared" si="3"/>
        <v>-7.815970093361102E-14</v>
      </c>
      <c r="L23" s="38">
        <f t="shared" si="4"/>
        <v>0</v>
      </c>
      <c r="M23" s="38">
        <f t="shared" si="5"/>
        <v>0</v>
      </c>
      <c r="N23" s="38">
        <f t="shared" si="0"/>
        <v>-7.815970093361102E-14</v>
      </c>
    </row>
    <row r="24" spans="1:14">
      <c r="A24" s="39">
        <v>20</v>
      </c>
      <c r="B24" s="144">
        <v>46132</v>
      </c>
      <c r="C24" s="145"/>
      <c r="D24" s="126"/>
      <c r="E24" s="126"/>
      <c r="F24" s="127">
        <f t="shared" si="7"/>
        <v>-3.5527136788005009E-15</v>
      </c>
      <c r="G24" s="127">
        <v>0</v>
      </c>
      <c r="H24" s="127">
        <v>0</v>
      </c>
      <c r="I24" s="38">
        <f t="shared" si="1"/>
        <v>0</v>
      </c>
      <c r="J24" s="38">
        <f t="shared" si="2"/>
        <v>0</v>
      </c>
      <c r="K24" s="38">
        <f t="shared" si="3"/>
        <v>-7.815970093361102E-14</v>
      </c>
      <c r="L24" s="38">
        <f t="shared" si="4"/>
        <v>0</v>
      </c>
      <c r="M24" s="38">
        <f t="shared" si="5"/>
        <v>0</v>
      </c>
      <c r="N24" s="38">
        <f t="shared" si="0"/>
        <v>-7.815970093361102E-14</v>
      </c>
    </row>
    <row r="25" spans="1:14">
      <c r="A25" s="39">
        <v>21</v>
      </c>
      <c r="B25" s="144">
        <v>46133</v>
      </c>
      <c r="C25" s="145"/>
      <c r="D25" s="126"/>
      <c r="E25" s="126"/>
      <c r="F25" s="127">
        <f t="shared" si="7"/>
        <v>-3.5527136788005009E-15</v>
      </c>
      <c r="G25" s="127">
        <v>0</v>
      </c>
      <c r="H25" s="127">
        <v>0</v>
      </c>
      <c r="I25" s="38">
        <f t="shared" si="1"/>
        <v>0</v>
      </c>
      <c r="J25" s="38">
        <f t="shared" si="2"/>
        <v>0</v>
      </c>
      <c r="K25" s="38">
        <f t="shared" si="3"/>
        <v>-7.815970093361102E-14</v>
      </c>
      <c r="L25" s="38">
        <f t="shared" si="4"/>
        <v>0</v>
      </c>
      <c r="M25" s="38">
        <f t="shared" si="5"/>
        <v>0</v>
      </c>
      <c r="N25" s="38">
        <f t="shared" si="0"/>
        <v>-7.815970093361102E-14</v>
      </c>
    </row>
    <row r="26" spans="1:14">
      <c r="A26" s="39">
        <v>22</v>
      </c>
      <c r="B26" s="144">
        <v>46134</v>
      </c>
      <c r="C26" s="145"/>
      <c r="D26" s="126"/>
      <c r="E26" s="126"/>
      <c r="F26" s="127">
        <f t="shared" si="7"/>
        <v>-3.5527136788005009E-15</v>
      </c>
      <c r="G26" s="127">
        <v>0</v>
      </c>
      <c r="H26" s="127">
        <v>0</v>
      </c>
      <c r="I26" s="38">
        <f t="shared" si="1"/>
        <v>0</v>
      </c>
      <c r="J26" s="38">
        <f t="shared" si="2"/>
        <v>0</v>
      </c>
      <c r="K26" s="38">
        <f t="shared" si="3"/>
        <v>-7.815970093361102E-14</v>
      </c>
      <c r="L26" s="38">
        <f t="shared" si="4"/>
        <v>0</v>
      </c>
      <c r="M26" s="38">
        <f t="shared" si="5"/>
        <v>0</v>
      </c>
      <c r="N26" s="38">
        <f t="shared" si="0"/>
        <v>-7.815970093361102E-14</v>
      </c>
    </row>
    <row r="27" spans="1:14">
      <c r="A27" s="39">
        <v>23</v>
      </c>
      <c r="B27" s="144">
        <v>46135</v>
      </c>
      <c r="C27" s="145"/>
      <c r="D27" s="126"/>
      <c r="E27" s="126"/>
      <c r="F27" s="127">
        <f t="shared" si="7"/>
        <v>-3.5527136788005009E-15</v>
      </c>
      <c r="G27" s="127">
        <v>0</v>
      </c>
      <c r="H27" s="127">
        <v>0</v>
      </c>
      <c r="I27" s="38">
        <f t="shared" si="1"/>
        <v>0</v>
      </c>
      <c r="J27" s="38">
        <f t="shared" si="2"/>
        <v>0</v>
      </c>
      <c r="K27" s="38">
        <f t="shared" si="3"/>
        <v>-7.815970093361102E-14</v>
      </c>
      <c r="L27" s="38">
        <f t="shared" si="4"/>
        <v>0</v>
      </c>
      <c r="M27" s="38">
        <f t="shared" si="5"/>
        <v>0</v>
      </c>
      <c r="N27" s="38">
        <f t="shared" si="0"/>
        <v>-7.815970093361102E-14</v>
      </c>
    </row>
    <row r="28" spans="1:14">
      <c r="A28" s="39">
        <v>24</v>
      </c>
      <c r="B28" s="144">
        <v>46136</v>
      </c>
      <c r="C28" s="145"/>
      <c r="D28" s="126"/>
      <c r="E28" s="126"/>
      <c r="F28" s="127">
        <f t="shared" si="7"/>
        <v>-3.5527136788005009E-15</v>
      </c>
      <c r="G28" s="127">
        <v>0</v>
      </c>
      <c r="H28" s="127">
        <v>0</v>
      </c>
      <c r="I28" s="38">
        <f t="shared" si="1"/>
        <v>0</v>
      </c>
      <c r="J28" s="38">
        <f t="shared" si="2"/>
        <v>0</v>
      </c>
      <c r="K28" s="38">
        <f t="shared" si="3"/>
        <v>-7.815970093361102E-14</v>
      </c>
      <c r="L28" s="38">
        <f t="shared" si="4"/>
        <v>0</v>
      </c>
      <c r="M28" s="38">
        <f t="shared" si="5"/>
        <v>0</v>
      </c>
      <c r="N28" s="38">
        <f t="shared" si="0"/>
        <v>-7.815970093361102E-14</v>
      </c>
    </row>
    <row r="29" spans="1:14">
      <c r="A29" s="39">
        <v>25</v>
      </c>
      <c r="B29" s="144">
        <v>46137</v>
      </c>
      <c r="C29" s="145"/>
      <c r="D29" s="126"/>
      <c r="E29" s="126"/>
      <c r="F29" s="127">
        <f t="shared" si="7"/>
        <v>-3.5527136788005009E-15</v>
      </c>
      <c r="G29" s="127">
        <v>0</v>
      </c>
      <c r="H29" s="127">
        <v>0</v>
      </c>
      <c r="I29" s="38">
        <f t="shared" si="1"/>
        <v>0</v>
      </c>
      <c r="J29" s="38">
        <f t="shared" si="2"/>
        <v>0</v>
      </c>
      <c r="K29" s="38">
        <f t="shared" si="3"/>
        <v>-7.815970093361102E-14</v>
      </c>
      <c r="L29" s="38">
        <f t="shared" si="4"/>
        <v>0</v>
      </c>
      <c r="M29" s="38">
        <f t="shared" si="5"/>
        <v>0</v>
      </c>
      <c r="N29" s="38">
        <f t="shared" si="0"/>
        <v>-7.815970093361102E-14</v>
      </c>
    </row>
    <row r="30" spans="1:14">
      <c r="A30" s="39">
        <v>26</v>
      </c>
      <c r="B30" s="144">
        <v>46138</v>
      </c>
      <c r="C30" s="145"/>
      <c r="D30" s="126"/>
      <c r="E30" s="126"/>
      <c r="F30" s="127">
        <f t="shared" si="7"/>
        <v>-3.5527136788005009E-15</v>
      </c>
      <c r="G30" s="127">
        <v>0</v>
      </c>
      <c r="H30" s="127">
        <v>0</v>
      </c>
      <c r="I30" s="38">
        <f t="shared" si="1"/>
        <v>0</v>
      </c>
      <c r="J30" s="38">
        <f t="shared" si="2"/>
        <v>0</v>
      </c>
      <c r="K30" s="38">
        <f t="shared" si="3"/>
        <v>-7.815970093361102E-14</v>
      </c>
      <c r="L30" s="38">
        <f t="shared" si="4"/>
        <v>0</v>
      </c>
      <c r="M30" s="38">
        <f t="shared" si="5"/>
        <v>0</v>
      </c>
      <c r="N30" s="38">
        <f t="shared" si="0"/>
        <v>-7.815970093361102E-14</v>
      </c>
    </row>
    <row r="31" spans="1:14">
      <c r="A31" s="39">
        <v>27</v>
      </c>
      <c r="B31" s="144">
        <v>46139</v>
      </c>
      <c r="C31" s="145"/>
      <c r="D31" s="126"/>
      <c r="E31" s="126"/>
      <c r="F31" s="127">
        <f t="shared" si="7"/>
        <v>-3.5527136788005009E-15</v>
      </c>
      <c r="G31" s="127">
        <v>0</v>
      </c>
      <c r="H31" s="127">
        <v>0</v>
      </c>
      <c r="I31" s="38">
        <f t="shared" si="1"/>
        <v>0</v>
      </c>
      <c r="J31" s="38">
        <f t="shared" si="2"/>
        <v>0</v>
      </c>
      <c r="K31" s="38">
        <f t="shared" si="3"/>
        <v>-7.815970093361102E-14</v>
      </c>
      <c r="L31" s="38">
        <f t="shared" si="4"/>
        <v>0</v>
      </c>
      <c r="M31" s="38">
        <f t="shared" si="5"/>
        <v>0</v>
      </c>
      <c r="N31" s="38">
        <f t="shared" si="0"/>
        <v>-7.815970093361102E-14</v>
      </c>
    </row>
    <row r="32" spans="1:14">
      <c r="A32" s="39">
        <v>28</v>
      </c>
      <c r="B32" s="144">
        <v>46140</v>
      </c>
      <c r="C32" s="145"/>
      <c r="D32" s="126"/>
      <c r="E32" s="126"/>
      <c r="F32" s="127">
        <f t="shared" si="7"/>
        <v>-3.5527136788005009E-15</v>
      </c>
      <c r="G32" s="127">
        <v>0</v>
      </c>
      <c r="H32" s="127">
        <v>0</v>
      </c>
      <c r="I32" s="38">
        <f t="shared" si="1"/>
        <v>0</v>
      </c>
      <c r="J32" s="38">
        <f t="shared" si="2"/>
        <v>0</v>
      </c>
      <c r="K32" s="38">
        <f t="shared" si="3"/>
        <v>-7.815970093361102E-14</v>
      </c>
      <c r="L32" s="38">
        <f t="shared" si="4"/>
        <v>0</v>
      </c>
      <c r="M32" s="38">
        <f t="shared" si="5"/>
        <v>0</v>
      </c>
      <c r="N32" s="38">
        <f t="shared" si="0"/>
        <v>-7.815970093361102E-14</v>
      </c>
    </row>
    <row r="33" spans="1:14">
      <c r="A33" s="39">
        <v>29</v>
      </c>
      <c r="B33" s="144">
        <v>46141</v>
      </c>
      <c r="C33" s="145"/>
      <c r="D33" s="126"/>
      <c r="E33" s="126"/>
      <c r="F33" s="127">
        <f t="shared" si="7"/>
        <v>-3.5527136788005009E-15</v>
      </c>
      <c r="G33" s="127">
        <v>0</v>
      </c>
      <c r="H33" s="127">
        <v>0</v>
      </c>
      <c r="I33" s="38">
        <f t="shared" si="1"/>
        <v>0</v>
      </c>
      <c r="J33" s="38">
        <f t="shared" si="2"/>
        <v>0</v>
      </c>
      <c r="K33" s="38">
        <f t="shared" si="3"/>
        <v>-7.815970093361102E-14</v>
      </c>
      <c r="L33" s="38">
        <f t="shared" si="4"/>
        <v>0</v>
      </c>
      <c r="M33" s="38">
        <f t="shared" si="5"/>
        <v>0</v>
      </c>
      <c r="N33" s="38">
        <f t="shared" si="0"/>
        <v>-7.815970093361102E-14</v>
      </c>
    </row>
    <row r="34" spans="1:14">
      <c r="A34" s="39">
        <v>30</v>
      </c>
      <c r="B34" s="144">
        <v>46142</v>
      </c>
      <c r="C34" s="145"/>
      <c r="D34" s="126"/>
      <c r="E34" s="126"/>
      <c r="F34" s="127">
        <f t="shared" si="7"/>
        <v>-3.5527136788005009E-15</v>
      </c>
      <c r="G34" s="127">
        <v>0</v>
      </c>
      <c r="H34" s="127">
        <v>0</v>
      </c>
      <c r="I34" s="38">
        <f t="shared" si="1"/>
        <v>0</v>
      </c>
      <c r="J34" s="38">
        <f t="shared" si="2"/>
        <v>0</v>
      </c>
      <c r="K34" s="38">
        <f t="shared" si="3"/>
        <v>-7.815970093361102E-14</v>
      </c>
      <c r="L34" s="38">
        <f t="shared" si="4"/>
        <v>0</v>
      </c>
      <c r="M34" s="38">
        <f t="shared" si="5"/>
        <v>0</v>
      </c>
      <c r="N34" s="38">
        <f t="shared" si="0"/>
        <v>-7.815970093361102E-14</v>
      </c>
    </row>
    <row r="35" spans="1:14">
      <c r="A35" s="39"/>
      <c r="B35" s="144"/>
      <c r="C35" s="145"/>
      <c r="D35" s="126"/>
      <c r="E35" s="126"/>
      <c r="F35" s="127"/>
      <c r="G35" s="127">
        <v>0</v>
      </c>
      <c r="H35" s="127">
        <v>0</v>
      </c>
      <c r="I35" s="38">
        <f t="shared" si="1"/>
        <v>0</v>
      </c>
      <c r="J35" s="38">
        <f t="shared" si="2"/>
        <v>0</v>
      </c>
      <c r="K35" s="38">
        <f t="shared" si="3"/>
        <v>0</v>
      </c>
      <c r="L35" s="38">
        <f t="shared" si="4"/>
        <v>0</v>
      </c>
      <c r="M35" s="38">
        <f t="shared" si="5"/>
        <v>0</v>
      </c>
      <c r="N35" s="38">
        <f t="shared" si="0"/>
        <v>0</v>
      </c>
    </row>
    <row r="36" spans="1:14">
      <c r="D36" s="43">
        <f t="shared" ref="D36:N36" si="8">SUM(D5:D35)</f>
        <v>0</v>
      </c>
      <c r="E36" s="43">
        <f t="shared" si="8"/>
        <v>32.549999999999997</v>
      </c>
      <c r="F36" s="43">
        <f t="shared" si="8"/>
        <v>255.15000000000009</v>
      </c>
      <c r="G36" s="43">
        <f t="shared" si="8"/>
        <v>0</v>
      </c>
      <c r="H36" s="43">
        <f t="shared" si="8"/>
        <v>0</v>
      </c>
      <c r="I36" s="45">
        <f t="shared" si="8"/>
        <v>0</v>
      </c>
      <c r="J36" s="45">
        <f t="shared" si="8"/>
        <v>4231.5</v>
      </c>
      <c r="K36" s="45">
        <f t="shared" si="8"/>
        <v>5613.3000000000011</v>
      </c>
      <c r="L36" s="45">
        <f t="shared" si="8"/>
        <v>0</v>
      </c>
      <c r="M36" s="45">
        <f t="shared" si="8"/>
        <v>0</v>
      </c>
      <c r="N36" s="45">
        <f t="shared" si="8"/>
        <v>9844.8000000000029</v>
      </c>
    </row>
    <row r="37" spans="1:14">
      <c r="L37" s="46"/>
      <c r="M37" s="46"/>
      <c r="N37" s="47">
        <f>N36*1.22</f>
        <v>12010.656000000003</v>
      </c>
    </row>
  </sheetData>
  <mergeCells count="45">
    <mergeCell ref="A2:H2"/>
    <mergeCell ref="A3:A4"/>
    <mergeCell ref="B3:C4"/>
    <mergeCell ref="D3:D4"/>
    <mergeCell ref="E3:E4"/>
    <mergeCell ref="G3:G4"/>
    <mergeCell ref="H3:H4"/>
    <mergeCell ref="B15:C15"/>
    <mergeCell ref="Q3:R3"/>
    <mergeCell ref="B5:C5"/>
    <mergeCell ref="B6:C6"/>
    <mergeCell ref="B7:C7"/>
    <mergeCell ref="B8:C8"/>
    <mergeCell ref="B9:C9"/>
    <mergeCell ref="I3:I4"/>
    <mergeCell ref="J3:J4"/>
    <mergeCell ref="K3:K4"/>
    <mergeCell ref="L3:L4"/>
    <mergeCell ref="M3:M4"/>
    <mergeCell ref="N3:N4"/>
    <mergeCell ref="B10:C10"/>
    <mergeCell ref="B11:C11"/>
    <mergeCell ref="B12:C12"/>
    <mergeCell ref="B13:C13"/>
    <mergeCell ref="B14:C14"/>
    <mergeCell ref="B27:C27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34:C34"/>
    <mergeCell ref="B35:C35"/>
    <mergeCell ref="B28:C28"/>
    <mergeCell ref="B29:C29"/>
    <mergeCell ref="B30:C30"/>
    <mergeCell ref="B31:C31"/>
    <mergeCell ref="B32:C32"/>
    <mergeCell ref="B33:C33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1C2FF-DB1D-4273-B6DC-76D528DCDA92}">
  <dimension ref="A2:F21"/>
  <sheetViews>
    <sheetView workbookViewId="0">
      <selection activeCell="D10" sqref="D10"/>
    </sheetView>
  </sheetViews>
  <sheetFormatPr defaultRowHeight="15"/>
  <cols>
    <col min="1" max="1" width="9.140625" style="28" customWidth="1"/>
    <col min="2" max="2" width="32.28515625" style="28" customWidth="1"/>
    <col min="3" max="3" width="12.5703125" style="28" customWidth="1"/>
    <col min="4" max="4" width="13.28515625" style="28" customWidth="1"/>
    <col min="5" max="5" width="12.42578125" style="28" customWidth="1"/>
    <col min="6" max="6" width="16.42578125" style="28" customWidth="1"/>
    <col min="7" max="16384" width="9.140625" style="28"/>
  </cols>
  <sheetData>
    <row r="2" spans="1:6">
      <c r="A2" s="46" t="str">
        <f ca="1">IF(DAY(TODAY())&gt;27,"Акт  №    от  " &amp; TEXT(TODAY(),"ДД ММММ ГГГГ"),"Акт  №    от  " &amp; TEXT(TODAY()-DAY(TODAY()),"ДД ММММ ГГГГ"))</f>
        <v>Акт  №    от  31 Май 2026</v>
      </c>
    </row>
    <row r="3" spans="1:6">
      <c r="A3" s="46" t="str">
        <f ca="1">IF(DAY(TODAY()) &gt; 27, "выполненных работ (оказанных услуг) за " &amp; TEXT(TODAY(),"ММММ ГГГГ"),"выполненных работ (оказанных услуг) за " &amp; TEXT(TODAY()-DAY(TODAY()),"ММММ ГГГГ"))</f>
        <v>выполненных работ (оказанных услуг) за Май 2026</v>
      </c>
      <c r="B3" s="46"/>
      <c r="C3" s="46"/>
    </row>
    <row r="4" spans="1:6" ht="15" customHeight="1">
      <c r="A4" s="46" t="s">
        <v>144</v>
      </c>
      <c r="B4" s="46"/>
      <c r="C4" s="46"/>
    </row>
    <row r="5" spans="1:6">
      <c r="A5" s="28" t="s">
        <v>97</v>
      </c>
    </row>
    <row r="6" spans="1:6">
      <c r="A6" s="28" t="str">
        <f ca="1">IF(DAY(TODAY()) &gt; 27," Во исполнение Договора в период с " &amp; TEXT(TODAY()-DAY(TODAY()-DAY(TODAY())),"ДД ММММ ГГГГ") &amp; " г. По " &amp; TEXT(TODAY(),"ДД ММММ ГГГГ") &amp; "  г. ХРАНИТЕЛЬ оказал ПОКЛАЖЕДАТЕЛЮ следующие услуги (работы):"," Во исполнение Договора в период с " &amp; TEXT(TODAY()-DAY(TODAY())-DAY(TODAY()-DAY(TODAY()))+1,"ДД ММММ ГГГГ") &amp; " г. По " &amp; TEXT(TODAY()-DAY(TODAY()),"ДД ММММ ГГГГ") &amp; "  г. ХРАНИТЕЛЬ оказал ПОКЛАЖЕДАТЕЛЮ следующие услуги (работы):")</f>
        <v xml:space="preserve"> Во исполнение Договора в период с 01 Май 2026 г. По 31 Май 2026  г. ХРАНИТЕЛЬ оказал ПОКЛАЖЕДАТЕЛЮ следующие услуги (работы):</v>
      </c>
    </row>
    <row r="8" spans="1:6">
      <c r="A8" s="37" t="s">
        <v>0</v>
      </c>
      <c r="B8" s="37" t="s">
        <v>78</v>
      </c>
      <c r="C8" s="37" t="s">
        <v>79</v>
      </c>
      <c r="D8" s="37" t="s">
        <v>80</v>
      </c>
      <c r="E8" s="37" t="s">
        <v>81</v>
      </c>
      <c r="F8" s="37" t="s">
        <v>82</v>
      </c>
    </row>
    <row r="9" spans="1:6">
      <c r="A9" s="133">
        <v>1</v>
      </c>
      <c r="B9" s="28" t="s">
        <v>145</v>
      </c>
      <c r="C9" s="133" t="s">
        <v>146</v>
      </c>
      <c r="D9" s="134">
        <v>38.5</v>
      </c>
      <c r="E9" s="135">
        <v>950</v>
      </c>
      <c r="F9" s="135">
        <f>D9*E9</f>
        <v>36575</v>
      </c>
    </row>
    <row r="10" spans="1:6">
      <c r="A10" s="133">
        <v>2</v>
      </c>
      <c r="B10" s="37" t="s">
        <v>8</v>
      </c>
      <c r="C10" s="133" t="s">
        <v>146</v>
      </c>
      <c r="D10" s="134">
        <f>D9</f>
        <v>38.5</v>
      </c>
      <c r="E10" s="135">
        <v>120</v>
      </c>
      <c r="F10" s="135">
        <f t="shared" ref="F10:F11" si="0">D10*E10</f>
        <v>4620</v>
      </c>
    </row>
    <row r="11" spans="1:6">
      <c r="A11" s="133">
        <v>3</v>
      </c>
      <c r="B11" s="37" t="s">
        <v>147</v>
      </c>
      <c r="C11" s="133" t="s">
        <v>148</v>
      </c>
      <c r="D11" s="134">
        <v>38</v>
      </c>
      <c r="E11" s="135">
        <v>830</v>
      </c>
      <c r="F11" s="135">
        <f t="shared" si="0"/>
        <v>31540</v>
      </c>
    </row>
    <row r="12" spans="1:6">
      <c r="A12" s="28" t="s">
        <v>83</v>
      </c>
      <c r="F12" s="135">
        <f>SUM(F9:F11)</f>
        <v>72735</v>
      </c>
    </row>
    <row r="13" spans="1:6">
      <c r="A13" s="28" t="s">
        <v>84</v>
      </c>
      <c r="F13" s="135">
        <f>F12</f>
        <v>72735</v>
      </c>
    </row>
    <row r="14" spans="1:6">
      <c r="A14" s="28" t="s">
        <v>85</v>
      </c>
      <c r="F14" s="135">
        <f>F13*1.22</f>
        <v>88736.7</v>
      </c>
    </row>
    <row r="15" spans="1:6">
      <c r="A15" s="28" t="s">
        <v>86</v>
      </c>
    </row>
    <row r="16" spans="1:6">
      <c r="A16" s="28" t="s">
        <v>87</v>
      </c>
    </row>
    <row r="19" spans="1:4" ht="15" customHeight="1">
      <c r="A19" s="28" t="s">
        <v>89</v>
      </c>
      <c r="D19" s="28" t="s">
        <v>108</v>
      </c>
    </row>
    <row r="21" spans="1:4">
      <c r="A21" s="28" t="s">
        <v>109</v>
      </c>
      <c r="D21" s="28" t="s">
        <v>93</v>
      </c>
    </row>
  </sheetData>
  <pageMargins left="0.7" right="0.7" top="0.75" bottom="0.75" header="0.3" footer="0.3"/>
  <pageSetup paperSize="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01135-9F40-486C-B8A0-540699D2E10A}">
  <sheetPr>
    <pageSetUpPr fitToPage="1"/>
  </sheetPr>
  <dimension ref="A3:G22"/>
  <sheetViews>
    <sheetView topLeftCell="A2" workbookViewId="0">
      <selection activeCell="B16" sqref="B16"/>
    </sheetView>
  </sheetViews>
  <sheetFormatPr defaultRowHeight="15"/>
  <cols>
    <col min="1" max="1" width="18.85546875" style="28" customWidth="1"/>
    <col min="2" max="2" width="27.140625" style="28" customWidth="1"/>
    <col min="3" max="3" width="9.85546875" style="28" customWidth="1"/>
    <col min="4" max="4" width="11.28515625" style="28" customWidth="1"/>
    <col min="5" max="5" width="10.7109375" style="28" customWidth="1"/>
    <col min="6" max="6" width="14.5703125" style="28" customWidth="1"/>
    <col min="7" max="7" width="13.5703125" style="28" customWidth="1"/>
    <col min="8" max="16384" width="9.140625" style="28"/>
  </cols>
  <sheetData>
    <row r="3" spans="1:7">
      <c r="A3" s="46" t="str">
        <f ca="1">IF(DAY(TODAY())&gt;27,"Акт  №    от  " &amp; TEXT(TODAY(),"ДД ММММ ГГГГ"),"Акт  №    от  " &amp; TEXT(TODAY()-DAY(TODAY()),"ДД ММММ ГГГГ")) &amp; "г. Казань_Приволжская"</f>
        <v>Акт  №    от  31 Май 2026г. Казань_Приволжская</v>
      </c>
    </row>
    <row r="4" spans="1:7">
      <c r="A4" s="46" t="str">
        <f ca="1">IF(DAY(TODAY()) &gt; 27, "выполненных работ (оказанных услуг) за " &amp; TEXT(TODAY(),"ММММ ГГГГ"),"выполненных работ (оказанных услуг) за " &amp; TEXT(TODAY()-DAY(TODAY()),"ММММ ГГГГ"))</f>
        <v>выполненных работ (оказанных услуг) за Май 2026</v>
      </c>
      <c r="B4" s="46"/>
      <c r="C4" s="46"/>
    </row>
    <row r="5" spans="1:7">
      <c r="A5" s="46" t="s">
        <v>96</v>
      </c>
      <c r="B5" s="46"/>
      <c r="C5" s="46"/>
    </row>
    <row r="6" spans="1:7">
      <c r="A6" s="28" t="s">
        <v>97</v>
      </c>
    </row>
    <row r="7" spans="1:7">
      <c r="A7" s="28" t="str">
        <f ca="1">IF(DAY(TODAY()) &gt; 27,"Во исполнение Договора в период с " &amp; TEXT(TODAY()-DAY(TODAY()-DAY(TODAY())),"ДД ММММ ГГГГ") &amp; " г. По " &amp; TEXT(TODAY(),"ДД ММММ ГГГГ") &amp; "  г. ХРАНИТЕЛЬ оказал ПОКЛАЖЕДАТЕЛЮ следующие услуги (работы):"," Во исполнение Договора в период с " &amp; TEXT(TODAY()-DAY(TODAY())-DAY(TODAY()-DAY(TODAY()))+1,"ДД ММММ ГГГГ") &amp; " г. По " &amp; TEXT(TODAY()-DAY(TODAY()),"ДД ММММ ГГГГ") &amp; "  г. ХРАНИТЕЛЬ оказал ПОКЛАЖЕДАТЕЛЮ следующие услуги (работы):")</f>
        <v xml:space="preserve"> Во исполнение Договора в период с 01 Май 2026 г. По 31 Май 2026  г. ХРАНИТЕЛЬ оказал ПОКЛАЖЕДАТЕЛЮ следующие услуги (работы):</v>
      </c>
    </row>
    <row r="9" spans="1:7">
      <c r="A9" s="37" t="s">
        <v>0</v>
      </c>
      <c r="B9" s="37" t="s">
        <v>78</v>
      </c>
      <c r="C9" s="37" t="s">
        <v>79</v>
      </c>
      <c r="D9" s="37" t="s">
        <v>80</v>
      </c>
      <c r="E9" s="37" t="s">
        <v>81</v>
      </c>
      <c r="F9" s="37" t="s">
        <v>99</v>
      </c>
      <c r="G9" s="37" t="s">
        <v>100</v>
      </c>
    </row>
    <row r="10" spans="1:7">
      <c r="A10" s="133">
        <v>1</v>
      </c>
      <c r="B10" s="37" t="s">
        <v>101</v>
      </c>
      <c r="C10" s="133" t="s">
        <v>102</v>
      </c>
      <c r="D10" s="39">
        <v>8</v>
      </c>
      <c r="E10" s="136">
        <v>2000</v>
      </c>
      <c r="F10" s="136">
        <f>SUM(D10*E10)</f>
        <v>16000</v>
      </c>
      <c r="G10" s="136">
        <f>F10*1.22</f>
        <v>19520</v>
      </c>
    </row>
    <row r="11" spans="1:7">
      <c r="A11" s="133">
        <v>2</v>
      </c>
      <c r="B11" s="37" t="s">
        <v>103</v>
      </c>
      <c r="C11" s="133" t="s">
        <v>102</v>
      </c>
      <c r="D11" s="39"/>
      <c r="E11" s="136"/>
      <c r="F11" s="136">
        <f>SUM(D11*E11)</f>
        <v>0</v>
      </c>
      <c r="G11" s="136">
        <f>F11*1.2</f>
        <v>0</v>
      </c>
    </row>
    <row r="12" spans="1:7">
      <c r="A12" s="94"/>
      <c r="C12" s="94"/>
      <c r="D12" s="95"/>
      <c r="E12" s="80"/>
      <c r="F12" s="136">
        <f>SUM(F10:F11)</f>
        <v>16000</v>
      </c>
      <c r="G12" s="136">
        <f>SUM(G10:G11)</f>
        <v>19520</v>
      </c>
    </row>
    <row r="13" spans="1:7">
      <c r="A13" s="46" t="s">
        <v>104</v>
      </c>
      <c r="B13" s="46" t="s">
        <v>149</v>
      </c>
      <c r="C13" s="46"/>
      <c r="D13" s="46"/>
    </row>
    <row r="14" spans="1:7">
      <c r="A14" s="46" t="s">
        <v>106</v>
      </c>
      <c r="B14" s="46" t="str">
        <f>B13</f>
        <v>шестнадцать тысяч рублей ноль копеек</v>
      </c>
      <c r="C14" s="46"/>
      <c r="D14" s="46"/>
    </row>
    <row r="15" spans="1:7">
      <c r="A15" s="46" t="s">
        <v>85</v>
      </c>
      <c r="B15" s="46" t="s">
        <v>150</v>
      </c>
      <c r="F15" s="96"/>
      <c r="G15" s="96"/>
    </row>
    <row r="16" spans="1:7">
      <c r="A16" s="28" t="s">
        <v>86</v>
      </c>
    </row>
    <row r="17" spans="1:4">
      <c r="A17" s="28" t="s">
        <v>87</v>
      </c>
    </row>
    <row r="20" spans="1:4">
      <c r="A20" s="28" t="s">
        <v>89</v>
      </c>
      <c r="D20" s="28" t="s">
        <v>108</v>
      </c>
    </row>
    <row r="22" spans="1:4">
      <c r="A22" s="28" t="s">
        <v>109</v>
      </c>
      <c r="D22" s="28" t="s">
        <v>93</v>
      </c>
    </row>
  </sheetData>
  <pageMargins left="0.7" right="0.7" top="0.75" bottom="0.75" header="0.3" footer="0.3"/>
  <pageSetup paperSize="9" fitToHeight="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B9750-75AC-41EC-8B9C-2452604E2B4A}">
  <sheetPr>
    <pageSetUpPr fitToPage="1"/>
  </sheetPr>
  <dimension ref="A3:G22"/>
  <sheetViews>
    <sheetView topLeftCell="A2" workbookViewId="0">
      <selection activeCell="B16" sqref="B16"/>
    </sheetView>
  </sheetViews>
  <sheetFormatPr defaultRowHeight="15"/>
  <cols>
    <col min="1" max="1" width="18.85546875" style="28" customWidth="1"/>
    <col min="2" max="2" width="27.140625" style="28" customWidth="1"/>
    <col min="3" max="3" width="9.85546875" style="28" customWidth="1"/>
    <col min="4" max="4" width="11.28515625" style="28" customWidth="1"/>
    <col min="5" max="5" width="10.7109375" style="28" customWidth="1"/>
    <col min="6" max="6" width="14.5703125" style="28" customWidth="1"/>
    <col min="7" max="7" width="13.5703125" style="28" customWidth="1"/>
    <col min="8" max="16384" width="9.140625" style="28"/>
  </cols>
  <sheetData>
    <row r="3" spans="1:7">
      <c r="A3" s="46" t="str">
        <f ca="1">IF(DAY(TODAY())&gt;27,"Акт  №    от  " &amp; TEXT(TODAY(),"ДД ММММ ГГГГ"),"Акт  №    от  " &amp; TEXT(TODAY()-DAY(TODAY()),"ДД ММММ ГГГГ")) &amp; " г. Казань_Автосервисная"</f>
        <v>Акт  №    от  31 Май 2026 г. Казань_Автосервисная</v>
      </c>
    </row>
    <row r="4" spans="1:7">
      <c r="A4" s="46" t="str">
        <f ca="1">IF(DAY(TODAY()) &gt; 27, "выполненных работ (оказанных услуг) за " &amp; TEXT(TODAY(),"ММММ ГГГГ"),"выполненных работ (оказанных услуг) за " &amp; TEXT(TODAY()-DAY(TODAY()),"ММММ ГГГГ"))</f>
        <v>выполненных работ (оказанных услуг) за Май 2026</v>
      </c>
      <c r="B4" s="46"/>
      <c r="C4" s="46"/>
    </row>
    <row r="5" spans="1:7">
      <c r="A5" s="46" t="s">
        <v>96</v>
      </c>
      <c r="B5" s="46"/>
      <c r="C5" s="46"/>
    </row>
    <row r="6" spans="1:7">
      <c r="A6" s="28" t="s">
        <v>97</v>
      </c>
    </row>
    <row r="7" spans="1:7">
      <c r="A7" s="28" t="str">
        <f ca="1">IF(DAY(TODAY()) &gt; 27,"Во исполнение Договора в период с " &amp; TEXT(TODAY()-DAY(TODAY()-DAY(TODAY())),"ДД ММММ ГГГГ") &amp; " г. По " &amp; TEXT(TODAY(),"ДД ММММ ГГГГ") &amp; "  г. ХРАНИТЕЛЬ оказал ПОКЛАЖЕДАТЕЛЮ следующие услуги (работы):"," Во исполнение Договора в период с " &amp; TEXT(TODAY()-DAY(TODAY())-DAY(TODAY()-DAY(TODAY()))+1,"ДД ММММ ГГГГ") &amp; " г. По " &amp; TEXT(TODAY()-DAY(TODAY()),"ДД ММММ ГГГГ") &amp; "  г. ХРАНИТЕЛЬ оказал ПОКЛАЖЕДАТЕЛЮ следующие услуги (работы):")</f>
        <v xml:space="preserve"> Во исполнение Договора в период с 01 Май 2026 г. По 31 Май 2026  г. ХРАНИТЕЛЬ оказал ПОКЛАЖЕДАТЕЛЮ следующие услуги (работы):</v>
      </c>
    </row>
    <row r="9" spans="1:7">
      <c r="A9" s="37" t="s">
        <v>0</v>
      </c>
      <c r="B9" s="37" t="s">
        <v>78</v>
      </c>
      <c r="C9" s="37" t="s">
        <v>79</v>
      </c>
      <c r="D9" s="37" t="s">
        <v>80</v>
      </c>
      <c r="E9" s="37" t="s">
        <v>81</v>
      </c>
      <c r="F9" s="37" t="s">
        <v>99</v>
      </c>
      <c r="G9" s="37" t="s">
        <v>100</v>
      </c>
    </row>
    <row r="10" spans="1:7">
      <c r="A10" s="133">
        <v>1</v>
      </c>
      <c r="B10" s="37" t="s">
        <v>101</v>
      </c>
      <c r="C10" s="133" t="s">
        <v>102</v>
      </c>
      <c r="D10" s="39">
        <v>39</v>
      </c>
      <c r="E10" s="136">
        <v>2000</v>
      </c>
      <c r="F10" s="136">
        <f>SUM(D10*E10)</f>
        <v>78000</v>
      </c>
      <c r="G10" s="136">
        <f>F10*1.22</f>
        <v>95160</v>
      </c>
    </row>
    <row r="11" spans="1:7">
      <c r="A11" s="133">
        <v>2</v>
      </c>
      <c r="B11" s="37" t="s">
        <v>103</v>
      </c>
      <c r="C11" s="133" t="s">
        <v>102</v>
      </c>
      <c r="D11" s="39"/>
      <c r="E11" s="136"/>
      <c r="F11" s="136">
        <f>SUM(D11*E11)</f>
        <v>0</v>
      </c>
      <c r="G11" s="136">
        <f>F11*1.2</f>
        <v>0</v>
      </c>
    </row>
    <row r="12" spans="1:7">
      <c r="A12" s="94"/>
      <c r="C12" s="94"/>
      <c r="D12" s="95"/>
      <c r="E12" s="80"/>
      <c r="F12" s="136">
        <f>SUM(F10:F11)</f>
        <v>78000</v>
      </c>
      <c r="G12" s="136">
        <f>SUM(G10:G11)</f>
        <v>95160</v>
      </c>
    </row>
    <row r="13" spans="1:7">
      <c r="A13" s="46" t="s">
        <v>104</v>
      </c>
      <c r="B13" s="46" t="s">
        <v>151</v>
      </c>
      <c r="C13" s="46"/>
      <c r="D13" s="46"/>
    </row>
    <row r="14" spans="1:7">
      <c r="A14" s="46" t="s">
        <v>106</v>
      </c>
      <c r="B14" s="46" t="str">
        <f>B13</f>
        <v>семьдесят восемь тысяч рублей ноль копеек</v>
      </c>
      <c r="C14" s="46"/>
      <c r="D14" s="46"/>
    </row>
    <row r="15" spans="1:7">
      <c r="A15" s="46" t="s">
        <v>85</v>
      </c>
      <c r="B15" s="46" t="s">
        <v>152</v>
      </c>
      <c r="F15" s="96"/>
      <c r="G15" s="96"/>
    </row>
    <row r="16" spans="1:7">
      <c r="A16" s="28" t="s">
        <v>86</v>
      </c>
    </row>
    <row r="17" spans="1:4">
      <c r="A17" s="28" t="s">
        <v>87</v>
      </c>
    </row>
    <row r="20" spans="1:4">
      <c r="A20" s="28" t="s">
        <v>89</v>
      </c>
      <c r="D20" s="28" t="s">
        <v>108</v>
      </c>
    </row>
    <row r="22" spans="1:4">
      <c r="A22" s="28" t="s">
        <v>109</v>
      </c>
      <c r="D22" s="28" t="s">
        <v>93</v>
      </c>
    </row>
  </sheetData>
  <pageMargins left="0.7" right="0.7" top="0.75" bottom="0.75" header="0.3" footer="0.3"/>
  <pageSetup paperSize="9" fitToHeight="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3DA91-1FCF-455B-A293-1FAB06D06D42}">
  <sheetPr>
    <pageSetUpPr fitToPage="1"/>
  </sheetPr>
  <dimension ref="A3:G22"/>
  <sheetViews>
    <sheetView topLeftCell="A2" workbookViewId="0">
      <selection activeCell="B16" sqref="B16"/>
    </sheetView>
  </sheetViews>
  <sheetFormatPr defaultRowHeight="15"/>
  <cols>
    <col min="1" max="1" width="18.85546875" style="28" customWidth="1"/>
    <col min="2" max="2" width="27.140625" style="28" customWidth="1"/>
    <col min="3" max="3" width="9.85546875" style="28" customWidth="1"/>
    <col min="4" max="4" width="11.28515625" style="28" customWidth="1"/>
    <col min="5" max="5" width="10.7109375" style="28" customWidth="1"/>
    <col min="6" max="6" width="14.5703125" style="28" customWidth="1"/>
    <col min="7" max="7" width="13.5703125" style="28" customWidth="1"/>
    <col min="8" max="16384" width="9.140625" style="28"/>
  </cols>
  <sheetData>
    <row r="3" spans="1:7">
      <c r="A3" s="46" t="str">
        <f ca="1">IF(DAY(TODAY())&gt;27,"Акт  №    от  " &amp; TEXT(TODAY(),"ДД ММММ ГГГГ"),"Акт  №    от  " &amp; TEXT(TODAY()-DAY(TODAY()),"ДД ММММ ГГГГ")) &amp; " г. Екатеринбург"</f>
        <v>Акт  №    от  31 Май 2026 г. Екатеринбург</v>
      </c>
    </row>
    <row r="4" spans="1:7">
      <c r="A4" s="46" t="str">
        <f ca="1">IF(DAY(TODAY()) &gt; 27, "выполненных работ (оказанных услуг) за " &amp; TEXT(TODAY(),"ММММ ГГГГ"),"выполненных работ (оказанных услуг) за " &amp; TEXT(TODAY()-DAY(TODAY()),"ММММ ГГГГ"))</f>
        <v>выполненных работ (оказанных услуг) за Май 2026</v>
      </c>
      <c r="B4" s="46"/>
      <c r="C4" s="46"/>
    </row>
    <row r="5" spans="1:7">
      <c r="A5" s="46" t="s">
        <v>96</v>
      </c>
      <c r="B5" s="46"/>
      <c r="C5" s="46"/>
    </row>
    <row r="6" spans="1:7">
      <c r="A6" s="28" t="s">
        <v>97</v>
      </c>
    </row>
    <row r="7" spans="1:7">
      <c r="A7" s="28" t="str">
        <f ca="1">IF(DAY(TODAY()) &gt; 27,"Во исполнение Договора в период с " &amp; TEXT(TODAY()-DAY(TODAY()-DAY(TODAY())),"ДД ММММ ГГГГ") &amp; " г. По " &amp; TEXT(TODAY(),"ДД ММММ ГГГГ") &amp; "  г. ХРАНИТЕЛЬ оказал ПОКЛАЖЕДАТЕЛЮ следующие услуги (работы):"," Во исполнение Договора в период с " &amp; TEXT(TODAY()-DAY(TODAY())-DAY(TODAY()-DAY(TODAY()))+1,"ДД ММММ ГГГГ") &amp; " г. По " &amp; TEXT(TODAY()-DAY(TODAY()),"ДД ММММ ГГГГ") &amp; "  г. ХРАНИТЕЛЬ оказал ПОКЛАЖЕДАТЕЛЮ следующие услуги (работы):")</f>
        <v xml:space="preserve"> Во исполнение Договора в период с 01 Май 2026 г. По 31 Май 2026  г. ХРАНИТЕЛЬ оказал ПОКЛАЖЕДАТЕЛЮ следующие услуги (работы):</v>
      </c>
    </row>
    <row r="9" spans="1:7">
      <c r="A9" s="37" t="s">
        <v>0</v>
      </c>
      <c r="B9" s="37" t="s">
        <v>78</v>
      </c>
      <c r="C9" s="37" t="s">
        <v>79</v>
      </c>
      <c r="D9" s="37" t="s">
        <v>80</v>
      </c>
      <c r="E9" s="37" t="s">
        <v>81</v>
      </c>
      <c r="F9" s="37" t="s">
        <v>99</v>
      </c>
      <c r="G9" s="37" t="s">
        <v>100</v>
      </c>
    </row>
    <row r="10" spans="1:7">
      <c r="A10" s="133">
        <v>1</v>
      </c>
      <c r="B10" s="37" t="s">
        <v>101</v>
      </c>
      <c r="C10" s="133" t="s">
        <v>102</v>
      </c>
      <c r="D10" s="39">
        <v>65</v>
      </c>
      <c r="E10" s="136">
        <v>2000</v>
      </c>
      <c r="F10" s="136">
        <f>SUM(D10*E10)</f>
        <v>130000</v>
      </c>
      <c r="G10" s="136">
        <f>F10*1.22</f>
        <v>158600</v>
      </c>
    </row>
    <row r="11" spans="1:7">
      <c r="A11" s="133">
        <v>2</v>
      </c>
      <c r="B11" s="37" t="s">
        <v>103</v>
      </c>
      <c r="C11" s="133" t="s">
        <v>102</v>
      </c>
      <c r="D11" s="39"/>
      <c r="E11" s="136"/>
      <c r="F11" s="136">
        <f>SUM(D11*E11)</f>
        <v>0</v>
      </c>
      <c r="G11" s="136">
        <f>F11*1.2</f>
        <v>0</v>
      </c>
    </row>
    <row r="12" spans="1:7">
      <c r="A12" s="94"/>
      <c r="C12" s="94"/>
      <c r="D12" s="95"/>
      <c r="E12" s="80"/>
      <c r="F12" s="136">
        <f>SUM(F10:F11)</f>
        <v>130000</v>
      </c>
      <c r="G12" s="136">
        <f>SUM(G10:G11)</f>
        <v>158600</v>
      </c>
    </row>
    <row r="13" spans="1:7">
      <c r="A13" s="46" t="s">
        <v>104</v>
      </c>
      <c r="B13" s="46" t="s">
        <v>153</v>
      </c>
      <c r="C13" s="46"/>
      <c r="D13" s="46"/>
    </row>
    <row r="14" spans="1:7">
      <c r="A14" s="46" t="s">
        <v>106</v>
      </c>
      <c r="B14" s="46" t="str">
        <f>B13</f>
        <v>сто тридцать тысяч рублей ноль копеек</v>
      </c>
      <c r="C14" s="46"/>
      <c r="D14" s="46"/>
    </row>
    <row r="15" spans="1:7">
      <c r="A15" s="46" t="s">
        <v>85</v>
      </c>
      <c r="B15" s="46" t="s">
        <v>154</v>
      </c>
      <c r="F15" s="96"/>
      <c r="G15" s="96"/>
    </row>
    <row r="16" spans="1:7">
      <c r="A16" s="28" t="s">
        <v>86</v>
      </c>
    </row>
    <row r="17" spans="1:4">
      <c r="A17" s="28" t="s">
        <v>87</v>
      </c>
    </row>
    <row r="20" spans="1:4">
      <c r="A20" s="28" t="s">
        <v>89</v>
      </c>
      <c r="D20" s="28" t="s">
        <v>108</v>
      </c>
    </row>
    <row r="22" spans="1:4">
      <c r="A22" s="28" t="s">
        <v>109</v>
      </c>
      <c r="D22" s="28" t="s">
        <v>93</v>
      </c>
    </row>
  </sheetData>
  <pageMargins left="0.7" right="0.7" top="0.75" bottom="0.75" header="0.3" footer="0.3"/>
  <pageSetup paperSize="9" fitToHeight="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1B347-0525-4500-AAAE-C62C8858C7A0}">
  <sheetPr>
    <pageSetUpPr fitToPage="1"/>
  </sheetPr>
  <dimension ref="A1:T37"/>
  <sheetViews>
    <sheetView workbookViewId="0">
      <selection activeCell="Q37" sqref="Q37"/>
    </sheetView>
  </sheetViews>
  <sheetFormatPr defaultRowHeight="15"/>
  <cols>
    <col min="1" max="3" width="9.140625" style="28"/>
    <col min="4" max="4" width="11.7109375" style="28" customWidth="1"/>
    <col min="5" max="5" width="12.140625" style="28" customWidth="1"/>
    <col min="6" max="6" width="13.28515625" style="28" customWidth="1"/>
    <col min="7" max="7" width="11.42578125" style="28" customWidth="1"/>
    <col min="8" max="8" width="10.42578125" style="28" customWidth="1"/>
    <col min="9" max="9" width="10.5703125" style="28" bestFit="1" customWidth="1"/>
    <col min="10" max="10" width="9.42578125" style="28" bestFit="1" customWidth="1"/>
    <col min="11" max="12" width="9.140625" style="28"/>
    <col min="13" max="13" width="15.140625" style="28" customWidth="1"/>
    <col min="14" max="14" width="13.5703125" style="28" customWidth="1"/>
    <col min="15" max="15" width="14.5703125" style="28" customWidth="1"/>
    <col min="16" max="16" width="14.5703125" style="28" bestFit="1" customWidth="1"/>
    <col min="17" max="17" width="15" style="28" customWidth="1"/>
    <col min="18" max="18" width="13.28515625" style="28" customWidth="1"/>
    <col min="19" max="19" width="11.7109375" style="28" customWidth="1"/>
    <col min="20" max="20" width="24.28515625" style="28" customWidth="1"/>
    <col min="21" max="16384" width="9.140625" style="28"/>
  </cols>
  <sheetData>
    <row r="1" spans="1:20">
      <c r="I1" s="29"/>
    </row>
    <row r="2" spans="1:20" ht="28.9" customHeight="1">
      <c r="A2" s="149" t="s">
        <v>155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</row>
    <row r="3" spans="1:20" ht="28.9" customHeight="1">
      <c r="A3" s="146" t="s">
        <v>0</v>
      </c>
      <c r="B3" s="150" t="s">
        <v>1</v>
      </c>
      <c r="C3" s="151"/>
      <c r="D3" s="146" t="s">
        <v>2</v>
      </c>
      <c r="E3" s="146" t="s">
        <v>3</v>
      </c>
      <c r="F3" s="30" t="s">
        <v>4</v>
      </c>
      <c r="G3" s="146" t="s">
        <v>156</v>
      </c>
      <c r="H3" s="146" t="s">
        <v>157</v>
      </c>
      <c r="I3" s="146" t="s">
        <v>7</v>
      </c>
      <c r="J3" s="146" t="s">
        <v>8</v>
      </c>
      <c r="K3" s="146" t="s">
        <v>158</v>
      </c>
      <c r="L3" s="146" t="s">
        <v>159</v>
      </c>
      <c r="M3" s="146" t="s">
        <v>160</v>
      </c>
      <c r="N3" s="146" t="s">
        <v>161</v>
      </c>
      <c r="O3" s="146" t="s">
        <v>162</v>
      </c>
      <c r="P3" s="146" t="s">
        <v>163</v>
      </c>
      <c r="Q3" s="146" t="s">
        <v>164</v>
      </c>
      <c r="R3" s="146" t="s">
        <v>16</v>
      </c>
      <c r="S3" s="146" t="s">
        <v>17</v>
      </c>
      <c r="T3" s="146" t="s">
        <v>18</v>
      </c>
    </row>
    <row r="4" spans="1:20" ht="27" customHeight="1">
      <c r="A4" s="147"/>
      <c r="B4" s="152"/>
      <c r="C4" s="153"/>
      <c r="D4" s="147"/>
      <c r="E4" s="147"/>
      <c r="F4" s="31"/>
      <c r="G4" s="147"/>
      <c r="H4" s="147"/>
      <c r="I4" s="147"/>
      <c r="J4" s="147"/>
      <c r="K4" s="148"/>
      <c r="L4" s="148"/>
      <c r="M4" s="147"/>
      <c r="N4" s="147"/>
      <c r="O4" s="147"/>
      <c r="P4" s="147"/>
      <c r="Q4" s="147"/>
      <c r="R4" s="147"/>
      <c r="S4" s="147"/>
      <c r="T4" s="147"/>
    </row>
    <row r="5" spans="1:20">
      <c r="A5" s="32">
        <v>1</v>
      </c>
      <c r="B5" s="144" t="s">
        <v>165</v>
      </c>
      <c r="C5" s="145"/>
      <c r="D5" s="127">
        <v>0</v>
      </c>
      <c r="E5" s="127">
        <v>0</v>
      </c>
      <c r="F5" s="127">
        <v>27.475000000000001</v>
      </c>
      <c r="G5" s="137">
        <v>0</v>
      </c>
      <c r="H5" s="137">
        <v>0</v>
      </c>
      <c r="I5" s="36">
        <v>0</v>
      </c>
      <c r="J5" s="36">
        <v>0</v>
      </c>
      <c r="K5" s="37">
        <v>0</v>
      </c>
      <c r="L5" s="138">
        <v>0</v>
      </c>
      <c r="M5" s="138">
        <v>0</v>
      </c>
      <c r="N5" s="138">
        <v>0</v>
      </c>
      <c r="O5" s="138">
        <v>0</v>
      </c>
      <c r="P5" s="138">
        <v>0</v>
      </c>
      <c r="Q5" s="138">
        <v>0</v>
      </c>
      <c r="R5" s="138">
        <v>0</v>
      </c>
      <c r="S5" s="138">
        <v>0</v>
      </c>
      <c r="T5" s="138">
        <v>0</v>
      </c>
    </row>
    <row r="6" spans="1:20">
      <c r="A6" s="39">
        <v>2</v>
      </c>
      <c r="B6" s="144" t="s">
        <v>166</v>
      </c>
      <c r="C6" s="145"/>
      <c r="D6" s="127">
        <v>0</v>
      </c>
      <c r="E6" s="127">
        <v>0</v>
      </c>
      <c r="F6" s="127">
        <v>27.475000000000001</v>
      </c>
      <c r="G6" s="137">
        <v>0</v>
      </c>
      <c r="H6" s="137">
        <v>0</v>
      </c>
      <c r="I6" s="36">
        <v>0</v>
      </c>
      <c r="J6" s="36">
        <v>0</v>
      </c>
      <c r="K6" s="37">
        <v>0</v>
      </c>
      <c r="L6" s="138">
        <v>0</v>
      </c>
      <c r="M6" s="138">
        <v>0</v>
      </c>
      <c r="N6" s="138">
        <v>0</v>
      </c>
      <c r="O6" s="138">
        <v>0</v>
      </c>
      <c r="P6" s="138">
        <v>0</v>
      </c>
      <c r="Q6" s="138">
        <v>0</v>
      </c>
      <c r="R6" s="138">
        <v>0</v>
      </c>
      <c r="S6" s="138">
        <v>0</v>
      </c>
      <c r="T6" s="138">
        <v>0</v>
      </c>
    </row>
    <row r="7" spans="1:20">
      <c r="A7" s="39">
        <v>3</v>
      </c>
      <c r="B7" s="144" t="s">
        <v>167</v>
      </c>
      <c r="C7" s="145"/>
      <c r="D7" s="127">
        <v>22</v>
      </c>
      <c r="E7" s="127">
        <v>0</v>
      </c>
      <c r="F7" s="127">
        <v>49.475000000000001</v>
      </c>
      <c r="G7" s="137">
        <v>0</v>
      </c>
      <c r="H7" s="137">
        <v>0</v>
      </c>
      <c r="I7" s="36">
        <v>0</v>
      </c>
      <c r="J7" s="36">
        <v>0</v>
      </c>
      <c r="K7" s="37">
        <v>0</v>
      </c>
      <c r="L7" s="138">
        <v>0</v>
      </c>
      <c r="M7" s="138">
        <v>0</v>
      </c>
      <c r="N7" s="138">
        <v>0</v>
      </c>
      <c r="O7" s="138">
        <v>0</v>
      </c>
      <c r="P7" s="138">
        <v>0</v>
      </c>
      <c r="Q7" s="138">
        <v>0</v>
      </c>
      <c r="R7" s="138">
        <v>0</v>
      </c>
      <c r="S7" s="138">
        <v>0</v>
      </c>
      <c r="T7" s="138">
        <v>0</v>
      </c>
    </row>
    <row r="8" spans="1:20">
      <c r="A8" s="39">
        <v>4</v>
      </c>
      <c r="B8" s="144" t="s">
        <v>168</v>
      </c>
      <c r="C8" s="145"/>
      <c r="D8" s="127">
        <v>0</v>
      </c>
      <c r="E8" s="127">
        <v>0</v>
      </c>
      <c r="F8" s="127">
        <v>49.475000000000001</v>
      </c>
      <c r="G8" s="137">
        <v>0</v>
      </c>
      <c r="H8" s="137">
        <v>0</v>
      </c>
      <c r="I8" s="36">
        <v>0</v>
      </c>
      <c r="J8" s="36">
        <v>0</v>
      </c>
      <c r="K8" s="37">
        <v>0</v>
      </c>
      <c r="L8" s="138">
        <v>0</v>
      </c>
      <c r="M8" s="138">
        <v>0</v>
      </c>
      <c r="N8" s="138">
        <v>0</v>
      </c>
      <c r="O8" s="138">
        <v>0</v>
      </c>
      <c r="P8" s="138">
        <v>0</v>
      </c>
      <c r="Q8" s="138">
        <v>0</v>
      </c>
      <c r="R8" s="138">
        <v>0</v>
      </c>
      <c r="S8" s="138">
        <v>0</v>
      </c>
      <c r="T8" s="138">
        <v>0</v>
      </c>
    </row>
    <row r="9" spans="1:20">
      <c r="A9" s="39">
        <v>5</v>
      </c>
      <c r="B9" s="144" t="s">
        <v>169</v>
      </c>
      <c r="C9" s="145"/>
      <c r="D9" s="127">
        <v>44</v>
      </c>
      <c r="E9" s="127">
        <v>0</v>
      </c>
      <c r="F9" s="127">
        <v>93.474999999999994</v>
      </c>
      <c r="G9" s="137">
        <v>0</v>
      </c>
      <c r="H9" s="137">
        <v>0</v>
      </c>
      <c r="I9" s="36">
        <v>0</v>
      </c>
      <c r="J9" s="36">
        <v>0</v>
      </c>
      <c r="K9" s="37">
        <v>0</v>
      </c>
      <c r="L9" s="138">
        <v>0</v>
      </c>
      <c r="M9" s="138">
        <v>0</v>
      </c>
      <c r="N9" s="138">
        <v>0</v>
      </c>
      <c r="O9" s="138">
        <v>0</v>
      </c>
      <c r="P9" s="138">
        <v>0</v>
      </c>
      <c r="Q9" s="138">
        <v>0</v>
      </c>
      <c r="R9" s="138">
        <v>0</v>
      </c>
      <c r="S9" s="138">
        <v>0</v>
      </c>
      <c r="T9" s="138">
        <v>0</v>
      </c>
    </row>
    <row r="10" spans="1:20">
      <c r="A10" s="39">
        <v>6</v>
      </c>
      <c r="B10" s="144" t="s">
        <v>170</v>
      </c>
      <c r="C10" s="145"/>
      <c r="D10" s="127">
        <v>22</v>
      </c>
      <c r="E10" s="127">
        <v>0</v>
      </c>
      <c r="F10" s="127">
        <v>115.47499999999999</v>
      </c>
      <c r="G10" s="137">
        <v>0</v>
      </c>
      <c r="H10" s="137">
        <v>0</v>
      </c>
      <c r="I10" s="36">
        <v>0</v>
      </c>
      <c r="J10" s="36">
        <v>0</v>
      </c>
      <c r="K10" s="37">
        <v>0</v>
      </c>
      <c r="L10" s="138">
        <v>0</v>
      </c>
      <c r="M10" s="138">
        <v>0</v>
      </c>
      <c r="N10" s="138">
        <v>0</v>
      </c>
      <c r="O10" s="138">
        <v>0</v>
      </c>
      <c r="P10" s="138">
        <v>0</v>
      </c>
      <c r="Q10" s="138">
        <v>0</v>
      </c>
      <c r="R10" s="138">
        <v>0</v>
      </c>
      <c r="S10" s="138">
        <v>0</v>
      </c>
      <c r="T10" s="138">
        <v>0</v>
      </c>
    </row>
    <row r="11" spans="1:20">
      <c r="A11" s="39">
        <v>7</v>
      </c>
      <c r="B11" s="144" t="s">
        <v>171</v>
      </c>
      <c r="C11" s="145"/>
      <c r="D11" s="127">
        <v>0</v>
      </c>
      <c r="E11" s="127">
        <v>0</v>
      </c>
      <c r="F11" s="127">
        <v>115.47499999999999</v>
      </c>
      <c r="G11" s="137">
        <v>0</v>
      </c>
      <c r="H11" s="137">
        <v>0</v>
      </c>
      <c r="I11" s="36">
        <v>0</v>
      </c>
      <c r="J11" s="36">
        <v>0</v>
      </c>
      <c r="K11" s="37">
        <v>0</v>
      </c>
      <c r="L11" s="138">
        <v>0</v>
      </c>
      <c r="M11" s="138">
        <v>0</v>
      </c>
      <c r="N11" s="138">
        <v>0</v>
      </c>
      <c r="O11" s="138">
        <v>0</v>
      </c>
      <c r="P11" s="138">
        <v>0</v>
      </c>
      <c r="Q11" s="138">
        <v>0</v>
      </c>
      <c r="R11" s="138">
        <v>0</v>
      </c>
      <c r="S11" s="138">
        <v>0</v>
      </c>
      <c r="T11" s="138">
        <v>0</v>
      </c>
    </row>
    <row r="12" spans="1:20">
      <c r="A12" s="39">
        <v>8</v>
      </c>
      <c r="B12" s="144" t="s">
        <v>172</v>
      </c>
      <c r="C12" s="145"/>
      <c r="D12" s="127">
        <v>0</v>
      </c>
      <c r="E12" s="127">
        <v>22</v>
      </c>
      <c r="F12" s="127">
        <v>93.474999999999994</v>
      </c>
      <c r="G12" s="137">
        <v>0</v>
      </c>
      <c r="H12" s="137">
        <v>0</v>
      </c>
      <c r="I12" s="36">
        <v>0</v>
      </c>
      <c r="J12" s="36">
        <v>0</v>
      </c>
      <c r="K12" s="37">
        <v>0</v>
      </c>
      <c r="L12" s="138">
        <v>0</v>
      </c>
      <c r="M12" s="138">
        <v>0</v>
      </c>
      <c r="N12" s="138">
        <v>0</v>
      </c>
      <c r="O12" s="138">
        <v>0</v>
      </c>
      <c r="P12" s="138">
        <v>0</v>
      </c>
      <c r="Q12" s="138">
        <v>0</v>
      </c>
      <c r="R12" s="138">
        <v>0</v>
      </c>
      <c r="S12" s="138">
        <v>0</v>
      </c>
      <c r="T12" s="138">
        <v>0</v>
      </c>
    </row>
    <row r="13" spans="1:20">
      <c r="A13" s="39">
        <v>9</v>
      </c>
      <c r="B13" s="144" t="s">
        <v>173</v>
      </c>
      <c r="C13" s="145"/>
      <c r="D13" s="127">
        <v>0</v>
      </c>
      <c r="E13" s="127">
        <v>0</v>
      </c>
      <c r="F13" s="127">
        <v>93.474999999999994</v>
      </c>
      <c r="G13" s="137">
        <v>0</v>
      </c>
      <c r="H13" s="137">
        <v>0</v>
      </c>
      <c r="I13" s="36">
        <v>0</v>
      </c>
      <c r="J13" s="36">
        <v>0</v>
      </c>
      <c r="K13" s="37">
        <v>0</v>
      </c>
      <c r="L13" s="138">
        <v>0</v>
      </c>
      <c r="M13" s="138">
        <v>0</v>
      </c>
      <c r="N13" s="138">
        <v>0</v>
      </c>
      <c r="O13" s="138">
        <v>0</v>
      </c>
      <c r="P13" s="138">
        <v>0</v>
      </c>
      <c r="Q13" s="138">
        <v>0</v>
      </c>
      <c r="R13" s="138">
        <v>0</v>
      </c>
      <c r="S13" s="138">
        <v>0</v>
      </c>
      <c r="T13" s="138">
        <v>0</v>
      </c>
    </row>
    <row r="14" spans="1:20">
      <c r="A14" s="39">
        <v>10</v>
      </c>
      <c r="B14" s="144" t="s">
        <v>174</v>
      </c>
      <c r="C14" s="145"/>
      <c r="D14" s="127">
        <v>0</v>
      </c>
      <c r="E14" s="127">
        <v>0</v>
      </c>
      <c r="F14" s="127">
        <v>93.474999999999994</v>
      </c>
      <c r="G14" s="137">
        <v>0</v>
      </c>
      <c r="H14" s="137">
        <v>0</v>
      </c>
      <c r="I14" s="36">
        <v>0</v>
      </c>
      <c r="J14" s="36">
        <v>0</v>
      </c>
      <c r="K14" s="37">
        <v>0</v>
      </c>
      <c r="L14" s="138">
        <v>0</v>
      </c>
      <c r="M14" s="138">
        <v>0</v>
      </c>
      <c r="N14" s="138">
        <v>0</v>
      </c>
      <c r="O14" s="138">
        <v>0</v>
      </c>
      <c r="P14" s="138">
        <v>0</v>
      </c>
      <c r="Q14" s="138">
        <v>0</v>
      </c>
      <c r="R14" s="138">
        <v>0</v>
      </c>
      <c r="S14" s="138">
        <v>0</v>
      </c>
      <c r="T14" s="138">
        <v>0</v>
      </c>
    </row>
    <row r="15" spans="1:20">
      <c r="A15" s="39">
        <v>11</v>
      </c>
      <c r="B15" s="144" t="s">
        <v>175</v>
      </c>
      <c r="C15" s="145"/>
      <c r="D15" s="127">
        <v>0</v>
      </c>
      <c r="E15" s="127">
        <v>0</v>
      </c>
      <c r="F15" s="127">
        <v>93.474999999999994</v>
      </c>
      <c r="G15" s="137">
        <v>0</v>
      </c>
      <c r="H15" s="137">
        <v>0</v>
      </c>
      <c r="I15" s="36">
        <v>0</v>
      </c>
      <c r="J15" s="36">
        <v>0</v>
      </c>
      <c r="K15" s="37">
        <v>0</v>
      </c>
      <c r="L15" s="138">
        <v>0</v>
      </c>
      <c r="M15" s="138">
        <v>0</v>
      </c>
      <c r="N15" s="138">
        <v>0</v>
      </c>
      <c r="O15" s="138">
        <v>0</v>
      </c>
      <c r="P15" s="138">
        <v>0</v>
      </c>
      <c r="Q15" s="138">
        <v>0</v>
      </c>
      <c r="R15" s="138">
        <v>0</v>
      </c>
      <c r="S15" s="138">
        <v>0</v>
      </c>
      <c r="T15" s="138">
        <v>0</v>
      </c>
    </row>
    <row r="16" spans="1:20">
      <c r="A16" s="39">
        <v>12</v>
      </c>
      <c r="B16" s="144" t="s">
        <v>176</v>
      </c>
      <c r="C16" s="145"/>
      <c r="D16" s="127">
        <v>0</v>
      </c>
      <c r="E16" s="127">
        <v>0</v>
      </c>
      <c r="F16" s="127">
        <v>93.474999999999994</v>
      </c>
      <c r="G16" s="137">
        <v>0</v>
      </c>
      <c r="H16" s="137">
        <v>0</v>
      </c>
      <c r="I16" s="36">
        <v>0</v>
      </c>
      <c r="J16" s="36">
        <v>0</v>
      </c>
      <c r="K16" s="37">
        <v>0</v>
      </c>
      <c r="L16" s="138">
        <v>0</v>
      </c>
      <c r="M16" s="138">
        <v>0</v>
      </c>
      <c r="N16" s="138">
        <v>0</v>
      </c>
      <c r="O16" s="138">
        <v>0</v>
      </c>
      <c r="P16" s="138">
        <v>0</v>
      </c>
      <c r="Q16" s="138">
        <v>0</v>
      </c>
      <c r="R16" s="138">
        <v>0</v>
      </c>
      <c r="S16" s="138">
        <v>0</v>
      </c>
      <c r="T16" s="138">
        <v>0</v>
      </c>
    </row>
    <row r="17" spans="1:20">
      <c r="A17" s="39">
        <v>13</v>
      </c>
      <c r="B17" s="144" t="s">
        <v>177</v>
      </c>
      <c r="C17" s="145"/>
      <c r="D17" s="127">
        <v>0</v>
      </c>
      <c r="E17" s="127">
        <v>22</v>
      </c>
      <c r="F17" s="127">
        <v>71.474999999999994</v>
      </c>
      <c r="G17" s="137">
        <v>0</v>
      </c>
      <c r="H17" s="137">
        <v>0</v>
      </c>
      <c r="I17" s="36">
        <v>0</v>
      </c>
      <c r="J17" s="36">
        <v>0</v>
      </c>
      <c r="K17" s="37">
        <v>0</v>
      </c>
      <c r="L17" s="138">
        <v>0</v>
      </c>
      <c r="M17" s="138">
        <v>0</v>
      </c>
      <c r="N17" s="138">
        <v>0</v>
      </c>
      <c r="O17" s="138">
        <v>0</v>
      </c>
      <c r="P17" s="138">
        <v>0</v>
      </c>
      <c r="Q17" s="138">
        <v>0</v>
      </c>
      <c r="R17" s="138">
        <v>0</v>
      </c>
      <c r="S17" s="138">
        <v>0</v>
      </c>
      <c r="T17" s="138">
        <v>0</v>
      </c>
    </row>
    <row r="18" spans="1:20">
      <c r="A18" s="39">
        <v>14</v>
      </c>
      <c r="B18" s="144" t="s">
        <v>178</v>
      </c>
      <c r="C18" s="145"/>
      <c r="D18" s="127">
        <v>0</v>
      </c>
      <c r="E18" s="127">
        <v>0</v>
      </c>
      <c r="F18" s="127">
        <v>71.474999999999994</v>
      </c>
      <c r="G18" s="137">
        <v>0</v>
      </c>
      <c r="H18" s="137">
        <v>0</v>
      </c>
      <c r="I18" s="36">
        <v>0</v>
      </c>
      <c r="J18" s="36">
        <v>0</v>
      </c>
      <c r="K18" s="37">
        <v>0</v>
      </c>
      <c r="L18" s="138">
        <v>0</v>
      </c>
      <c r="M18" s="138">
        <v>0</v>
      </c>
      <c r="N18" s="138">
        <v>0</v>
      </c>
      <c r="O18" s="138">
        <v>0</v>
      </c>
      <c r="P18" s="138">
        <v>0</v>
      </c>
      <c r="Q18" s="138">
        <v>0</v>
      </c>
      <c r="R18" s="138">
        <v>0</v>
      </c>
      <c r="S18" s="138">
        <v>0</v>
      </c>
      <c r="T18" s="138">
        <v>0</v>
      </c>
    </row>
    <row r="19" spans="1:20">
      <c r="A19" s="39">
        <v>15</v>
      </c>
      <c r="B19" s="144" t="s">
        <v>179</v>
      </c>
      <c r="C19" s="145"/>
      <c r="D19" s="127">
        <v>0</v>
      </c>
      <c r="E19" s="127">
        <v>0</v>
      </c>
      <c r="F19" s="127">
        <v>71.474999999999994</v>
      </c>
      <c r="G19" s="137">
        <v>0</v>
      </c>
      <c r="H19" s="137">
        <v>0</v>
      </c>
      <c r="I19" s="36">
        <v>0</v>
      </c>
      <c r="J19" s="36">
        <v>0</v>
      </c>
      <c r="K19" s="37">
        <v>0</v>
      </c>
      <c r="L19" s="138">
        <v>0</v>
      </c>
      <c r="M19" s="138">
        <v>0</v>
      </c>
      <c r="N19" s="138">
        <v>0</v>
      </c>
      <c r="O19" s="138">
        <v>0</v>
      </c>
      <c r="P19" s="138">
        <v>0</v>
      </c>
      <c r="Q19" s="138">
        <v>0</v>
      </c>
      <c r="R19" s="138">
        <v>0</v>
      </c>
      <c r="S19" s="138">
        <v>0</v>
      </c>
      <c r="T19" s="138">
        <v>0</v>
      </c>
    </row>
    <row r="20" spans="1:20">
      <c r="A20" s="39">
        <v>16</v>
      </c>
      <c r="B20" s="144" t="s">
        <v>180</v>
      </c>
      <c r="C20" s="145"/>
      <c r="D20" s="127">
        <v>0</v>
      </c>
      <c r="E20" s="127">
        <v>0</v>
      </c>
      <c r="F20" s="127">
        <v>71.474999999999994</v>
      </c>
      <c r="G20" s="137">
        <v>0</v>
      </c>
      <c r="H20" s="137">
        <v>0</v>
      </c>
      <c r="I20" s="36">
        <v>0</v>
      </c>
      <c r="J20" s="36">
        <v>0</v>
      </c>
      <c r="K20" s="37">
        <v>0</v>
      </c>
      <c r="L20" s="138">
        <v>0</v>
      </c>
      <c r="M20" s="138">
        <v>0</v>
      </c>
      <c r="N20" s="138">
        <v>0</v>
      </c>
      <c r="O20" s="138">
        <v>0</v>
      </c>
      <c r="P20" s="138">
        <v>0</v>
      </c>
      <c r="Q20" s="138">
        <v>0</v>
      </c>
      <c r="R20" s="138">
        <v>0</v>
      </c>
      <c r="S20" s="138">
        <v>0</v>
      </c>
      <c r="T20" s="138">
        <v>0</v>
      </c>
    </row>
    <row r="21" spans="1:20">
      <c r="A21" s="39">
        <v>17</v>
      </c>
      <c r="B21" s="144" t="s">
        <v>181</v>
      </c>
      <c r="C21" s="145"/>
      <c r="D21" s="127">
        <v>0</v>
      </c>
      <c r="E21" s="127">
        <v>0</v>
      </c>
      <c r="F21" s="127">
        <v>71.474999999999994</v>
      </c>
      <c r="G21" s="137">
        <v>0</v>
      </c>
      <c r="H21" s="137">
        <v>0</v>
      </c>
      <c r="I21" s="36">
        <v>0</v>
      </c>
      <c r="J21" s="36">
        <v>0</v>
      </c>
      <c r="K21" s="37">
        <v>0</v>
      </c>
      <c r="L21" s="138">
        <v>0</v>
      </c>
      <c r="M21" s="138">
        <v>0</v>
      </c>
      <c r="N21" s="138">
        <v>0</v>
      </c>
      <c r="O21" s="138">
        <v>0</v>
      </c>
      <c r="P21" s="138">
        <v>0</v>
      </c>
      <c r="Q21" s="138">
        <v>0</v>
      </c>
      <c r="R21" s="138">
        <v>0</v>
      </c>
      <c r="S21" s="138">
        <v>0</v>
      </c>
      <c r="T21" s="138">
        <v>0</v>
      </c>
    </row>
    <row r="22" spans="1:20">
      <c r="A22" s="39">
        <v>18</v>
      </c>
      <c r="B22" s="144" t="s">
        <v>182</v>
      </c>
      <c r="C22" s="145"/>
      <c r="D22" s="127">
        <v>0</v>
      </c>
      <c r="E22" s="127">
        <v>0</v>
      </c>
      <c r="F22" s="127">
        <v>71.474999999999994</v>
      </c>
      <c r="G22" s="137">
        <v>0</v>
      </c>
      <c r="H22" s="137">
        <v>0</v>
      </c>
      <c r="I22" s="36">
        <v>0</v>
      </c>
      <c r="J22" s="36">
        <v>0</v>
      </c>
      <c r="K22" s="37">
        <v>0</v>
      </c>
      <c r="L22" s="138">
        <v>0</v>
      </c>
      <c r="M22" s="138">
        <v>0</v>
      </c>
      <c r="N22" s="138">
        <v>0</v>
      </c>
      <c r="O22" s="138">
        <v>0</v>
      </c>
      <c r="P22" s="138">
        <v>0</v>
      </c>
      <c r="Q22" s="138">
        <v>0</v>
      </c>
      <c r="R22" s="138">
        <v>0</v>
      </c>
      <c r="S22" s="138">
        <v>0</v>
      </c>
      <c r="T22" s="138">
        <v>0</v>
      </c>
    </row>
    <row r="23" spans="1:20">
      <c r="A23" s="39">
        <v>19</v>
      </c>
      <c r="B23" s="144" t="s">
        <v>183</v>
      </c>
      <c r="C23" s="145"/>
      <c r="D23" s="127">
        <v>0</v>
      </c>
      <c r="E23" s="127">
        <v>0</v>
      </c>
      <c r="F23" s="127">
        <v>71.474999999999994</v>
      </c>
      <c r="G23" s="137">
        <v>0</v>
      </c>
      <c r="H23" s="137">
        <v>0</v>
      </c>
      <c r="I23" s="36">
        <v>0</v>
      </c>
      <c r="J23" s="36">
        <v>0</v>
      </c>
      <c r="K23" s="37">
        <v>0</v>
      </c>
      <c r="L23" s="138">
        <v>0</v>
      </c>
      <c r="M23" s="138">
        <v>0</v>
      </c>
      <c r="N23" s="138">
        <v>0</v>
      </c>
      <c r="O23" s="138">
        <v>0</v>
      </c>
      <c r="P23" s="138">
        <v>0</v>
      </c>
      <c r="Q23" s="138">
        <v>0</v>
      </c>
      <c r="R23" s="138">
        <v>0</v>
      </c>
      <c r="S23" s="138">
        <v>0</v>
      </c>
      <c r="T23" s="138">
        <v>0</v>
      </c>
    </row>
    <row r="24" spans="1:20">
      <c r="A24" s="39">
        <v>20</v>
      </c>
      <c r="B24" s="144" t="s">
        <v>184</v>
      </c>
      <c r="C24" s="145"/>
      <c r="D24" s="127">
        <v>0</v>
      </c>
      <c r="E24" s="127">
        <v>0</v>
      </c>
      <c r="F24" s="127">
        <v>71.474999999999994</v>
      </c>
      <c r="G24" s="137">
        <v>0</v>
      </c>
      <c r="H24" s="137">
        <v>0</v>
      </c>
      <c r="I24" s="36">
        <v>0</v>
      </c>
      <c r="J24" s="36">
        <v>0</v>
      </c>
      <c r="K24" s="37">
        <v>0</v>
      </c>
      <c r="L24" s="138">
        <v>0</v>
      </c>
      <c r="M24" s="138">
        <v>0</v>
      </c>
      <c r="N24" s="138">
        <v>0</v>
      </c>
      <c r="O24" s="138">
        <v>0</v>
      </c>
      <c r="P24" s="138">
        <v>0</v>
      </c>
      <c r="Q24" s="138">
        <v>0</v>
      </c>
      <c r="R24" s="138">
        <v>0</v>
      </c>
      <c r="S24" s="138">
        <v>0</v>
      </c>
      <c r="T24" s="138">
        <v>0</v>
      </c>
    </row>
    <row r="25" spans="1:20">
      <c r="A25" s="39">
        <v>21</v>
      </c>
      <c r="B25" s="144" t="s">
        <v>185</v>
      </c>
      <c r="C25" s="145"/>
      <c r="D25" s="127">
        <v>0</v>
      </c>
      <c r="E25" s="127">
        <v>0</v>
      </c>
      <c r="F25" s="127">
        <v>71.474999999999994</v>
      </c>
      <c r="G25" s="137">
        <v>0</v>
      </c>
      <c r="H25" s="137">
        <v>0</v>
      </c>
      <c r="I25" s="36">
        <v>0</v>
      </c>
      <c r="J25" s="36">
        <v>0</v>
      </c>
      <c r="K25" s="37">
        <v>0</v>
      </c>
      <c r="L25" s="138">
        <v>0</v>
      </c>
      <c r="M25" s="138">
        <v>0</v>
      </c>
      <c r="N25" s="138">
        <v>0</v>
      </c>
      <c r="O25" s="138">
        <v>0</v>
      </c>
      <c r="P25" s="138">
        <v>0</v>
      </c>
      <c r="Q25" s="138">
        <v>0</v>
      </c>
      <c r="R25" s="138">
        <v>0</v>
      </c>
      <c r="S25" s="138">
        <v>0</v>
      </c>
      <c r="T25" s="138">
        <v>0</v>
      </c>
    </row>
    <row r="26" spans="1:20">
      <c r="A26" s="39">
        <v>22</v>
      </c>
      <c r="B26" s="144" t="s">
        <v>186</v>
      </c>
      <c r="C26" s="145"/>
      <c r="D26" s="127">
        <v>0</v>
      </c>
      <c r="E26" s="127">
        <v>19.25</v>
      </c>
      <c r="F26" s="127">
        <v>52.225000000000001</v>
      </c>
      <c r="G26" s="137">
        <v>0</v>
      </c>
      <c r="H26" s="137">
        <v>0</v>
      </c>
      <c r="I26" s="36">
        <v>0</v>
      </c>
      <c r="J26" s="36">
        <v>0</v>
      </c>
      <c r="K26" s="37">
        <v>0</v>
      </c>
      <c r="L26" s="138">
        <v>0</v>
      </c>
      <c r="M26" s="138">
        <v>0</v>
      </c>
      <c r="N26" s="138">
        <v>0</v>
      </c>
      <c r="O26" s="138">
        <v>0</v>
      </c>
      <c r="P26" s="138">
        <v>0</v>
      </c>
      <c r="Q26" s="138">
        <v>0</v>
      </c>
      <c r="R26" s="138">
        <v>0</v>
      </c>
      <c r="S26" s="138">
        <v>0</v>
      </c>
      <c r="T26" s="138">
        <v>0</v>
      </c>
    </row>
    <row r="27" spans="1:20">
      <c r="A27" s="39">
        <v>23</v>
      </c>
      <c r="B27" s="144" t="s">
        <v>187</v>
      </c>
      <c r="C27" s="145"/>
      <c r="D27" s="127">
        <v>0</v>
      </c>
      <c r="E27" s="127">
        <v>44</v>
      </c>
      <c r="F27" s="127">
        <v>8.2249999999999996</v>
      </c>
      <c r="G27" s="137">
        <v>0</v>
      </c>
      <c r="H27" s="137">
        <v>0</v>
      </c>
      <c r="I27" s="36">
        <v>0</v>
      </c>
      <c r="J27" s="36">
        <v>0</v>
      </c>
      <c r="K27" s="37">
        <v>0</v>
      </c>
      <c r="L27" s="138">
        <v>0</v>
      </c>
      <c r="M27" s="138">
        <v>0</v>
      </c>
      <c r="N27" s="138">
        <v>0</v>
      </c>
      <c r="O27" s="138">
        <v>0</v>
      </c>
      <c r="P27" s="138">
        <v>0</v>
      </c>
      <c r="Q27" s="138">
        <v>0</v>
      </c>
      <c r="R27" s="138">
        <v>0</v>
      </c>
      <c r="S27" s="138">
        <v>0</v>
      </c>
      <c r="T27" s="138">
        <v>0</v>
      </c>
    </row>
    <row r="28" spans="1:20">
      <c r="A28" s="39">
        <v>24</v>
      </c>
      <c r="B28" s="144" t="s">
        <v>188</v>
      </c>
      <c r="C28" s="145"/>
      <c r="D28" s="127">
        <v>0</v>
      </c>
      <c r="E28" s="127">
        <v>0</v>
      </c>
      <c r="F28" s="127">
        <v>8.2249999999999996</v>
      </c>
      <c r="G28" s="137">
        <v>0</v>
      </c>
      <c r="H28" s="137">
        <v>0</v>
      </c>
      <c r="I28" s="36">
        <v>0</v>
      </c>
      <c r="J28" s="36">
        <v>0</v>
      </c>
      <c r="K28" s="37">
        <v>0</v>
      </c>
      <c r="L28" s="138">
        <v>0</v>
      </c>
      <c r="M28" s="138">
        <v>0</v>
      </c>
      <c r="N28" s="138">
        <v>0</v>
      </c>
      <c r="O28" s="138">
        <v>0</v>
      </c>
      <c r="P28" s="138">
        <v>0</v>
      </c>
      <c r="Q28" s="138">
        <v>0</v>
      </c>
      <c r="R28" s="138">
        <v>0</v>
      </c>
      <c r="S28" s="138">
        <v>0</v>
      </c>
      <c r="T28" s="138">
        <v>0</v>
      </c>
    </row>
    <row r="29" spans="1:20">
      <c r="A29" s="39">
        <v>25</v>
      </c>
      <c r="B29" s="144" t="s">
        <v>189</v>
      </c>
      <c r="C29" s="145"/>
      <c r="D29" s="127">
        <v>0</v>
      </c>
      <c r="E29" s="127">
        <v>0</v>
      </c>
      <c r="F29" s="127">
        <v>8.2249999999999996</v>
      </c>
      <c r="G29" s="137">
        <v>0</v>
      </c>
      <c r="H29" s="137">
        <v>0</v>
      </c>
      <c r="I29" s="36">
        <v>0</v>
      </c>
      <c r="J29" s="36">
        <v>0</v>
      </c>
      <c r="K29" s="37">
        <v>0</v>
      </c>
      <c r="L29" s="138">
        <v>0</v>
      </c>
      <c r="M29" s="138">
        <v>0</v>
      </c>
      <c r="N29" s="138">
        <v>0</v>
      </c>
      <c r="O29" s="138">
        <v>0</v>
      </c>
      <c r="P29" s="138">
        <v>0</v>
      </c>
      <c r="Q29" s="138">
        <v>0</v>
      </c>
      <c r="R29" s="138">
        <v>0</v>
      </c>
      <c r="S29" s="138">
        <v>0</v>
      </c>
      <c r="T29" s="138">
        <v>0</v>
      </c>
    </row>
    <row r="30" spans="1:20">
      <c r="A30" s="39">
        <v>26</v>
      </c>
      <c r="B30" s="144" t="s">
        <v>190</v>
      </c>
      <c r="C30" s="145"/>
      <c r="D30" s="127">
        <v>0</v>
      </c>
      <c r="E30" s="127">
        <v>0</v>
      </c>
      <c r="F30" s="127">
        <v>8.2249999999999996</v>
      </c>
      <c r="G30" s="137">
        <v>0</v>
      </c>
      <c r="H30" s="137">
        <v>0</v>
      </c>
      <c r="I30" s="36">
        <v>0</v>
      </c>
      <c r="J30" s="36">
        <v>0</v>
      </c>
      <c r="K30" s="37">
        <v>0</v>
      </c>
      <c r="L30" s="138">
        <v>0</v>
      </c>
      <c r="M30" s="138">
        <v>0</v>
      </c>
      <c r="N30" s="138">
        <v>0</v>
      </c>
      <c r="O30" s="138">
        <v>0</v>
      </c>
      <c r="P30" s="138">
        <v>0</v>
      </c>
      <c r="Q30" s="138">
        <v>0</v>
      </c>
      <c r="R30" s="138">
        <v>0</v>
      </c>
      <c r="S30" s="138">
        <v>0</v>
      </c>
      <c r="T30" s="138">
        <v>0</v>
      </c>
    </row>
    <row r="31" spans="1:20">
      <c r="A31" s="39">
        <v>27</v>
      </c>
      <c r="B31" s="144" t="s">
        <v>191</v>
      </c>
      <c r="C31" s="145"/>
      <c r="D31" s="127">
        <v>0</v>
      </c>
      <c r="E31" s="127">
        <v>0</v>
      </c>
      <c r="F31" s="127">
        <v>8.2249999999999996</v>
      </c>
      <c r="G31" s="137">
        <v>0</v>
      </c>
      <c r="H31" s="137">
        <v>0</v>
      </c>
      <c r="I31" s="36">
        <v>0</v>
      </c>
      <c r="J31" s="36">
        <v>0</v>
      </c>
      <c r="K31" s="37">
        <v>0</v>
      </c>
      <c r="L31" s="138">
        <v>0</v>
      </c>
      <c r="M31" s="138">
        <v>0</v>
      </c>
      <c r="N31" s="138">
        <v>0</v>
      </c>
      <c r="O31" s="138">
        <v>0</v>
      </c>
      <c r="P31" s="138">
        <v>0</v>
      </c>
      <c r="Q31" s="138">
        <v>0</v>
      </c>
      <c r="R31" s="138">
        <v>0</v>
      </c>
      <c r="S31" s="138">
        <v>0</v>
      </c>
      <c r="T31" s="138">
        <v>0</v>
      </c>
    </row>
    <row r="32" spans="1:20">
      <c r="A32" s="39">
        <v>28</v>
      </c>
      <c r="B32" s="144" t="s">
        <v>192</v>
      </c>
      <c r="C32" s="145"/>
      <c r="D32" s="127">
        <v>0</v>
      </c>
      <c r="E32" s="127">
        <v>0</v>
      </c>
      <c r="F32" s="127">
        <v>8.2249999999999996</v>
      </c>
      <c r="G32" s="137">
        <v>0</v>
      </c>
      <c r="H32" s="137">
        <v>0</v>
      </c>
      <c r="I32" s="36">
        <v>0</v>
      </c>
      <c r="J32" s="36">
        <v>0</v>
      </c>
      <c r="K32" s="37">
        <v>0</v>
      </c>
      <c r="L32" s="138">
        <v>0</v>
      </c>
      <c r="M32" s="138">
        <v>0</v>
      </c>
      <c r="N32" s="138">
        <v>0</v>
      </c>
      <c r="O32" s="138">
        <v>0</v>
      </c>
      <c r="P32" s="138">
        <v>0</v>
      </c>
      <c r="Q32" s="138">
        <v>0</v>
      </c>
      <c r="R32" s="138">
        <v>0</v>
      </c>
      <c r="S32" s="138">
        <v>0</v>
      </c>
      <c r="T32" s="138">
        <v>0</v>
      </c>
    </row>
    <row r="33" spans="1:20">
      <c r="A33" s="39">
        <v>29</v>
      </c>
      <c r="B33" s="144" t="s">
        <v>193</v>
      </c>
      <c r="C33" s="145"/>
      <c r="D33" s="127">
        <v>0</v>
      </c>
      <c r="E33" s="127">
        <v>0</v>
      </c>
      <c r="F33" s="127">
        <v>8.2249999999999996</v>
      </c>
      <c r="G33" s="137">
        <v>0</v>
      </c>
      <c r="H33" s="137">
        <v>0</v>
      </c>
      <c r="I33" s="36">
        <v>0</v>
      </c>
      <c r="J33" s="36">
        <v>0</v>
      </c>
      <c r="K33" s="37">
        <v>0</v>
      </c>
      <c r="L33" s="138">
        <v>0</v>
      </c>
      <c r="M33" s="138">
        <v>0</v>
      </c>
      <c r="N33" s="138">
        <v>0</v>
      </c>
      <c r="O33" s="138">
        <v>0</v>
      </c>
      <c r="P33" s="138">
        <v>0</v>
      </c>
      <c r="Q33" s="138">
        <v>0</v>
      </c>
      <c r="R33" s="138">
        <v>0</v>
      </c>
      <c r="S33" s="138">
        <v>0</v>
      </c>
      <c r="T33" s="138">
        <v>0</v>
      </c>
    </row>
    <row r="34" spans="1:20">
      <c r="A34" s="39">
        <v>30</v>
      </c>
      <c r="B34" s="144" t="s">
        <v>194</v>
      </c>
      <c r="C34" s="145"/>
      <c r="D34" s="127">
        <v>0</v>
      </c>
      <c r="E34" s="127">
        <v>0</v>
      </c>
      <c r="F34" s="127">
        <v>8.2249999999999996</v>
      </c>
      <c r="G34" s="137">
        <v>0</v>
      </c>
      <c r="H34" s="137">
        <v>0</v>
      </c>
      <c r="I34" s="36">
        <v>0</v>
      </c>
      <c r="J34" s="36">
        <v>0</v>
      </c>
      <c r="K34" s="37">
        <v>0</v>
      </c>
      <c r="L34" s="138">
        <v>0</v>
      </c>
      <c r="M34" s="138">
        <v>0</v>
      </c>
      <c r="N34" s="138">
        <v>0</v>
      </c>
      <c r="O34" s="138">
        <v>0</v>
      </c>
      <c r="P34" s="138">
        <v>0</v>
      </c>
      <c r="Q34" s="138">
        <v>0</v>
      </c>
      <c r="R34" s="138">
        <v>0</v>
      </c>
      <c r="S34" s="138">
        <v>0</v>
      </c>
      <c r="T34" s="138">
        <v>0</v>
      </c>
    </row>
    <row r="35" spans="1:20">
      <c r="A35" s="39">
        <v>31</v>
      </c>
      <c r="B35" s="144"/>
      <c r="C35" s="145"/>
      <c r="D35" s="127">
        <v>0</v>
      </c>
      <c r="E35" s="127">
        <v>0</v>
      </c>
      <c r="F35" s="127">
        <v>0</v>
      </c>
      <c r="G35" s="137">
        <v>0</v>
      </c>
      <c r="H35" s="137">
        <v>0</v>
      </c>
      <c r="I35" s="36">
        <v>0</v>
      </c>
      <c r="J35" s="36">
        <v>0</v>
      </c>
      <c r="K35" s="37">
        <v>0</v>
      </c>
      <c r="L35" s="138">
        <v>0</v>
      </c>
      <c r="M35" s="138">
        <v>0</v>
      </c>
      <c r="N35" s="138">
        <v>0</v>
      </c>
      <c r="O35" s="138">
        <v>0</v>
      </c>
      <c r="P35" s="138">
        <v>0</v>
      </c>
      <c r="Q35" s="138">
        <v>0</v>
      </c>
      <c r="R35" s="138">
        <v>0</v>
      </c>
      <c r="S35" s="138">
        <v>0</v>
      </c>
      <c r="T35" s="138">
        <v>0</v>
      </c>
    </row>
    <row r="36" spans="1:20">
      <c r="D36" s="43">
        <v>88</v>
      </c>
      <c r="E36" s="43">
        <v>107.25</v>
      </c>
      <c r="F36" s="43">
        <v>1706.9999999999986</v>
      </c>
      <c r="G36" s="43">
        <v>0</v>
      </c>
      <c r="H36" s="43">
        <v>0</v>
      </c>
      <c r="I36" s="43">
        <v>0</v>
      </c>
      <c r="J36" s="43">
        <v>0</v>
      </c>
      <c r="K36" s="43">
        <v>0</v>
      </c>
      <c r="L36" s="139">
        <v>0</v>
      </c>
      <c r="M36" s="139">
        <v>20414.13</v>
      </c>
      <c r="N36" s="139">
        <v>20182.09</v>
      </c>
      <c r="O36" s="139">
        <v>23661.94</v>
      </c>
      <c r="P36" s="139">
        <v>0</v>
      </c>
      <c r="Q36" s="139">
        <v>0</v>
      </c>
      <c r="R36" s="139">
        <v>0</v>
      </c>
      <c r="S36" s="139">
        <v>0</v>
      </c>
      <c r="T36" s="139">
        <v>64258.16</v>
      </c>
    </row>
    <row r="37" spans="1:20">
      <c r="R37" s="46"/>
      <c r="S37" s="46"/>
      <c r="T37" s="140">
        <v>78394.960000000006</v>
      </c>
    </row>
  </sheetData>
  <mergeCells count="50"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FDD9B-A36D-4183-858A-A3AE249797A2}">
  <sheetPr>
    <pageSetUpPr fitToPage="1"/>
  </sheetPr>
  <dimension ref="A1:T37"/>
  <sheetViews>
    <sheetView workbookViewId="0">
      <selection activeCell="Q37" sqref="Q37"/>
    </sheetView>
  </sheetViews>
  <sheetFormatPr defaultRowHeight="15"/>
  <cols>
    <col min="1" max="3" width="9.140625" style="28"/>
    <col min="4" max="4" width="11.7109375" style="28" customWidth="1"/>
    <col min="5" max="5" width="12.140625" style="28" customWidth="1"/>
    <col min="6" max="6" width="13.28515625" style="28" customWidth="1"/>
    <col min="7" max="7" width="11.42578125" style="28" customWidth="1"/>
    <col min="8" max="8" width="10.42578125" style="28" customWidth="1"/>
    <col min="9" max="9" width="10.5703125" style="28" bestFit="1" customWidth="1"/>
    <col min="10" max="10" width="9.42578125" style="28" bestFit="1" customWidth="1"/>
    <col min="11" max="12" width="9.140625" style="28"/>
    <col min="13" max="13" width="15.140625" style="28" customWidth="1"/>
    <col min="14" max="14" width="13.5703125" style="28" customWidth="1"/>
    <col min="15" max="15" width="14.5703125" style="28" customWidth="1"/>
    <col min="16" max="16" width="14.5703125" style="28" bestFit="1" customWidth="1"/>
    <col min="17" max="17" width="15" style="28" customWidth="1"/>
    <col min="18" max="18" width="13.28515625" style="28" customWidth="1"/>
    <col min="19" max="19" width="11.7109375" style="28" customWidth="1"/>
    <col min="20" max="20" width="24.28515625" style="28" customWidth="1"/>
    <col min="21" max="16384" width="9.140625" style="28"/>
  </cols>
  <sheetData>
    <row r="1" spans="1:20">
      <c r="I1" s="29"/>
    </row>
    <row r="2" spans="1:20" ht="28.9" customHeight="1">
      <c r="A2" s="149" t="s">
        <v>195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</row>
    <row r="3" spans="1:20" ht="28.9" customHeight="1">
      <c r="A3" s="146" t="s">
        <v>0</v>
      </c>
      <c r="B3" s="150" t="s">
        <v>1</v>
      </c>
      <c r="C3" s="151"/>
      <c r="D3" s="146" t="s">
        <v>2</v>
      </c>
      <c r="E3" s="146" t="s">
        <v>3</v>
      </c>
      <c r="F3" s="30" t="s">
        <v>4</v>
      </c>
      <c r="G3" s="146" t="s">
        <v>156</v>
      </c>
      <c r="H3" s="146" t="s">
        <v>157</v>
      </c>
      <c r="I3" s="146" t="s">
        <v>7</v>
      </c>
      <c r="J3" s="146" t="s">
        <v>8</v>
      </c>
      <c r="K3" s="146" t="s">
        <v>158</v>
      </c>
      <c r="L3" s="146" t="s">
        <v>159</v>
      </c>
      <c r="M3" s="146" t="s">
        <v>160</v>
      </c>
      <c r="N3" s="146" t="s">
        <v>161</v>
      </c>
      <c r="O3" s="146" t="s">
        <v>162</v>
      </c>
      <c r="P3" s="146" t="s">
        <v>163</v>
      </c>
      <c r="Q3" s="146" t="s">
        <v>164</v>
      </c>
      <c r="R3" s="146" t="s">
        <v>16</v>
      </c>
      <c r="S3" s="146" t="s">
        <v>17</v>
      </c>
      <c r="T3" s="146" t="s">
        <v>18</v>
      </c>
    </row>
    <row r="4" spans="1:20" ht="27" customHeight="1">
      <c r="A4" s="147"/>
      <c r="B4" s="152"/>
      <c r="C4" s="153"/>
      <c r="D4" s="147"/>
      <c r="E4" s="147"/>
      <c r="F4" s="31"/>
      <c r="G4" s="147"/>
      <c r="H4" s="147"/>
      <c r="I4" s="147"/>
      <c r="J4" s="147"/>
      <c r="K4" s="148"/>
      <c r="L4" s="148"/>
      <c r="M4" s="147"/>
      <c r="N4" s="147"/>
      <c r="O4" s="147"/>
      <c r="P4" s="147"/>
      <c r="Q4" s="147"/>
      <c r="R4" s="147"/>
      <c r="S4" s="147"/>
      <c r="T4" s="147"/>
    </row>
    <row r="5" spans="1:20">
      <c r="A5" s="39">
        <v>1</v>
      </c>
      <c r="B5" s="144" t="s">
        <v>165</v>
      </c>
      <c r="C5" s="145"/>
      <c r="D5" s="141">
        <v>63.75</v>
      </c>
      <c r="E5" s="141">
        <v>109.75</v>
      </c>
      <c r="F5" s="141">
        <v>7715.7650000000003</v>
      </c>
      <c r="G5" s="137">
        <v>0</v>
      </c>
      <c r="H5" s="137">
        <v>0</v>
      </c>
      <c r="I5" s="36">
        <v>0</v>
      </c>
      <c r="J5" s="36">
        <v>0</v>
      </c>
      <c r="K5" s="37">
        <v>0</v>
      </c>
      <c r="L5" s="138">
        <v>0</v>
      </c>
      <c r="M5" s="138">
        <v>0</v>
      </c>
      <c r="N5" s="138">
        <v>0</v>
      </c>
      <c r="O5" s="138">
        <v>0</v>
      </c>
      <c r="P5" s="138">
        <v>0</v>
      </c>
      <c r="Q5" s="138">
        <v>0</v>
      </c>
      <c r="R5" s="138">
        <v>0</v>
      </c>
      <c r="S5" s="138">
        <v>0</v>
      </c>
      <c r="T5" s="138">
        <v>0</v>
      </c>
    </row>
    <row r="6" spans="1:20">
      <c r="A6" s="39">
        <v>2</v>
      </c>
      <c r="B6" s="144" t="s">
        <v>166</v>
      </c>
      <c r="C6" s="145"/>
      <c r="D6" s="141">
        <v>45</v>
      </c>
      <c r="E6" s="141">
        <v>223</v>
      </c>
      <c r="F6" s="141">
        <v>7537.7650000000003</v>
      </c>
      <c r="G6" s="137">
        <v>0</v>
      </c>
      <c r="H6" s="137">
        <v>0</v>
      </c>
      <c r="I6" s="36">
        <v>0</v>
      </c>
      <c r="J6" s="36">
        <v>0</v>
      </c>
      <c r="K6" s="37">
        <v>0</v>
      </c>
      <c r="L6" s="138">
        <v>0</v>
      </c>
      <c r="M6" s="138">
        <v>0</v>
      </c>
      <c r="N6" s="138">
        <v>0</v>
      </c>
      <c r="O6" s="138">
        <v>0</v>
      </c>
      <c r="P6" s="138">
        <v>0</v>
      </c>
      <c r="Q6" s="138">
        <v>0</v>
      </c>
      <c r="R6" s="138">
        <v>0</v>
      </c>
      <c r="S6" s="138">
        <v>0</v>
      </c>
      <c r="T6" s="138">
        <v>0</v>
      </c>
    </row>
    <row r="7" spans="1:20">
      <c r="A7" s="39">
        <v>3</v>
      </c>
      <c r="B7" s="144" t="s">
        <v>167</v>
      </c>
      <c r="C7" s="145"/>
      <c r="D7" s="141">
        <v>66.5</v>
      </c>
      <c r="E7" s="141">
        <v>190.125</v>
      </c>
      <c r="F7" s="141">
        <v>7414.14</v>
      </c>
      <c r="G7" s="137">
        <v>0</v>
      </c>
      <c r="H7" s="137">
        <v>0</v>
      </c>
      <c r="I7" s="36">
        <v>0</v>
      </c>
      <c r="J7" s="36">
        <v>0</v>
      </c>
      <c r="K7" s="37">
        <v>0</v>
      </c>
      <c r="L7" s="138">
        <v>0</v>
      </c>
      <c r="M7" s="138">
        <v>0</v>
      </c>
      <c r="N7" s="138">
        <v>0</v>
      </c>
      <c r="O7" s="138">
        <v>0</v>
      </c>
      <c r="P7" s="138">
        <v>0</v>
      </c>
      <c r="Q7" s="138">
        <v>0</v>
      </c>
      <c r="R7" s="138">
        <v>0</v>
      </c>
      <c r="S7" s="138">
        <v>0</v>
      </c>
      <c r="T7" s="138">
        <v>0</v>
      </c>
    </row>
    <row r="8" spans="1:20">
      <c r="A8" s="39">
        <v>4</v>
      </c>
      <c r="B8" s="144" t="s">
        <v>168</v>
      </c>
      <c r="C8" s="145"/>
      <c r="D8" s="141">
        <v>110.5</v>
      </c>
      <c r="E8" s="141">
        <v>57</v>
      </c>
      <c r="F8" s="141">
        <v>7467.64</v>
      </c>
      <c r="G8" s="137">
        <v>0</v>
      </c>
      <c r="H8" s="137">
        <v>0</v>
      </c>
      <c r="I8" s="36">
        <v>0</v>
      </c>
      <c r="J8" s="36">
        <v>0</v>
      </c>
      <c r="K8" s="37">
        <v>0</v>
      </c>
      <c r="L8" s="138">
        <v>0</v>
      </c>
      <c r="M8" s="138">
        <v>0</v>
      </c>
      <c r="N8" s="138">
        <v>0</v>
      </c>
      <c r="O8" s="138">
        <v>0</v>
      </c>
      <c r="P8" s="138">
        <v>0</v>
      </c>
      <c r="Q8" s="138">
        <v>0</v>
      </c>
      <c r="R8" s="138">
        <v>0</v>
      </c>
      <c r="S8" s="138">
        <v>0</v>
      </c>
      <c r="T8" s="138">
        <v>0</v>
      </c>
    </row>
    <row r="9" spans="1:20">
      <c r="A9" s="39">
        <v>5</v>
      </c>
      <c r="B9" s="144" t="s">
        <v>169</v>
      </c>
      <c r="C9" s="145"/>
      <c r="D9" s="141">
        <v>133.5</v>
      </c>
      <c r="E9" s="141">
        <v>175.75</v>
      </c>
      <c r="F9" s="141">
        <v>7425.39</v>
      </c>
      <c r="G9" s="137">
        <v>0</v>
      </c>
      <c r="H9" s="137">
        <v>0</v>
      </c>
      <c r="I9" s="36">
        <v>0</v>
      </c>
      <c r="J9" s="36">
        <v>0</v>
      </c>
      <c r="K9" s="37">
        <v>0</v>
      </c>
      <c r="L9" s="138">
        <v>0</v>
      </c>
      <c r="M9" s="138">
        <v>0</v>
      </c>
      <c r="N9" s="138">
        <v>0</v>
      </c>
      <c r="O9" s="138">
        <v>0</v>
      </c>
      <c r="P9" s="138">
        <v>0</v>
      </c>
      <c r="Q9" s="138">
        <v>0</v>
      </c>
      <c r="R9" s="138">
        <v>0</v>
      </c>
      <c r="S9" s="138">
        <v>0</v>
      </c>
      <c r="T9" s="138">
        <v>0</v>
      </c>
    </row>
    <row r="10" spans="1:20">
      <c r="A10" s="39">
        <v>6</v>
      </c>
      <c r="B10" s="144" t="s">
        <v>170</v>
      </c>
      <c r="C10" s="145"/>
      <c r="D10" s="141">
        <v>200</v>
      </c>
      <c r="E10" s="141">
        <v>133.5</v>
      </c>
      <c r="F10" s="141">
        <v>7491.89</v>
      </c>
      <c r="G10" s="137">
        <v>0</v>
      </c>
      <c r="H10" s="137">
        <v>0</v>
      </c>
      <c r="I10" s="36">
        <v>0</v>
      </c>
      <c r="J10" s="36">
        <v>0</v>
      </c>
      <c r="K10" s="37">
        <v>0</v>
      </c>
      <c r="L10" s="138">
        <v>0</v>
      </c>
      <c r="M10" s="138">
        <v>0</v>
      </c>
      <c r="N10" s="138">
        <v>0</v>
      </c>
      <c r="O10" s="138">
        <v>0</v>
      </c>
      <c r="P10" s="138">
        <v>0</v>
      </c>
      <c r="Q10" s="138">
        <v>0</v>
      </c>
      <c r="R10" s="138">
        <v>0</v>
      </c>
      <c r="S10" s="138">
        <v>0</v>
      </c>
      <c r="T10" s="138">
        <v>0</v>
      </c>
    </row>
    <row r="11" spans="1:20">
      <c r="A11" s="39">
        <v>7</v>
      </c>
      <c r="B11" s="144" t="s">
        <v>171</v>
      </c>
      <c r="C11" s="145"/>
      <c r="D11" s="141">
        <v>266.5</v>
      </c>
      <c r="E11" s="141">
        <v>201</v>
      </c>
      <c r="F11" s="141">
        <v>7557.39</v>
      </c>
      <c r="G11" s="137">
        <v>0</v>
      </c>
      <c r="H11" s="137">
        <v>0</v>
      </c>
      <c r="I11" s="36">
        <v>0</v>
      </c>
      <c r="J11" s="36">
        <v>0</v>
      </c>
      <c r="K11" s="37">
        <v>0</v>
      </c>
      <c r="L11" s="138">
        <v>0</v>
      </c>
      <c r="M11" s="138">
        <v>0</v>
      </c>
      <c r="N11" s="138">
        <v>0</v>
      </c>
      <c r="O11" s="138">
        <v>0</v>
      </c>
      <c r="P11" s="138">
        <v>0</v>
      </c>
      <c r="Q11" s="138">
        <v>0</v>
      </c>
      <c r="R11" s="138">
        <v>0</v>
      </c>
      <c r="S11" s="138">
        <v>0</v>
      </c>
      <c r="T11" s="138">
        <v>0</v>
      </c>
    </row>
    <row r="12" spans="1:20">
      <c r="A12" s="39">
        <v>8</v>
      </c>
      <c r="B12" s="144" t="s">
        <v>172</v>
      </c>
      <c r="C12" s="145"/>
      <c r="D12" s="141">
        <v>139</v>
      </c>
      <c r="E12" s="141">
        <v>334.375</v>
      </c>
      <c r="F12" s="141">
        <v>7362.0150000000003</v>
      </c>
      <c r="G12" s="137">
        <v>0</v>
      </c>
      <c r="H12" s="137">
        <v>0</v>
      </c>
      <c r="I12" s="36">
        <v>0</v>
      </c>
      <c r="J12" s="36">
        <v>0</v>
      </c>
      <c r="K12" s="37">
        <v>0</v>
      </c>
      <c r="L12" s="138">
        <v>0</v>
      </c>
      <c r="M12" s="138">
        <v>0</v>
      </c>
      <c r="N12" s="138">
        <v>0</v>
      </c>
      <c r="O12" s="138">
        <v>0</v>
      </c>
      <c r="P12" s="138">
        <v>0</v>
      </c>
      <c r="Q12" s="138">
        <v>0</v>
      </c>
      <c r="R12" s="138">
        <v>0</v>
      </c>
      <c r="S12" s="138">
        <v>0</v>
      </c>
      <c r="T12" s="138">
        <v>0</v>
      </c>
    </row>
    <row r="13" spans="1:20">
      <c r="A13" s="39">
        <v>9</v>
      </c>
      <c r="B13" s="144" t="s">
        <v>173</v>
      </c>
      <c r="C13" s="145"/>
      <c r="D13" s="141">
        <v>198.5</v>
      </c>
      <c r="E13" s="141">
        <v>177.5</v>
      </c>
      <c r="F13" s="141">
        <v>7383.0150000000003</v>
      </c>
      <c r="G13" s="137">
        <v>0</v>
      </c>
      <c r="H13" s="137">
        <v>0</v>
      </c>
      <c r="I13" s="36">
        <v>0</v>
      </c>
      <c r="J13" s="36">
        <v>0</v>
      </c>
      <c r="K13" s="37">
        <v>0</v>
      </c>
      <c r="L13" s="138">
        <v>0</v>
      </c>
      <c r="M13" s="138">
        <v>0</v>
      </c>
      <c r="N13" s="138">
        <v>0</v>
      </c>
      <c r="O13" s="138">
        <v>0</v>
      </c>
      <c r="P13" s="138">
        <v>0</v>
      </c>
      <c r="Q13" s="138">
        <v>0</v>
      </c>
      <c r="R13" s="138">
        <v>0</v>
      </c>
      <c r="S13" s="138">
        <v>0</v>
      </c>
      <c r="T13" s="138">
        <v>0</v>
      </c>
    </row>
    <row r="14" spans="1:20">
      <c r="A14" s="39">
        <v>10</v>
      </c>
      <c r="B14" s="144" t="s">
        <v>174</v>
      </c>
      <c r="C14" s="145"/>
      <c r="D14" s="141">
        <v>110.5</v>
      </c>
      <c r="E14" s="141">
        <v>197.125</v>
      </c>
      <c r="F14" s="141">
        <v>7296.39</v>
      </c>
      <c r="G14" s="137">
        <v>0</v>
      </c>
      <c r="H14" s="137">
        <v>0</v>
      </c>
      <c r="I14" s="36">
        <v>0</v>
      </c>
      <c r="J14" s="36">
        <v>0</v>
      </c>
      <c r="K14" s="37">
        <v>0</v>
      </c>
      <c r="L14" s="138">
        <v>0</v>
      </c>
      <c r="M14" s="138">
        <v>0</v>
      </c>
      <c r="N14" s="138">
        <v>0</v>
      </c>
      <c r="O14" s="138">
        <v>0</v>
      </c>
      <c r="P14" s="138">
        <v>0</v>
      </c>
      <c r="Q14" s="138">
        <v>0</v>
      </c>
      <c r="R14" s="138">
        <v>0</v>
      </c>
      <c r="S14" s="138">
        <v>0</v>
      </c>
      <c r="T14" s="138">
        <v>0</v>
      </c>
    </row>
    <row r="15" spans="1:20">
      <c r="A15" s="39">
        <v>11</v>
      </c>
      <c r="B15" s="144" t="s">
        <v>175</v>
      </c>
      <c r="C15" s="145"/>
      <c r="D15" s="141">
        <v>217.23099999999999</v>
      </c>
      <c r="E15" s="141">
        <v>66</v>
      </c>
      <c r="F15" s="141">
        <v>7447.6210000000001</v>
      </c>
      <c r="G15" s="137">
        <v>0</v>
      </c>
      <c r="H15" s="137">
        <v>0</v>
      </c>
      <c r="I15" s="36">
        <v>0</v>
      </c>
      <c r="J15" s="36">
        <v>0</v>
      </c>
      <c r="K15" s="37">
        <v>0</v>
      </c>
      <c r="L15" s="138">
        <v>0</v>
      </c>
      <c r="M15" s="138">
        <v>0</v>
      </c>
      <c r="N15" s="138">
        <v>0</v>
      </c>
      <c r="O15" s="138">
        <v>0</v>
      </c>
      <c r="P15" s="138">
        <v>0</v>
      </c>
      <c r="Q15" s="138">
        <v>0</v>
      </c>
      <c r="R15" s="138">
        <v>0</v>
      </c>
      <c r="S15" s="138">
        <v>0</v>
      </c>
      <c r="T15" s="138">
        <v>0</v>
      </c>
    </row>
    <row r="16" spans="1:20">
      <c r="A16" s="39">
        <v>12</v>
      </c>
      <c r="B16" s="144" t="s">
        <v>176</v>
      </c>
      <c r="C16" s="145"/>
      <c r="D16" s="141">
        <v>194.90199999999999</v>
      </c>
      <c r="E16" s="141">
        <v>154.5</v>
      </c>
      <c r="F16" s="141">
        <v>7488.0230000000001</v>
      </c>
      <c r="G16" s="137">
        <v>0</v>
      </c>
      <c r="H16" s="137">
        <v>0</v>
      </c>
      <c r="I16" s="36">
        <v>0</v>
      </c>
      <c r="J16" s="36">
        <v>0</v>
      </c>
      <c r="K16" s="37">
        <v>0</v>
      </c>
      <c r="L16" s="138">
        <v>0</v>
      </c>
      <c r="M16" s="138">
        <v>0</v>
      </c>
      <c r="N16" s="138">
        <v>0</v>
      </c>
      <c r="O16" s="138">
        <v>0</v>
      </c>
      <c r="P16" s="138">
        <v>0</v>
      </c>
      <c r="Q16" s="138">
        <v>0</v>
      </c>
      <c r="R16" s="138">
        <v>0</v>
      </c>
      <c r="S16" s="138">
        <v>0</v>
      </c>
      <c r="T16" s="138">
        <v>0</v>
      </c>
    </row>
    <row r="17" spans="1:20">
      <c r="A17" s="39">
        <v>13</v>
      </c>
      <c r="B17" s="144" t="s">
        <v>177</v>
      </c>
      <c r="C17" s="145"/>
      <c r="D17" s="141">
        <v>128.64099999999999</v>
      </c>
      <c r="E17" s="141">
        <v>229</v>
      </c>
      <c r="F17" s="141">
        <v>7387.6639999999998</v>
      </c>
      <c r="G17" s="137">
        <v>0</v>
      </c>
      <c r="H17" s="137">
        <v>0</v>
      </c>
      <c r="I17" s="36">
        <v>0</v>
      </c>
      <c r="J17" s="36">
        <v>0</v>
      </c>
      <c r="K17" s="37">
        <v>0</v>
      </c>
      <c r="L17" s="138">
        <v>0</v>
      </c>
      <c r="M17" s="138">
        <v>0</v>
      </c>
      <c r="N17" s="138">
        <v>0</v>
      </c>
      <c r="O17" s="138">
        <v>0</v>
      </c>
      <c r="P17" s="138">
        <v>0</v>
      </c>
      <c r="Q17" s="138">
        <v>0</v>
      </c>
      <c r="R17" s="138">
        <v>0</v>
      </c>
      <c r="S17" s="138">
        <v>0</v>
      </c>
      <c r="T17" s="138">
        <v>0</v>
      </c>
    </row>
    <row r="18" spans="1:20">
      <c r="A18" s="39">
        <v>14</v>
      </c>
      <c r="B18" s="144" t="s">
        <v>178</v>
      </c>
      <c r="C18" s="145"/>
      <c r="D18" s="141">
        <v>0</v>
      </c>
      <c r="E18" s="141">
        <v>349.6</v>
      </c>
      <c r="F18" s="141">
        <v>7038.0640000000003</v>
      </c>
      <c r="G18" s="137">
        <v>0</v>
      </c>
      <c r="H18" s="137">
        <v>0</v>
      </c>
      <c r="I18" s="36">
        <v>0</v>
      </c>
      <c r="J18" s="36">
        <v>0</v>
      </c>
      <c r="K18" s="37">
        <v>0</v>
      </c>
      <c r="L18" s="138">
        <v>0</v>
      </c>
      <c r="M18" s="138">
        <v>0</v>
      </c>
      <c r="N18" s="138">
        <v>0</v>
      </c>
      <c r="O18" s="138">
        <v>0</v>
      </c>
      <c r="P18" s="138">
        <v>0</v>
      </c>
      <c r="Q18" s="138">
        <v>0</v>
      </c>
      <c r="R18" s="138">
        <v>0</v>
      </c>
      <c r="S18" s="138">
        <v>0</v>
      </c>
      <c r="T18" s="138">
        <v>0</v>
      </c>
    </row>
    <row r="19" spans="1:20">
      <c r="A19" s="39">
        <v>15</v>
      </c>
      <c r="B19" s="144" t="s">
        <v>179</v>
      </c>
      <c r="C19" s="145"/>
      <c r="D19" s="141">
        <v>16.388999999999999</v>
      </c>
      <c r="E19" s="141">
        <v>176.875</v>
      </c>
      <c r="F19" s="141">
        <v>6877.5780000000004</v>
      </c>
      <c r="G19" s="137">
        <v>0</v>
      </c>
      <c r="H19" s="137">
        <v>0</v>
      </c>
      <c r="I19" s="36">
        <v>0</v>
      </c>
      <c r="J19" s="36">
        <v>0</v>
      </c>
      <c r="K19" s="37">
        <v>0</v>
      </c>
      <c r="L19" s="138">
        <v>0</v>
      </c>
      <c r="M19" s="138">
        <v>0</v>
      </c>
      <c r="N19" s="138">
        <v>0</v>
      </c>
      <c r="O19" s="138">
        <v>0</v>
      </c>
      <c r="P19" s="138">
        <v>0</v>
      </c>
      <c r="Q19" s="138">
        <v>0</v>
      </c>
      <c r="R19" s="138">
        <v>0</v>
      </c>
      <c r="S19" s="138">
        <v>0</v>
      </c>
      <c r="T19" s="138">
        <v>0</v>
      </c>
    </row>
    <row r="20" spans="1:20">
      <c r="A20" s="39">
        <v>16</v>
      </c>
      <c r="B20" s="144" t="s">
        <v>180</v>
      </c>
      <c r="C20" s="145"/>
      <c r="D20" s="141">
        <v>45</v>
      </c>
      <c r="E20" s="141">
        <v>220</v>
      </c>
      <c r="F20" s="141">
        <v>6702.5780000000004</v>
      </c>
      <c r="G20" s="137">
        <v>0</v>
      </c>
      <c r="H20" s="137">
        <v>0</v>
      </c>
      <c r="I20" s="36">
        <v>0</v>
      </c>
      <c r="J20" s="36">
        <v>0</v>
      </c>
      <c r="K20" s="37">
        <v>0</v>
      </c>
      <c r="L20" s="138">
        <v>0</v>
      </c>
      <c r="M20" s="138">
        <v>0</v>
      </c>
      <c r="N20" s="138">
        <v>0</v>
      </c>
      <c r="O20" s="138">
        <v>0</v>
      </c>
      <c r="P20" s="138">
        <v>0</v>
      </c>
      <c r="Q20" s="138">
        <v>0</v>
      </c>
      <c r="R20" s="138">
        <v>0</v>
      </c>
      <c r="S20" s="138">
        <v>0</v>
      </c>
      <c r="T20" s="138">
        <v>0</v>
      </c>
    </row>
    <row r="21" spans="1:20">
      <c r="A21" s="39">
        <v>17</v>
      </c>
      <c r="B21" s="144" t="s">
        <v>181</v>
      </c>
      <c r="C21" s="145"/>
      <c r="D21" s="141">
        <v>45</v>
      </c>
      <c r="E21" s="141">
        <v>189.875</v>
      </c>
      <c r="F21" s="141">
        <v>6557.7030000000004</v>
      </c>
      <c r="G21" s="137">
        <v>0</v>
      </c>
      <c r="H21" s="137">
        <v>0</v>
      </c>
      <c r="I21" s="36">
        <v>0</v>
      </c>
      <c r="J21" s="36">
        <v>0</v>
      </c>
      <c r="K21" s="37">
        <v>0</v>
      </c>
      <c r="L21" s="138">
        <v>0</v>
      </c>
      <c r="M21" s="138">
        <v>0</v>
      </c>
      <c r="N21" s="138">
        <v>0</v>
      </c>
      <c r="O21" s="138">
        <v>0</v>
      </c>
      <c r="P21" s="138">
        <v>0</v>
      </c>
      <c r="Q21" s="138">
        <v>0</v>
      </c>
      <c r="R21" s="138">
        <v>0</v>
      </c>
      <c r="S21" s="138">
        <v>0</v>
      </c>
      <c r="T21" s="138">
        <v>0</v>
      </c>
    </row>
    <row r="22" spans="1:20">
      <c r="A22" s="39">
        <v>18</v>
      </c>
      <c r="B22" s="144" t="s">
        <v>182</v>
      </c>
      <c r="C22" s="145"/>
      <c r="D22" s="141">
        <v>22.5</v>
      </c>
      <c r="E22" s="141">
        <v>224</v>
      </c>
      <c r="F22" s="141">
        <v>6356.2030000000004</v>
      </c>
      <c r="G22" s="137">
        <v>0</v>
      </c>
      <c r="H22" s="137">
        <v>0</v>
      </c>
      <c r="I22" s="36">
        <v>0</v>
      </c>
      <c r="J22" s="36">
        <v>0</v>
      </c>
      <c r="K22" s="37">
        <v>0</v>
      </c>
      <c r="L22" s="138">
        <v>0</v>
      </c>
      <c r="M22" s="138">
        <v>0</v>
      </c>
      <c r="N22" s="138">
        <v>0</v>
      </c>
      <c r="O22" s="138">
        <v>0</v>
      </c>
      <c r="P22" s="138">
        <v>0</v>
      </c>
      <c r="Q22" s="138">
        <v>0</v>
      </c>
      <c r="R22" s="138">
        <v>0</v>
      </c>
      <c r="S22" s="138">
        <v>0</v>
      </c>
      <c r="T22" s="138">
        <v>0</v>
      </c>
    </row>
    <row r="23" spans="1:20">
      <c r="A23" s="39">
        <v>19</v>
      </c>
      <c r="B23" s="144" t="s">
        <v>183</v>
      </c>
      <c r="C23" s="145"/>
      <c r="D23" s="141">
        <v>0</v>
      </c>
      <c r="E23" s="141">
        <v>44</v>
      </c>
      <c r="F23" s="141">
        <v>6312.2030000000004</v>
      </c>
      <c r="G23" s="137">
        <v>0</v>
      </c>
      <c r="H23" s="137">
        <v>0</v>
      </c>
      <c r="I23" s="36">
        <v>0</v>
      </c>
      <c r="J23" s="36">
        <v>0</v>
      </c>
      <c r="K23" s="37">
        <v>0</v>
      </c>
      <c r="L23" s="138">
        <v>0</v>
      </c>
      <c r="M23" s="138">
        <v>0</v>
      </c>
      <c r="N23" s="138">
        <v>0</v>
      </c>
      <c r="O23" s="138">
        <v>0</v>
      </c>
      <c r="P23" s="138">
        <v>0</v>
      </c>
      <c r="Q23" s="138">
        <v>0</v>
      </c>
      <c r="R23" s="138">
        <v>0</v>
      </c>
      <c r="S23" s="138">
        <v>0</v>
      </c>
      <c r="T23" s="138">
        <v>0</v>
      </c>
    </row>
    <row r="24" spans="1:20">
      <c r="A24" s="39">
        <v>20</v>
      </c>
      <c r="B24" s="144" t="s">
        <v>184</v>
      </c>
      <c r="C24" s="145"/>
      <c r="D24" s="141">
        <v>0</v>
      </c>
      <c r="E24" s="141">
        <v>110</v>
      </c>
      <c r="F24" s="141">
        <v>6202.2030000000004</v>
      </c>
      <c r="G24" s="137">
        <v>0</v>
      </c>
      <c r="H24" s="137">
        <v>0</v>
      </c>
      <c r="I24" s="36">
        <v>0</v>
      </c>
      <c r="J24" s="36">
        <v>0</v>
      </c>
      <c r="K24" s="37">
        <v>0</v>
      </c>
      <c r="L24" s="138">
        <v>0</v>
      </c>
      <c r="M24" s="138">
        <v>0</v>
      </c>
      <c r="N24" s="138">
        <v>0</v>
      </c>
      <c r="O24" s="138">
        <v>0</v>
      </c>
      <c r="P24" s="138">
        <v>0</v>
      </c>
      <c r="Q24" s="138">
        <v>0</v>
      </c>
      <c r="R24" s="138">
        <v>0</v>
      </c>
      <c r="S24" s="138">
        <v>0</v>
      </c>
      <c r="T24" s="138">
        <v>0</v>
      </c>
    </row>
    <row r="25" spans="1:20">
      <c r="A25" s="39">
        <v>21</v>
      </c>
      <c r="B25" s="144" t="s">
        <v>185</v>
      </c>
      <c r="C25" s="145"/>
      <c r="D25" s="141">
        <v>0</v>
      </c>
      <c r="E25" s="141">
        <v>232.05</v>
      </c>
      <c r="F25" s="141">
        <v>5970.1530000000002</v>
      </c>
      <c r="G25" s="137">
        <v>0</v>
      </c>
      <c r="H25" s="137">
        <v>0</v>
      </c>
      <c r="I25" s="36">
        <v>0</v>
      </c>
      <c r="J25" s="36">
        <v>0</v>
      </c>
      <c r="K25" s="37">
        <v>0</v>
      </c>
      <c r="L25" s="138">
        <v>0</v>
      </c>
      <c r="M25" s="138">
        <v>0</v>
      </c>
      <c r="N25" s="138">
        <v>0</v>
      </c>
      <c r="O25" s="138">
        <v>0</v>
      </c>
      <c r="P25" s="138">
        <v>0</v>
      </c>
      <c r="Q25" s="138">
        <v>0</v>
      </c>
      <c r="R25" s="138">
        <v>0</v>
      </c>
      <c r="S25" s="138">
        <v>0</v>
      </c>
      <c r="T25" s="138">
        <v>0</v>
      </c>
    </row>
    <row r="26" spans="1:20">
      <c r="A26" s="39">
        <v>22</v>
      </c>
      <c r="B26" s="144" t="s">
        <v>186</v>
      </c>
      <c r="C26" s="145"/>
      <c r="D26" s="141">
        <v>134.5</v>
      </c>
      <c r="E26" s="141">
        <v>102.5</v>
      </c>
      <c r="F26" s="141">
        <v>6002.1530000000002</v>
      </c>
      <c r="G26" s="137">
        <v>0</v>
      </c>
      <c r="H26" s="137">
        <v>0</v>
      </c>
      <c r="I26" s="36">
        <v>0</v>
      </c>
      <c r="J26" s="36">
        <v>0</v>
      </c>
      <c r="K26" s="37">
        <v>0</v>
      </c>
      <c r="L26" s="138">
        <v>0</v>
      </c>
      <c r="M26" s="138">
        <v>0</v>
      </c>
      <c r="N26" s="138">
        <v>0</v>
      </c>
      <c r="O26" s="138">
        <v>0</v>
      </c>
      <c r="P26" s="138">
        <v>0</v>
      </c>
      <c r="Q26" s="138">
        <v>0</v>
      </c>
      <c r="R26" s="138">
        <v>0</v>
      </c>
      <c r="S26" s="138">
        <v>0</v>
      </c>
      <c r="T26" s="138">
        <v>0</v>
      </c>
    </row>
    <row r="27" spans="1:20">
      <c r="A27" s="39">
        <v>23</v>
      </c>
      <c r="B27" s="144" t="s">
        <v>187</v>
      </c>
      <c r="C27" s="145"/>
      <c r="D27" s="141">
        <v>406.47500000000002</v>
      </c>
      <c r="E27" s="141">
        <v>203.5</v>
      </c>
      <c r="F27" s="141">
        <v>6205.1279999999997</v>
      </c>
      <c r="G27" s="137">
        <v>0</v>
      </c>
      <c r="H27" s="137">
        <v>0</v>
      </c>
      <c r="I27" s="36">
        <v>0</v>
      </c>
      <c r="J27" s="36">
        <v>0</v>
      </c>
      <c r="K27" s="37">
        <v>0</v>
      </c>
      <c r="L27" s="138">
        <v>0</v>
      </c>
      <c r="M27" s="138">
        <v>0</v>
      </c>
      <c r="N27" s="138">
        <v>0</v>
      </c>
      <c r="O27" s="138">
        <v>0</v>
      </c>
      <c r="P27" s="138">
        <v>0</v>
      </c>
      <c r="Q27" s="138">
        <v>0</v>
      </c>
      <c r="R27" s="138">
        <v>0</v>
      </c>
      <c r="S27" s="138">
        <v>0</v>
      </c>
      <c r="T27" s="138">
        <v>0</v>
      </c>
    </row>
    <row r="28" spans="1:20">
      <c r="A28" s="39">
        <v>24</v>
      </c>
      <c r="B28" s="144" t="s">
        <v>188</v>
      </c>
      <c r="C28" s="145"/>
      <c r="D28" s="141">
        <v>201</v>
      </c>
      <c r="E28" s="141">
        <v>22.1</v>
      </c>
      <c r="F28" s="141">
        <v>6384.0280000000002</v>
      </c>
      <c r="G28" s="137">
        <v>0</v>
      </c>
      <c r="H28" s="137">
        <v>0</v>
      </c>
      <c r="I28" s="36">
        <v>0</v>
      </c>
      <c r="J28" s="36">
        <v>0</v>
      </c>
      <c r="K28" s="37">
        <v>0</v>
      </c>
      <c r="L28" s="138">
        <v>0</v>
      </c>
      <c r="M28" s="138">
        <v>0</v>
      </c>
      <c r="N28" s="138">
        <v>0</v>
      </c>
      <c r="O28" s="138">
        <v>0</v>
      </c>
      <c r="P28" s="138">
        <v>0</v>
      </c>
      <c r="Q28" s="138">
        <v>0</v>
      </c>
      <c r="R28" s="138">
        <v>0</v>
      </c>
      <c r="S28" s="138">
        <v>0</v>
      </c>
      <c r="T28" s="138">
        <v>0</v>
      </c>
    </row>
    <row r="29" spans="1:20">
      <c r="A29" s="39">
        <v>25</v>
      </c>
      <c r="B29" s="144" t="s">
        <v>189</v>
      </c>
      <c r="C29" s="145"/>
      <c r="D29" s="141">
        <v>207.14699999999999</v>
      </c>
      <c r="E29" s="141">
        <v>22</v>
      </c>
      <c r="F29" s="141">
        <v>6569.1750000000002</v>
      </c>
      <c r="G29" s="137">
        <v>0</v>
      </c>
      <c r="H29" s="137">
        <v>0</v>
      </c>
      <c r="I29" s="36">
        <v>0</v>
      </c>
      <c r="J29" s="36">
        <v>0</v>
      </c>
      <c r="K29" s="37">
        <v>0</v>
      </c>
      <c r="L29" s="138">
        <v>0</v>
      </c>
      <c r="M29" s="138">
        <v>0</v>
      </c>
      <c r="N29" s="138">
        <v>0</v>
      </c>
      <c r="O29" s="138">
        <v>0</v>
      </c>
      <c r="P29" s="138">
        <v>0</v>
      </c>
      <c r="Q29" s="138">
        <v>0</v>
      </c>
      <c r="R29" s="138">
        <v>0</v>
      </c>
      <c r="S29" s="138">
        <v>0</v>
      </c>
      <c r="T29" s="138">
        <v>0</v>
      </c>
    </row>
    <row r="30" spans="1:20">
      <c r="A30" s="39">
        <v>26</v>
      </c>
      <c r="B30" s="144" t="s">
        <v>190</v>
      </c>
      <c r="C30" s="145"/>
      <c r="D30" s="141">
        <v>199.5</v>
      </c>
      <c r="E30" s="141">
        <v>66</v>
      </c>
      <c r="F30" s="141">
        <v>6702.6750000000002</v>
      </c>
      <c r="G30" s="137">
        <v>0</v>
      </c>
      <c r="H30" s="137">
        <v>0</v>
      </c>
      <c r="I30" s="36">
        <v>0</v>
      </c>
      <c r="J30" s="36">
        <v>0</v>
      </c>
      <c r="K30" s="37">
        <v>0</v>
      </c>
      <c r="L30" s="138">
        <v>0</v>
      </c>
      <c r="M30" s="138">
        <v>0</v>
      </c>
      <c r="N30" s="138">
        <v>0</v>
      </c>
      <c r="O30" s="138">
        <v>0</v>
      </c>
      <c r="P30" s="138">
        <v>0</v>
      </c>
      <c r="Q30" s="138">
        <v>0</v>
      </c>
      <c r="R30" s="138">
        <v>0</v>
      </c>
      <c r="S30" s="138">
        <v>0</v>
      </c>
      <c r="T30" s="138">
        <v>0</v>
      </c>
    </row>
    <row r="31" spans="1:20">
      <c r="A31" s="39">
        <v>27</v>
      </c>
      <c r="B31" s="144" t="s">
        <v>191</v>
      </c>
      <c r="C31" s="145"/>
      <c r="D31" s="141">
        <v>66.5</v>
      </c>
      <c r="E31" s="141">
        <v>150.489</v>
      </c>
      <c r="F31" s="141">
        <v>6618.6859999999997</v>
      </c>
      <c r="G31" s="137">
        <v>0</v>
      </c>
      <c r="H31" s="137">
        <v>0</v>
      </c>
      <c r="I31" s="36">
        <v>0</v>
      </c>
      <c r="J31" s="36">
        <v>0</v>
      </c>
      <c r="K31" s="37">
        <v>0</v>
      </c>
      <c r="L31" s="138">
        <v>0</v>
      </c>
      <c r="M31" s="138">
        <v>0</v>
      </c>
      <c r="N31" s="138">
        <v>0</v>
      </c>
      <c r="O31" s="138">
        <v>0</v>
      </c>
      <c r="P31" s="138">
        <v>0</v>
      </c>
      <c r="Q31" s="138">
        <v>0</v>
      </c>
      <c r="R31" s="138">
        <v>0</v>
      </c>
      <c r="S31" s="138">
        <v>0</v>
      </c>
      <c r="T31" s="138">
        <v>0</v>
      </c>
    </row>
    <row r="32" spans="1:20">
      <c r="A32" s="39">
        <v>28</v>
      </c>
      <c r="B32" s="144" t="s">
        <v>192</v>
      </c>
      <c r="C32" s="145"/>
      <c r="D32" s="141">
        <v>157</v>
      </c>
      <c r="E32" s="141">
        <v>65.875</v>
      </c>
      <c r="F32" s="141">
        <v>6709.8109999999997</v>
      </c>
      <c r="G32" s="137">
        <v>0</v>
      </c>
      <c r="H32" s="137">
        <v>0</v>
      </c>
      <c r="I32" s="36">
        <v>0</v>
      </c>
      <c r="J32" s="36">
        <v>0</v>
      </c>
      <c r="K32" s="37">
        <v>0</v>
      </c>
      <c r="L32" s="138">
        <v>0</v>
      </c>
      <c r="M32" s="138">
        <v>0</v>
      </c>
      <c r="N32" s="138">
        <v>0</v>
      </c>
      <c r="O32" s="138">
        <v>0</v>
      </c>
      <c r="P32" s="138">
        <v>0</v>
      </c>
      <c r="Q32" s="138">
        <v>0</v>
      </c>
      <c r="R32" s="138">
        <v>0</v>
      </c>
      <c r="S32" s="138">
        <v>0</v>
      </c>
      <c r="T32" s="138">
        <v>0</v>
      </c>
    </row>
    <row r="33" spans="1:20">
      <c r="A33" s="39">
        <v>29</v>
      </c>
      <c r="B33" s="144" t="s">
        <v>193</v>
      </c>
      <c r="C33" s="145"/>
      <c r="D33" s="141">
        <v>156</v>
      </c>
      <c r="E33" s="141">
        <v>294.76</v>
      </c>
      <c r="F33" s="141">
        <v>6571.0510000000004</v>
      </c>
      <c r="G33" s="137">
        <v>0</v>
      </c>
      <c r="H33" s="137">
        <v>0</v>
      </c>
      <c r="I33" s="36">
        <v>0</v>
      </c>
      <c r="J33" s="36">
        <v>0</v>
      </c>
      <c r="K33" s="37">
        <v>0</v>
      </c>
      <c r="L33" s="138">
        <v>0</v>
      </c>
      <c r="M33" s="138">
        <v>0</v>
      </c>
      <c r="N33" s="138">
        <v>0</v>
      </c>
      <c r="O33" s="138">
        <v>0</v>
      </c>
      <c r="P33" s="138">
        <v>0</v>
      </c>
      <c r="Q33" s="138">
        <v>0</v>
      </c>
      <c r="R33" s="138">
        <v>0</v>
      </c>
      <c r="S33" s="138">
        <v>0</v>
      </c>
      <c r="T33" s="138">
        <v>0</v>
      </c>
    </row>
    <row r="34" spans="1:20">
      <c r="A34" s="39">
        <v>30</v>
      </c>
      <c r="B34" s="144" t="s">
        <v>194</v>
      </c>
      <c r="C34" s="145"/>
      <c r="D34" s="141">
        <v>89</v>
      </c>
      <c r="E34" s="141">
        <v>171.625</v>
      </c>
      <c r="F34" s="141">
        <v>6488.4260000000004</v>
      </c>
      <c r="G34" s="137">
        <v>0</v>
      </c>
      <c r="H34" s="137">
        <v>0</v>
      </c>
      <c r="I34" s="36">
        <v>0</v>
      </c>
      <c r="J34" s="36">
        <v>0</v>
      </c>
      <c r="K34" s="37">
        <v>0</v>
      </c>
      <c r="L34" s="138">
        <v>0</v>
      </c>
      <c r="M34" s="138">
        <v>0</v>
      </c>
      <c r="N34" s="138">
        <v>0</v>
      </c>
      <c r="O34" s="138">
        <v>0</v>
      </c>
      <c r="P34" s="138">
        <v>0</v>
      </c>
      <c r="Q34" s="138">
        <v>0</v>
      </c>
      <c r="R34" s="138">
        <v>0</v>
      </c>
      <c r="S34" s="138">
        <v>0</v>
      </c>
      <c r="T34" s="138">
        <v>0</v>
      </c>
    </row>
    <row r="35" spans="1:20">
      <c r="A35" s="39">
        <v>31</v>
      </c>
      <c r="B35" s="144"/>
      <c r="C35" s="145"/>
      <c r="D35" s="141">
        <v>0</v>
      </c>
      <c r="E35" s="141">
        <v>0</v>
      </c>
      <c r="F35" s="141">
        <v>0</v>
      </c>
      <c r="G35" s="137">
        <v>0</v>
      </c>
      <c r="H35" s="137">
        <v>0</v>
      </c>
      <c r="I35" s="36">
        <v>0</v>
      </c>
      <c r="J35" s="36">
        <v>0</v>
      </c>
      <c r="K35" s="37">
        <v>0</v>
      </c>
      <c r="L35" s="138">
        <v>0</v>
      </c>
      <c r="M35" s="138">
        <v>0</v>
      </c>
      <c r="N35" s="138">
        <v>0</v>
      </c>
      <c r="O35" s="138">
        <v>0</v>
      </c>
      <c r="P35" s="138">
        <v>0</v>
      </c>
      <c r="Q35" s="138">
        <v>0</v>
      </c>
      <c r="R35" s="138">
        <v>0</v>
      </c>
      <c r="S35" s="138">
        <v>0</v>
      </c>
      <c r="T35" s="138">
        <v>0</v>
      </c>
    </row>
    <row r="36" spans="1:20">
      <c r="D36" s="43">
        <v>3620.5349999999999</v>
      </c>
      <c r="E36" s="43">
        <v>4893.8739999999998</v>
      </c>
      <c r="F36" s="43">
        <v>207242.52599999993</v>
      </c>
      <c r="G36" s="43">
        <v>0</v>
      </c>
      <c r="H36" s="43">
        <v>0</v>
      </c>
      <c r="I36" s="43">
        <v>0</v>
      </c>
      <c r="J36" s="43">
        <v>0</v>
      </c>
      <c r="K36" s="43">
        <v>0</v>
      </c>
      <c r="L36" s="139">
        <v>0</v>
      </c>
      <c r="M36" s="139">
        <v>839887</v>
      </c>
      <c r="N36" s="139">
        <v>920919.19</v>
      </c>
      <c r="O36" s="139">
        <v>2872736.32</v>
      </c>
      <c r="P36" s="139">
        <v>140052.25</v>
      </c>
      <c r="Q36" s="139">
        <v>0</v>
      </c>
      <c r="R36" s="139">
        <v>0</v>
      </c>
      <c r="S36" s="139">
        <v>0</v>
      </c>
      <c r="T36" s="139">
        <v>4773594.76</v>
      </c>
    </row>
    <row r="37" spans="1:20">
      <c r="R37" s="46"/>
      <c r="S37" s="46"/>
      <c r="T37" s="140">
        <v>5823785.6100000003</v>
      </c>
    </row>
  </sheetData>
  <mergeCells count="50"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129D2-C8B2-455E-AAE1-7B26A1144064}">
  <sheetPr>
    <pageSetUpPr fitToPage="1"/>
  </sheetPr>
  <dimension ref="A1:T37"/>
  <sheetViews>
    <sheetView workbookViewId="0">
      <selection activeCell="Q37" sqref="Q37"/>
    </sheetView>
  </sheetViews>
  <sheetFormatPr defaultRowHeight="15"/>
  <cols>
    <col min="1" max="3" width="9.140625" style="28"/>
    <col min="4" max="4" width="11.7109375" style="28" customWidth="1"/>
    <col min="5" max="5" width="12.140625" style="28" customWidth="1"/>
    <col min="6" max="6" width="13.28515625" style="28" customWidth="1"/>
    <col min="7" max="7" width="11.42578125" style="28" customWidth="1"/>
    <col min="8" max="8" width="10.42578125" style="28" customWidth="1"/>
    <col min="9" max="9" width="10.5703125" style="28" bestFit="1" customWidth="1"/>
    <col min="10" max="10" width="9.42578125" style="28" bestFit="1" customWidth="1"/>
    <col min="11" max="12" width="9.140625" style="28"/>
    <col min="13" max="13" width="15.140625" style="28" customWidth="1"/>
    <col min="14" max="14" width="13.5703125" style="28" customWidth="1"/>
    <col min="15" max="15" width="14.5703125" style="28" customWidth="1"/>
    <col min="16" max="16" width="14.5703125" style="28" bestFit="1" customWidth="1"/>
    <col min="17" max="17" width="15" style="28" customWidth="1"/>
    <col min="18" max="18" width="13.28515625" style="28" customWidth="1"/>
    <col min="19" max="19" width="11.7109375" style="28" customWidth="1"/>
    <col min="20" max="20" width="24.28515625" style="28" customWidth="1"/>
    <col min="21" max="16384" width="9.140625" style="28"/>
  </cols>
  <sheetData>
    <row r="1" spans="1:20">
      <c r="I1" s="29"/>
    </row>
    <row r="2" spans="1:20" ht="28.9" customHeight="1">
      <c r="A2" s="149" t="s">
        <v>196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</row>
    <row r="3" spans="1:20" ht="28.9" customHeight="1">
      <c r="A3" s="146" t="s">
        <v>0</v>
      </c>
      <c r="B3" s="150" t="s">
        <v>1</v>
      </c>
      <c r="C3" s="151"/>
      <c r="D3" s="146" t="s">
        <v>2</v>
      </c>
      <c r="E3" s="146" t="s">
        <v>3</v>
      </c>
      <c r="F3" s="30" t="s">
        <v>4</v>
      </c>
      <c r="G3" s="146" t="s">
        <v>156</v>
      </c>
      <c r="H3" s="146" t="s">
        <v>157</v>
      </c>
      <c r="I3" s="146" t="s">
        <v>7</v>
      </c>
      <c r="J3" s="146" t="s">
        <v>8</v>
      </c>
      <c r="K3" s="146" t="s">
        <v>158</v>
      </c>
      <c r="L3" s="146" t="s">
        <v>159</v>
      </c>
      <c r="M3" s="146" t="s">
        <v>160</v>
      </c>
      <c r="N3" s="146" t="s">
        <v>161</v>
      </c>
      <c r="O3" s="146" t="s">
        <v>162</v>
      </c>
      <c r="P3" s="146" t="s">
        <v>163</v>
      </c>
      <c r="Q3" s="146" t="s">
        <v>164</v>
      </c>
      <c r="R3" s="146" t="s">
        <v>16</v>
      </c>
      <c r="S3" s="146" t="s">
        <v>17</v>
      </c>
      <c r="T3" s="146" t="s">
        <v>18</v>
      </c>
    </row>
    <row r="4" spans="1:20" ht="27" customHeight="1">
      <c r="A4" s="147"/>
      <c r="B4" s="152"/>
      <c r="C4" s="153"/>
      <c r="D4" s="147"/>
      <c r="E4" s="147"/>
      <c r="F4" s="31"/>
      <c r="G4" s="147"/>
      <c r="H4" s="147"/>
      <c r="I4" s="147"/>
      <c r="J4" s="147"/>
      <c r="K4" s="148"/>
      <c r="L4" s="148"/>
      <c r="M4" s="147"/>
      <c r="N4" s="147"/>
      <c r="O4" s="147"/>
      <c r="P4" s="147"/>
      <c r="Q4" s="147"/>
      <c r="R4" s="147"/>
      <c r="S4" s="147"/>
      <c r="T4" s="147"/>
    </row>
    <row r="5" spans="1:20">
      <c r="A5" s="39">
        <v>1</v>
      </c>
      <c r="B5" s="144" t="s">
        <v>165</v>
      </c>
      <c r="C5" s="145"/>
      <c r="D5" s="141">
        <v>0</v>
      </c>
      <c r="E5" s="141">
        <v>0</v>
      </c>
      <c r="F5" s="141">
        <v>133.375</v>
      </c>
      <c r="G5" s="137">
        <v>0</v>
      </c>
      <c r="H5" s="137">
        <v>0</v>
      </c>
      <c r="I5" s="36">
        <v>0</v>
      </c>
      <c r="J5" s="36">
        <v>0</v>
      </c>
      <c r="K5" s="37">
        <v>0</v>
      </c>
      <c r="L5" s="138">
        <v>0</v>
      </c>
      <c r="M5" s="138">
        <v>0</v>
      </c>
      <c r="N5" s="138">
        <v>0</v>
      </c>
      <c r="O5" s="138">
        <v>0</v>
      </c>
      <c r="P5" s="138">
        <v>0</v>
      </c>
      <c r="Q5" s="138">
        <v>0</v>
      </c>
      <c r="R5" s="138">
        <v>0</v>
      </c>
      <c r="S5" s="138">
        <v>0</v>
      </c>
      <c r="T5" s="138">
        <v>0</v>
      </c>
    </row>
    <row r="6" spans="1:20">
      <c r="A6" s="39">
        <v>2</v>
      </c>
      <c r="B6" s="144" t="s">
        <v>166</v>
      </c>
      <c r="C6" s="145"/>
      <c r="D6" s="141">
        <v>0</v>
      </c>
      <c r="E6" s="141">
        <v>0</v>
      </c>
      <c r="F6" s="141">
        <v>133.375</v>
      </c>
      <c r="G6" s="137">
        <v>0</v>
      </c>
      <c r="H6" s="137">
        <v>0</v>
      </c>
      <c r="I6" s="36">
        <v>0</v>
      </c>
      <c r="J6" s="36">
        <v>0</v>
      </c>
      <c r="K6" s="37">
        <v>0</v>
      </c>
      <c r="L6" s="138">
        <v>0</v>
      </c>
      <c r="M6" s="138">
        <v>0</v>
      </c>
      <c r="N6" s="138">
        <v>0</v>
      </c>
      <c r="O6" s="138">
        <v>0</v>
      </c>
      <c r="P6" s="138">
        <v>0</v>
      </c>
      <c r="Q6" s="138">
        <v>0</v>
      </c>
      <c r="R6" s="138">
        <v>0</v>
      </c>
      <c r="S6" s="138">
        <v>0</v>
      </c>
      <c r="T6" s="138">
        <v>0</v>
      </c>
    </row>
    <row r="7" spans="1:20">
      <c r="A7" s="39">
        <v>3</v>
      </c>
      <c r="B7" s="144" t="s">
        <v>167</v>
      </c>
      <c r="C7" s="145"/>
      <c r="D7" s="141">
        <v>0</v>
      </c>
      <c r="E7" s="141">
        <v>0</v>
      </c>
      <c r="F7" s="141">
        <v>133.375</v>
      </c>
      <c r="G7" s="137">
        <v>0</v>
      </c>
      <c r="H7" s="137">
        <v>0</v>
      </c>
      <c r="I7" s="36">
        <v>0</v>
      </c>
      <c r="J7" s="36">
        <v>0</v>
      </c>
      <c r="K7" s="37">
        <v>0</v>
      </c>
      <c r="L7" s="138">
        <v>0</v>
      </c>
      <c r="M7" s="138">
        <v>0</v>
      </c>
      <c r="N7" s="138">
        <v>0</v>
      </c>
      <c r="O7" s="138">
        <v>0</v>
      </c>
      <c r="P7" s="138">
        <v>0</v>
      </c>
      <c r="Q7" s="138">
        <v>0</v>
      </c>
      <c r="R7" s="138">
        <v>0</v>
      </c>
      <c r="S7" s="138">
        <v>0</v>
      </c>
      <c r="T7" s="138">
        <v>0</v>
      </c>
    </row>
    <row r="8" spans="1:20">
      <c r="A8" s="39">
        <v>4</v>
      </c>
      <c r="B8" s="144" t="s">
        <v>168</v>
      </c>
      <c r="C8" s="145"/>
      <c r="D8" s="141">
        <v>0</v>
      </c>
      <c r="E8" s="141">
        <v>0</v>
      </c>
      <c r="F8" s="141">
        <v>133.375</v>
      </c>
      <c r="G8" s="137">
        <v>0</v>
      </c>
      <c r="H8" s="137">
        <v>0</v>
      </c>
      <c r="I8" s="36">
        <v>0</v>
      </c>
      <c r="J8" s="36">
        <v>0</v>
      </c>
      <c r="K8" s="37">
        <v>0</v>
      </c>
      <c r="L8" s="138">
        <v>0</v>
      </c>
      <c r="M8" s="138">
        <v>0</v>
      </c>
      <c r="N8" s="138">
        <v>0</v>
      </c>
      <c r="O8" s="138">
        <v>0</v>
      </c>
      <c r="P8" s="138">
        <v>0</v>
      </c>
      <c r="Q8" s="138">
        <v>0</v>
      </c>
      <c r="R8" s="138">
        <v>0</v>
      </c>
      <c r="S8" s="138">
        <v>0</v>
      </c>
      <c r="T8" s="138">
        <v>0</v>
      </c>
    </row>
    <row r="9" spans="1:20">
      <c r="A9" s="39">
        <v>5</v>
      </c>
      <c r="B9" s="144" t="s">
        <v>169</v>
      </c>
      <c r="C9" s="145"/>
      <c r="D9" s="141">
        <v>132</v>
      </c>
      <c r="E9" s="141">
        <v>0</v>
      </c>
      <c r="F9" s="141">
        <v>265.375</v>
      </c>
      <c r="G9" s="137">
        <v>0</v>
      </c>
      <c r="H9" s="137">
        <v>0</v>
      </c>
      <c r="I9" s="36">
        <v>0</v>
      </c>
      <c r="J9" s="36">
        <v>0</v>
      </c>
      <c r="K9" s="37">
        <v>0</v>
      </c>
      <c r="L9" s="138">
        <v>0</v>
      </c>
      <c r="M9" s="138">
        <v>0</v>
      </c>
      <c r="N9" s="138">
        <v>0</v>
      </c>
      <c r="O9" s="138">
        <v>0</v>
      </c>
      <c r="P9" s="138">
        <v>0</v>
      </c>
      <c r="Q9" s="138">
        <v>0</v>
      </c>
      <c r="R9" s="138">
        <v>0</v>
      </c>
      <c r="S9" s="138">
        <v>0</v>
      </c>
      <c r="T9" s="138">
        <v>0</v>
      </c>
    </row>
    <row r="10" spans="1:20">
      <c r="A10" s="39">
        <v>6</v>
      </c>
      <c r="B10" s="144" t="s">
        <v>170</v>
      </c>
      <c r="C10" s="145"/>
      <c r="D10" s="141">
        <v>132</v>
      </c>
      <c r="E10" s="141">
        <v>0</v>
      </c>
      <c r="F10" s="141">
        <v>397.375</v>
      </c>
      <c r="G10" s="137">
        <v>0</v>
      </c>
      <c r="H10" s="137">
        <v>0</v>
      </c>
      <c r="I10" s="36">
        <v>0</v>
      </c>
      <c r="J10" s="36">
        <v>0</v>
      </c>
      <c r="K10" s="37">
        <v>0</v>
      </c>
      <c r="L10" s="138">
        <v>0</v>
      </c>
      <c r="M10" s="138">
        <v>0</v>
      </c>
      <c r="N10" s="138">
        <v>0</v>
      </c>
      <c r="O10" s="138">
        <v>0</v>
      </c>
      <c r="P10" s="138">
        <v>0</v>
      </c>
      <c r="Q10" s="138">
        <v>0</v>
      </c>
      <c r="R10" s="138">
        <v>0</v>
      </c>
      <c r="S10" s="138">
        <v>0</v>
      </c>
      <c r="T10" s="138">
        <v>0</v>
      </c>
    </row>
    <row r="11" spans="1:20">
      <c r="A11" s="39">
        <v>7</v>
      </c>
      <c r="B11" s="144" t="s">
        <v>171</v>
      </c>
      <c r="C11" s="145"/>
      <c r="D11" s="141">
        <v>0</v>
      </c>
      <c r="E11" s="141">
        <v>110</v>
      </c>
      <c r="F11" s="141">
        <v>287.375</v>
      </c>
      <c r="G11" s="137">
        <v>0</v>
      </c>
      <c r="H11" s="137">
        <v>0</v>
      </c>
      <c r="I11" s="36">
        <v>0</v>
      </c>
      <c r="J11" s="36">
        <v>0</v>
      </c>
      <c r="K11" s="37">
        <v>0</v>
      </c>
      <c r="L11" s="138">
        <v>0</v>
      </c>
      <c r="M11" s="138">
        <v>0</v>
      </c>
      <c r="N11" s="138">
        <v>0</v>
      </c>
      <c r="O11" s="138">
        <v>0</v>
      </c>
      <c r="P11" s="138">
        <v>0</v>
      </c>
      <c r="Q11" s="138">
        <v>0</v>
      </c>
      <c r="R11" s="138">
        <v>0</v>
      </c>
      <c r="S11" s="138">
        <v>0</v>
      </c>
      <c r="T11" s="138">
        <v>0</v>
      </c>
    </row>
    <row r="12" spans="1:20">
      <c r="A12" s="39">
        <v>8</v>
      </c>
      <c r="B12" s="144" t="s">
        <v>172</v>
      </c>
      <c r="C12" s="145"/>
      <c r="D12" s="141">
        <v>22</v>
      </c>
      <c r="E12" s="141">
        <v>0</v>
      </c>
      <c r="F12" s="141">
        <v>309.375</v>
      </c>
      <c r="G12" s="137">
        <v>0</v>
      </c>
      <c r="H12" s="137">
        <v>0</v>
      </c>
      <c r="I12" s="36">
        <v>0</v>
      </c>
      <c r="J12" s="36">
        <v>0</v>
      </c>
      <c r="K12" s="37">
        <v>0</v>
      </c>
      <c r="L12" s="138">
        <v>0</v>
      </c>
      <c r="M12" s="138">
        <v>0</v>
      </c>
      <c r="N12" s="138">
        <v>0</v>
      </c>
      <c r="O12" s="138">
        <v>0</v>
      </c>
      <c r="P12" s="138">
        <v>0</v>
      </c>
      <c r="Q12" s="138">
        <v>0</v>
      </c>
      <c r="R12" s="138">
        <v>0</v>
      </c>
      <c r="S12" s="138">
        <v>0</v>
      </c>
      <c r="T12" s="138">
        <v>0</v>
      </c>
    </row>
    <row r="13" spans="1:20">
      <c r="A13" s="39">
        <v>9</v>
      </c>
      <c r="B13" s="144" t="s">
        <v>173</v>
      </c>
      <c r="C13" s="145"/>
      <c r="D13" s="141">
        <v>88</v>
      </c>
      <c r="E13" s="141">
        <v>88</v>
      </c>
      <c r="F13" s="141">
        <v>309.375</v>
      </c>
      <c r="G13" s="137">
        <v>0</v>
      </c>
      <c r="H13" s="137">
        <v>0</v>
      </c>
      <c r="I13" s="36">
        <v>0</v>
      </c>
      <c r="J13" s="36">
        <v>0</v>
      </c>
      <c r="K13" s="37">
        <v>0</v>
      </c>
      <c r="L13" s="138">
        <v>0</v>
      </c>
      <c r="M13" s="138">
        <v>0</v>
      </c>
      <c r="N13" s="138">
        <v>0</v>
      </c>
      <c r="O13" s="138">
        <v>0</v>
      </c>
      <c r="P13" s="138">
        <v>0</v>
      </c>
      <c r="Q13" s="138">
        <v>0</v>
      </c>
      <c r="R13" s="138">
        <v>0</v>
      </c>
      <c r="S13" s="138">
        <v>0</v>
      </c>
      <c r="T13" s="138">
        <v>0</v>
      </c>
    </row>
    <row r="14" spans="1:20">
      <c r="A14" s="39">
        <v>10</v>
      </c>
      <c r="B14" s="144" t="s">
        <v>174</v>
      </c>
      <c r="C14" s="145"/>
      <c r="D14" s="141">
        <v>44</v>
      </c>
      <c r="E14" s="141">
        <v>66</v>
      </c>
      <c r="F14" s="141">
        <v>287.375</v>
      </c>
      <c r="G14" s="137">
        <v>0</v>
      </c>
      <c r="H14" s="137">
        <v>0</v>
      </c>
      <c r="I14" s="36">
        <v>0</v>
      </c>
      <c r="J14" s="36">
        <v>0</v>
      </c>
      <c r="K14" s="37">
        <v>0</v>
      </c>
      <c r="L14" s="138">
        <v>0</v>
      </c>
      <c r="M14" s="138">
        <v>0</v>
      </c>
      <c r="N14" s="138">
        <v>0</v>
      </c>
      <c r="O14" s="138">
        <v>0</v>
      </c>
      <c r="P14" s="138">
        <v>0</v>
      </c>
      <c r="Q14" s="138">
        <v>0</v>
      </c>
      <c r="R14" s="138">
        <v>0</v>
      </c>
      <c r="S14" s="138">
        <v>0</v>
      </c>
      <c r="T14" s="138">
        <v>0</v>
      </c>
    </row>
    <row r="15" spans="1:20">
      <c r="A15" s="39">
        <v>11</v>
      </c>
      <c r="B15" s="144" t="s">
        <v>175</v>
      </c>
      <c r="C15" s="145"/>
      <c r="D15" s="141">
        <v>22</v>
      </c>
      <c r="E15" s="141">
        <v>22</v>
      </c>
      <c r="F15" s="141">
        <v>287.375</v>
      </c>
      <c r="G15" s="137">
        <v>0</v>
      </c>
      <c r="H15" s="137">
        <v>0</v>
      </c>
      <c r="I15" s="36">
        <v>0</v>
      </c>
      <c r="J15" s="36">
        <v>0</v>
      </c>
      <c r="K15" s="37">
        <v>0</v>
      </c>
      <c r="L15" s="138">
        <v>0</v>
      </c>
      <c r="M15" s="138">
        <v>0</v>
      </c>
      <c r="N15" s="138">
        <v>0</v>
      </c>
      <c r="O15" s="138">
        <v>0</v>
      </c>
      <c r="P15" s="138">
        <v>0</v>
      </c>
      <c r="Q15" s="138">
        <v>0</v>
      </c>
      <c r="R15" s="138">
        <v>0</v>
      </c>
      <c r="S15" s="138">
        <v>0</v>
      </c>
      <c r="T15" s="138">
        <v>0</v>
      </c>
    </row>
    <row r="16" spans="1:20">
      <c r="A16" s="39">
        <v>12</v>
      </c>
      <c r="B16" s="144" t="s">
        <v>176</v>
      </c>
      <c r="C16" s="145"/>
      <c r="D16" s="141">
        <v>22</v>
      </c>
      <c r="E16" s="141">
        <v>0</v>
      </c>
      <c r="F16" s="141">
        <v>309.375</v>
      </c>
      <c r="G16" s="137">
        <v>0</v>
      </c>
      <c r="H16" s="137">
        <v>0</v>
      </c>
      <c r="I16" s="36">
        <v>0</v>
      </c>
      <c r="J16" s="36">
        <v>0</v>
      </c>
      <c r="K16" s="37">
        <v>0</v>
      </c>
      <c r="L16" s="138">
        <v>0</v>
      </c>
      <c r="M16" s="138">
        <v>0</v>
      </c>
      <c r="N16" s="138">
        <v>0</v>
      </c>
      <c r="O16" s="138">
        <v>0</v>
      </c>
      <c r="P16" s="138">
        <v>0</v>
      </c>
      <c r="Q16" s="138">
        <v>0</v>
      </c>
      <c r="R16" s="138">
        <v>0</v>
      </c>
      <c r="S16" s="138">
        <v>0</v>
      </c>
      <c r="T16" s="138">
        <v>0</v>
      </c>
    </row>
    <row r="17" spans="1:20">
      <c r="A17" s="39">
        <v>13</v>
      </c>
      <c r="B17" s="144" t="s">
        <v>177</v>
      </c>
      <c r="C17" s="145"/>
      <c r="D17" s="141">
        <v>66</v>
      </c>
      <c r="E17" s="141">
        <v>0</v>
      </c>
      <c r="F17" s="141">
        <v>375.375</v>
      </c>
      <c r="G17" s="137">
        <v>0</v>
      </c>
      <c r="H17" s="137">
        <v>0</v>
      </c>
      <c r="I17" s="36">
        <v>0</v>
      </c>
      <c r="J17" s="36">
        <v>0</v>
      </c>
      <c r="K17" s="37">
        <v>0</v>
      </c>
      <c r="L17" s="138">
        <v>0</v>
      </c>
      <c r="M17" s="138">
        <v>0</v>
      </c>
      <c r="N17" s="138">
        <v>0</v>
      </c>
      <c r="O17" s="138">
        <v>0</v>
      </c>
      <c r="P17" s="138">
        <v>0</v>
      </c>
      <c r="Q17" s="138">
        <v>0</v>
      </c>
      <c r="R17" s="138">
        <v>0</v>
      </c>
      <c r="S17" s="138">
        <v>0</v>
      </c>
      <c r="T17" s="138">
        <v>0</v>
      </c>
    </row>
    <row r="18" spans="1:20">
      <c r="A18" s="39">
        <v>14</v>
      </c>
      <c r="B18" s="144" t="s">
        <v>178</v>
      </c>
      <c r="C18" s="145"/>
      <c r="D18" s="141">
        <v>22</v>
      </c>
      <c r="E18" s="141">
        <v>0</v>
      </c>
      <c r="F18" s="141">
        <v>397.375</v>
      </c>
      <c r="G18" s="137">
        <v>0</v>
      </c>
      <c r="H18" s="137">
        <v>0</v>
      </c>
      <c r="I18" s="36">
        <v>0</v>
      </c>
      <c r="J18" s="36">
        <v>0</v>
      </c>
      <c r="K18" s="37">
        <v>0</v>
      </c>
      <c r="L18" s="138">
        <v>0</v>
      </c>
      <c r="M18" s="138">
        <v>0</v>
      </c>
      <c r="N18" s="138">
        <v>0</v>
      </c>
      <c r="O18" s="138">
        <v>0</v>
      </c>
      <c r="P18" s="138">
        <v>0</v>
      </c>
      <c r="Q18" s="138">
        <v>0</v>
      </c>
      <c r="R18" s="138">
        <v>0</v>
      </c>
      <c r="S18" s="138">
        <v>0</v>
      </c>
      <c r="T18" s="138">
        <v>0</v>
      </c>
    </row>
    <row r="19" spans="1:20">
      <c r="A19" s="39">
        <v>15</v>
      </c>
      <c r="B19" s="144" t="s">
        <v>179</v>
      </c>
      <c r="C19" s="145"/>
      <c r="D19" s="141">
        <v>0</v>
      </c>
      <c r="E19" s="141">
        <v>0</v>
      </c>
      <c r="F19" s="141">
        <v>397.375</v>
      </c>
      <c r="G19" s="137">
        <v>0</v>
      </c>
      <c r="H19" s="137">
        <v>0</v>
      </c>
      <c r="I19" s="36">
        <v>0</v>
      </c>
      <c r="J19" s="36">
        <v>0</v>
      </c>
      <c r="K19" s="37">
        <v>0</v>
      </c>
      <c r="L19" s="138">
        <v>0</v>
      </c>
      <c r="M19" s="138">
        <v>0</v>
      </c>
      <c r="N19" s="138">
        <v>0</v>
      </c>
      <c r="O19" s="138">
        <v>0</v>
      </c>
      <c r="P19" s="138">
        <v>0</v>
      </c>
      <c r="Q19" s="138">
        <v>0</v>
      </c>
      <c r="R19" s="138">
        <v>0</v>
      </c>
      <c r="S19" s="138">
        <v>0</v>
      </c>
      <c r="T19" s="138">
        <v>0</v>
      </c>
    </row>
    <row r="20" spans="1:20">
      <c r="A20" s="39">
        <v>16</v>
      </c>
      <c r="B20" s="144" t="s">
        <v>180</v>
      </c>
      <c r="C20" s="145"/>
      <c r="D20" s="141">
        <v>0</v>
      </c>
      <c r="E20" s="141">
        <v>0</v>
      </c>
      <c r="F20" s="141">
        <v>397.375</v>
      </c>
      <c r="G20" s="137">
        <v>0</v>
      </c>
      <c r="H20" s="137">
        <v>0</v>
      </c>
      <c r="I20" s="36">
        <v>0</v>
      </c>
      <c r="J20" s="36">
        <v>0</v>
      </c>
      <c r="K20" s="37">
        <v>0</v>
      </c>
      <c r="L20" s="138">
        <v>0</v>
      </c>
      <c r="M20" s="138">
        <v>0</v>
      </c>
      <c r="N20" s="138">
        <v>0</v>
      </c>
      <c r="O20" s="138">
        <v>0</v>
      </c>
      <c r="P20" s="138">
        <v>0</v>
      </c>
      <c r="Q20" s="138">
        <v>0</v>
      </c>
      <c r="R20" s="138">
        <v>0</v>
      </c>
      <c r="S20" s="138">
        <v>0</v>
      </c>
      <c r="T20" s="138">
        <v>0</v>
      </c>
    </row>
    <row r="21" spans="1:20">
      <c r="A21" s="39">
        <v>17</v>
      </c>
      <c r="B21" s="144" t="s">
        <v>181</v>
      </c>
      <c r="C21" s="145"/>
      <c r="D21" s="141">
        <v>44</v>
      </c>
      <c r="E21" s="141">
        <v>0</v>
      </c>
      <c r="F21" s="141">
        <v>441.375</v>
      </c>
      <c r="G21" s="137">
        <v>0</v>
      </c>
      <c r="H21" s="137">
        <v>0</v>
      </c>
      <c r="I21" s="36">
        <v>0</v>
      </c>
      <c r="J21" s="36">
        <v>0</v>
      </c>
      <c r="K21" s="37">
        <v>0</v>
      </c>
      <c r="L21" s="138">
        <v>0</v>
      </c>
      <c r="M21" s="138">
        <v>0</v>
      </c>
      <c r="N21" s="138">
        <v>0</v>
      </c>
      <c r="O21" s="138">
        <v>0</v>
      </c>
      <c r="P21" s="138">
        <v>0</v>
      </c>
      <c r="Q21" s="138">
        <v>0</v>
      </c>
      <c r="R21" s="138">
        <v>0</v>
      </c>
      <c r="S21" s="138">
        <v>0</v>
      </c>
      <c r="T21" s="138">
        <v>0</v>
      </c>
    </row>
    <row r="22" spans="1:20">
      <c r="A22" s="39">
        <v>18</v>
      </c>
      <c r="B22" s="144" t="s">
        <v>182</v>
      </c>
      <c r="C22" s="145"/>
      <c r="D22" s="141">
        <v>0</v>
      </c>
      <c r="E22" s="141">
        <v>0</v>
      </c>
      <c r="F22" s="141">
        <v>441.375</v>
      </c>
      <c r="G22" s="137">
        <v>0</v>
      </c>
      <c r="H22" s="137">
        <v>0</v>
      </c>
      <c r="I22" s="36">
        <v>0</v>
      </c>
      <c r="J22" s="36">
        <v>0</v>
      </c>
      <c r="K22" s="37">
        <v>0</v>
      </c>
      <c r="L22" s="138">
        <v>0</v>
      </c>
      <c r="M22" s="138">
        <v>0</v>
      </c>
      <c r="N22" s="138">
        <v>0</v>
      </c>
      <c r="O22" s="138">
        <v>0</v>
      </c>
      <c r="P22" s="138">
        <v>0</v>
      </c>
      <c r="Q22" s="138">
        <v>0</v>
      </c>
      <c r="R22" s="138">
        <v>0</v>
      </c>
      <c r="S22" s="138">
        <v>0</v>
      </c>
      <c r="T22" s="138">
        <v>0</v>
      </c>
    </row>
    <row r="23" spans="1:20">
      <c r="A23" s="39">
        <v>19</v>
      </c>
      <c r="B23" s="144" t="s">
        <v>183</v>
      </c>
      <c r="C23" s="145"/>
      <c r="D23" s="141">
        <v>0</v>
      </c>
      <c r="E23" s="141">
        <v>0</v>
      </c>
      <c r="F23" s="141">
        <v>441.375</v>
      </c>
      <c r="G23" s="137">
        <v>0</v>
      </c>
      <c r="H23" s="137">
        <v>0</v>
      </c>
      <c r="I23" s="36">
        <v>0</v>
      </c>
      <c r="J23" s="36">
        <v>0</v>
      </c>
      <c r="K23" s="37">
        <v>0</v>
      </c>
      <c r="L23" s="138">
        <v>0</v>
      </c>
      <c r="M23" s="138">
        <v>0</v>
      </c>
      <c r="N23" s="138">
        <v>0</v>
      </c>
      <c r="O23" s="138">
        <v>0</v>
      </c>
      <c r="P23" s="138">
        <v>0</v>
      </c>
      <c r="Q23" s="138">
        <v>0</v>
      </c>
      <c r="R23" s="138">
        <v>0</v>
      </c>
      <c r="S23" s="138">
        <v>0</v>
      </c>
      <c r="T23" s="138">
        <v>0</v>
      </c>
    </row>
    <row r="24" spans="1:20">
      <c r="A24" s="39">
        <v>20</v>
      </c>
      <c r="B24" s="144" t="s">
        <v>184</v>
      </c>
      <c r="C24" s="145"/>
      <c r="D24" s="141">
        <v>0</v>
      </c>
      <c r="E24" s="141">
        <v>22</v>
      </c>
      <c r="F24" s="141">
        <v>419.375</v>
      </c>
      <c r="G24" s="137">
        <v>0</v>
      </c>
      <c r="H24" s="137">
        <v>0</v>
      </c>
      <c r="I24" s="36">
        <v>0</v>
      </c>
      <c r="J24" s="36">
        <v>0</v>
      </c>
      <c r="K24" s="37">
        <v>0</v>
      </c>
      <c r="L24" s="138">
        <v>0</v>
      </c>
      <c r="M24" s="138">
        <v>0</v>
      </c>
      <c r="N24" s="138">
        <v>0</v>
      </c>
      <c r="O24" s="138">
        <v>0</v>
      </c>
      <c r="P24" s="138">
        <v>0</v>
      </c>
      <c r="Q24" s="138">
        <v>0</v>
      </c>
      <c r="R24" s="138">
        <v>0</v>
      </c>
      <c r="S24" s="138">
        <v>0</v>
      </c>
      <c r="T24" s="138">
        <v>0</v>
      </c>
    </row>
    <row r="25" spans="1:20">
      <c r="A25" s="39">
        <v>21</v>
      </c>
      <c r="B25" s="144" t="s">
        <v>185</v>
      </c>
      <c r="C25" s="145"/>
      <c r="D25" s="141">
        <v>0</v>
      </c>
      <c r="E25" s="141">
        <v>0</v>
      </c>
      <c r="F25" s="141">
        <v>419.375</v>
      </c>
      <c r="G25" s="137">
        <v>0</v>
      </c>
      <c r="H25" s="137">
        <v>0</v>
      </c>
      <c r="I25" s="36">
        <v>0</v>
      </c>
      <c r="J25" s="36">
        <v>0</v>
      </c>
      <c r="K25" s="37">
        <v>0</v>
      </c>
      <c r="L25" s="138">
        <v>0</v>
      </c>
      <c r="M25" s="138">
        <v>0</v>
      </c>
      <c r="N25" s="138">
        <v>0</v>
      </c>
      <c r="O25" s="138">
        <v>0</v>
      </c>
      <c r="P25" s="138">
        <v>0</v>
      </c>
      <c r="Q25" s="138">
        <v>0</v>
      </c>
      <c r="R25" s="138">
        <v>0</v>
      </c>
      <c r="S25" s="138">
        <v>0</v>
      </c>
      <c r="T25" s="138">
        <v>0</v>
      </c>
    </row>
    <row r="26" spans="1:20">
      <c r="A26" s="39">
        <v>22</v>
      </c>
      <c r="B26" s="144" t="s">
        <v>186</v>
      </c>
      <c r="C26" s="145"/>
      <c r="D26" s="141">
        <v>0</v>
      </c>
      <c r="E26" s="141">
        <v>0</v>
      </c>
      <c r="F26" s="141">
        <v>419.375</v>
      </c>
      <c r="G26" s="137">
        <v>0</v>
      </c>
      <c r="H26" s="137">
        <v>0</v>
      </c>
      <c r="I26" s="36">
        <v>0</v>
      </c>
      <c r="J26" s="36">
        <v>0</v>
      </c>
      <c r="K26" s="37">
        <v>0</v>
      </c>
      <c r="L26" s="138">
        <v>0</v>
      </c>
      <c r="M26" s="138">
        <v>0</v>
      </c>
      <c r="N26" s="138">
        <v>0</v>
      </c>
      <c r="O26" s="138">
        <v>0</v>
      </c>
      <c r="P26" s="138">
        <v>0</v>
      </c>
      <c r="Q26" s="138">
        <v>0</v>
      </c>
      <c r="R26" s="138">
        <v>0</v>
      </c>
      <c r="S26" s="138">
        <v>0</v>
      </c>
      <c r="T26" s="138">
        <v>0</v>
      </c>
    </row>
    <row r="27" spans="1:20">
      <c r="A27" s="39">
        <v>23</v>
      </c>
      <c r="B27" s="144" t="s">
        <v>187</v>
      </c>
      <c r="C27" s="145"/>
      <c r="D27" s="141">
        <v>0</v>
      </c>
      <c r="E27" s="141">
        <v>0</v>
      </c>
      <c r="F27" s="141">
        <v>419.375</v>
      </c>
      <c r="G27" s="137">
        <v>0</v>
      </c>
      <c r="H27" s="137">
        <v>0</v>
      </c>
      <c r="I27" s="36">
        <v>0</v>
      </c>
      <c r="J27" s="36">
        <v>0</v>
      </c>
      <c r="K27" s="37">
        <v>0</v>
      </c>
      <c r="L27" s="138">
        <v>0</v>
      </c>
      <c r="M27" s="138">
        <v>0</v>
      </c>
      <c r="N27" s="138">
        <v>0</v>
      </c>
      <c r="O27" s="138">
        <v>0</v>
      </c>
      <c r="P27" s="138">
        <v>0</v>
      </c>
      <c r="Q27" s="138">
        <v>0</v>
      </c>
      <c r="R27" s="138">
        <v>0</v>
      </c>
      <c r="S27" s="138">
        <v>0</v>
      </c>
      <c r="T27" s="138">
        <v>0</v>
      </c>
    </row>
    <row r="28" spans="1:20">
      <c r="A28" s="39">
        <v>24</v>
      </c>
      <c r="B28" s="144" t="s">
        <v>188</v>
      </c>
      <c r="C28" s="145"/>
      <c r="D28" s="141">
        <v>0</v>
      </c>
      <c r="E28" s="141">
        <v>0</v>
      </c>
      <c r="F28" s="141">
        <v>419.375</v>
      </c>
      <c r="G28" s="137">
        <v>0</v>
      </c>
      <c r="H28" s="137">
        <v>0</v>
      </c>
      <c r="I28" s="36">
        <v>0</v>
      </c>
      <c r="J28" s="36">
        <v>0</v>
      </c>
      <c r="K28" s="37">
        <v>0</v>
      </c>
      <c r="L28" s="138">
        <v>0</v>
      </c>
      <c r="M28" s="138">
        <v>0</v>
      </c>
      <c r="N28" s="138">
        <v>0</v>
      </c>
      <c r="O28" s="138">
        <v>0</v>
      </c>
      <c r="P28" s="138">
        <v>0</v>
      </c>
      <c r="Q28" s="138">
        <v>0</v>
      </c>
      <c r="R28" s="138">
        <v>0</v>
      </c>
      <c r="S28" s="138">
        <v>0</v>
      </c>
      <c r="T28" s="138">
        <v>0</v>
      </c>
    </row>
    <row r="29" spans="1:20">
      <c r="A29" s="39">
        <v>25</v>
      </c>
      <c r="B29" s="144" t="s">
        <v>189</v>
      </c>
      <c r="C29" s="145"/>
      <c r="D29" s="141">
        <v>0</v>
      </c>
      <c r="E29" s="141">
        <v>0</v>
      </c>
      <c r="F29" s="141">
        <v>419.375</v>
      </c>
      <c r="G29" s="137">
        <v>0</v>
      </c>
      <c r="H29" s="137">
        <v>0</v>
      </c>
      <c r="I29" s="36">
        <v>0</v>
      </c>
      <c r="J29" s="36">
        <v>0</v>
      </c>
      <c r="K29" s="37">
        <v>0</v>
      </c>
      <c r="L29" s="138">
        <v>0</v>
      </c>
      <c r="M29" s="138">
        <v>0</v>
      </c>
      <c r="N29" s="138">
        <v>0</v>
      </c>
      <c r="O29" s="138">
        <v>0</v>
      </c>
      <c r="P29" s="138">
        <v>0</v>
      </c>
      <c r="Q29" s="138">
        <v>0</v>
      </c>
      <c r="R29" s="138">
        <v>0</v>
      </c>
      <c r="S29" s="138">
        <v>0</v>
      </c>
      <c r="T29" s="138">
        <v>0</v>
      </c>
    </row>
    <row r="30" spans="1:20">
      <c r="A30" s="39">
        <v>26</v>
      </c>
      <c r="B30" s="144" t="s">
        <v>190</v>
      </c>
      <c r="C30" s="145"/>
      <c r="D30" s="141">
        <v>0</v>
      </c>
      <c r="E30" s="141">
        <v>0</v>
      </c>
      <c r="F30" s="141">
        <v>419.375</v>
      </c>
      <c r="G30" s="137">
        <v>0</v>
      </c>
      <c r="H30" s="137">
        <v>0</v>
      </c>
      <c r="I30" s="36">
        <v>0</v>
      </c>
      <c r="J30" s="36">
        <v>0</v>
      </c>
      <c r="K30" s="37">
        <v>0</v>
      </c>
      <c r="L30" s="138">
        <v>0</v>
      </c>
      <c r="M30" s="138">
        <v>0</v>
      </c>
      <c r="N30" s="138">
        <v>0</v>
      </c>
      <c r="O30" s="138">
        <v>0</v>
      </c>
      <c r="P30" s="138">
        <v>0</v>
      </c>
      <c r="Q30" s="138">
        <v>0</v>
      </c>
      <c r="R30" s="138">
        <v>0</v>
      </c>
      <c r="S30" s="138">
        <v>0</v>
      </c>
      <c r="T30" s="138">
        <v>0</v>
      </c>
    </row>
    <row r="31" spans="1:20">
      <c r="A31" s="39">
        <v>27</v>
      </c>
      <c r="B31" s="144" t="s">
        <v>191</v>
      </c>
      <c r="C31" s="145"/>
      <c r="D31" s="141">
        <v>0</v>
      </c>
      <c r="E31" s="141">
        <v>0</v>
      </c>
      <c r="F31" s="141">
        <v>419.375</v>
      </c>
      <c r="G31" s="137">
        <v>0</v>
      </c>
      <c r="H31" s="137">
        <v>0</v>
      </c>
      <c r="I31" s="36">
        <v>0</v>
      </c>
      <c r="J31" s="36">
        <v>0</v>
      </c>
      <c r="K31" s="37">
        <v>0</v>
      </c>
      <c r="L31" s="138">
        <v>0</v>
      </c>
      <c r="M31" s="138">
        <v>0</v>
      </c>
      <c r="N31" s="138">
        <v>0</v>
      </c>
      <c r="O31" s="138">
        <v>0</v>
      </c>
      <c r="P31" s="138">
        <v>0</v>
      </c>
      <c r="Q31" s="138">
        <v>0</v>
      </c>
      <c r="R31" s="138">
        <v>0</v>
      </c>
      <c r="S31" s="138">
        <v>0</v>
      </c>
      <c r="T31" s="138">
        <v>0</v>
      </c>
    </row>
    <row r="32" spans="1:20">
      <c r="A32" s="39">
        <v>28</v>
      </c>
      <c r="B32" s="144" t="s">
        <v>192</v>
      </c>
      <c r="C32" s="145"/>
      <c r="D32" s="141">
        <v>0</v>
      </c>
      <c r="E32" s="141">
        <v>0</v>
      </c>
      <c r="F32" s="141">
        <v>419.375</v>
      </c>
      <c r="G32" s="137">
        <v>0</v>
      </c>
      <c r="H32" s="137">
        <v>0</v>
      </c>
      <c r="I32" s="36">
        <v>0</v>
      </c>
      <c r="J32" s="36">
        <v>0</v>
      </c>
      <c r="K32" s="37">
        <v>0</v>
      </c>
      <c r="L32" s="138">
        <v>0</v>
      </c>
      <c r="M32" s="138">
        <v>0</v>
      </c>
      <c r="N32" s="138">
        <v>0</v>
      </c>
      <c r="O32" s="138">
        <v>0</v>
      </c>
      <c r="P32" s="138">
        <v>0</v>
      </c>
      <c r="Q32" s="138">
        <v>0</v>
      </c>
      <c r="R32" s="138">
        <v>0</v>
      </c>
      <c r="S32" s="138">
        <v>0</v>
      </c>
      <c r="T32" s="138">
        <v>0</v>
      </c>
    </row>
    <row r="33" spans="1:20">
      <c r="A33" s="39">
        <v>29</v>
      </c>
      <c r="B33" s="144" t="s">
        <v>193</v>
      </c>
      <c r="C33" s="145"/>
      <c r="D33" s="141">
        <v>0</v>
      </c>
      <c r="E33" s="141">
        <v>22</v>
      </c>
      <c r="F33" s="141">
        <v>397.375</v>
      </c>
      <c r="G33" s="137">
        <v>0</v>
      </c>
      <c r="H33" s="137">
        <v>0</v>
      </c>
      <c r="I33" s="36">
        <v>0</v>
      </c>
      <c r="J33" s="36">
        <v>0</v>
      </c>
      <c r="K33" s="37">
        <v>0</v>
      </c>
      <c r="L33" s="138">
        <v>0</v>
      </c>
      <c r="M33" s="138">
        <v>0</v>
      </c>
      <c r="N33" s="138">
        <v>0</v>
      </c>
      <c r="O33" s="138">
        <v>0</v>
      </c>
      <c r="P33" s="138">
        <v>0</v>
      </c>
      <c r="Q33" s="138">
        <v>0</v>
      </c>
      <c r="R33" s="138">
        <v>0</v>
      </c>
      <c r="S33" s="138">
        <v>0</v>
      </c>
      <c r="T33" s="138">
        <v>0</v>
      </c>
    </row>
    <row r="34" spans="1:20">
      <c r="A34" s="39">
        <v>30</v>
      </c>
      <c r="B34" s="144" t="s">
        <v>194</v>
      </c>
      <c r="C34" s="145"/>
      <c r="D34" s="141">
        <v>22</v>
      </c>
      <c r="E34" s="141">
        <v>0</v>
      </c>
      <c r="F34" s="141">
        <v>419.375</v>
      </c>
      <c r="G34" s="137">
        <v>0</v>
      </c>
      <c r="H34" s="137">
        <v>0</v>
      </c>
      <c r="I34" s="36">
        <v>0</v>
      </c>
      <c r="J34" s="36">
        <v>0</v>
      </c>
      <c r="K34" s="37">
        <v>0</v>
      </c>
      <c r="L34" s="138">
        <v>0</v>
      </c>
      <c r="M34" s="138">
        <v>0</v>
      </c>
      <c r="N34" s="138">
        <v>0</v>
      </c>
      <c r="O34" s="138">
        <v>0</v>
      </c>
      <c r="P34" s="138">
        <v>0</v>
      </c>
      <c r="Q34" s="138">
        <v>0</v>
      </c>
      <c r="R34" s="138">
        <v>0</v>
      </c>
      <c r="S34" s="138">
        <v>0</v>
      </c>
      <c r="T34" s="138">
        <v>0</v>
      </c>
    </row>
    <row r="35" spans="1:20">
      <c r="A35" s="39">
        <v>31</v>
      </c>
      <c r="B35" s="144"/>
      <c r="C35" s="145"/>
      <c r="D35" s="141">
        <v>0</v>
      </c>
      <c r="E35" s="141">
        <v>0</v>
      </c>
      <c r="F35" s="141">
        <v>0</v>
      </c>
      <c r="G35" s="137">
        <v>0</v>
      </c>
      <c r="H35" s="137">
        <v>0</v>
      </c>
      <c r="I35" s="36">
        <v>0</v>
      </c>
      <c r="J35" s="36">
        <v>0</v>
      </c>
      <c r="K35" s="37">
        <v>0</v>
      </c>
      <c r="L35" s="138">
        <v>0</v>
      </c>
      <c r="M35" s="138">
        <v>0</v>
      </c>
      <c r="N35" s="138">
        <v>0</v>
      </c>
      <c r="O35" s="138">
        <v>0</v>
      </c>
      <c r="P35" s="138">
        <v>0</v>
      </c>
      <c r="Q35" s="138">
        <v>0</v>
      </c>
      <c r="R35" s="138">
        <v>0</v>
      </c>
      <c r="S35" s="138">
        <v>0</v>
      </c>
      <c r="T35" s="138">
        <v>0</v>
      </c>
    </row>
    <row r="36" spans="1:20">
      <c r="D36" s="43">
        <v>616</v>
      </c>
      <c r="E36" s="43">
        <v>330</v>
      </c>
      <c r="F36" s="43">
        <v>10469.25</v>
      </c>
      <c r="G36" s="43">
        <v>0</v>
      </c>
      <c r="H36" s="43">
        <v>0</v>
      </c>
      <c r="I36" s="43">
        <v>0</v>
      </c>
      <c r="J36" s="43">
        <v>0</v>
      </c>
      <c r="K36" s="43">
        <v>0</v>
      </c>
      <c r="L36" s="139">
        <v>0</v>
      </c>
      <c r="M36" s="139">
        <v>142898.88</v>
      </c>
      <c r="N36" s="139">
        <v>62098.720000000001</v>
      </c>
      <c r="O36" s="139">
        <v>145121.73000000001</v>
      </c>
      <c r="P36" s="139">
        <v>0</v>
      </c>
      <c r="Q36" s="139">
        <v>0</v>
      </c>
      <c r="R36" s="139">
        <v>0</v>
      </c>
      <c r="S36" s="139">
        <v>0</v>
      </c>
      <c r="T36" s="139">
        <v>350119.33</v>
      </c>
    </row>
    <row r="37" spans="1:20">
      <c r="R37" s="46"/>
      <c r="S37" s="46"/>
      <c r="T37" s="140">
        <v>427145.58</v>
      </c>
    </row>
  </sheetData>
  <mergeCells count="50"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09408-C95D-4736-87D4-11BCF2F82C69}">
  <sheetPr>
    <pageSetUpPr fitToPage="1"/>
  </sheetPr>
  <dimension ref="A1:T37"/>
  <sheetViews>
    <sheetView workbookViewId="0">
      <selection activeCell="K10" sqref="K10"/>
    </sheetView>
  </sheetViews>
  <sheetFormatPr defaultRowHeight="15"/>
  <cols>
    <col min="1" max="3" width="9.140625" style="28"/>
    <col min="4" max="4" width="11.7109375" style="28" customWidth="1"/>
    <col min="5" max="5" width="12.140625" style="28" customWidth="1"/>
    <col min="6" max="6" width="13.28515625" style="28" customWidth="1"/>
    <col min="7" max="7" width="11.42578125" style="28" customWidth="1"/>
    <col min="8" max="8" width="10.42578125" style="28" customWidth="1"/>
    <col min="9" max="9" width="10.5703125" style="28" bestFit="1" customWidth="1"/>
    <col min="10" max="10" width="9.42578125" style="28" bestFit="1" customWidth="1"/>
    <col min="11" max="12" width="9.140625" style="28"/>
    <col min="13" max="13" width="15.140625" style="28" customWidth="1"/>
    <col min="14" max="14" width="13.5703125" style="28" customWidth="1"/>
    <col min="15" max="15" width="14.5703125" style="28" customWidth="1"/>
    <col min="16" max="16" width="14.5703125" style="28" bestFit="1" customWidth="1"/>
    <col min="17" max="17" width="15" style="28" customWidth="1"/>
    <col min="18" max="18" width="13.28515625" style="28" customWidth="1"/>
    <col min="19" max="19" width="11.7109375" style="28" customWidth="1"/>
    <col min="20" max="20" width="24.28515625" style="28" customWidth="1"/>
    <col min="21" max="16384" width="9.140625" style="28"/>
  </cols>
  <sheetData>
    <row r="1" spans="1:20">
      <c r="I1" s="29"/>
    </row>
    <row r="2" spans="1:20" ht="28.9" customHeight="1">
      <c r="A2" s="149" t="s">
        <v>197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</row>
    <row r="3" spans="1:20" ht="28.9" customHeight="1">
      <c r="A3" s="146" t="s">
        <v>0</v>
      </c>
      <c r="B3" s="150" t="s">
        <v>1</v>
      </c>
      <c r="C3" s="151"/>
      <c r="D3" s="146" t="s">
        <v>2</v>
      </c>
      <c r="E3" s="146" t="s">
        <v>3</v>
      </c>
      <c r="F3" s="30" t="s">
        <v>4</v>
      </c>
      <c r="G3" s="146" t="s">
        <v>156</v>
      </c>
      <c r="H3" s="146" t="s">
        <v>157</v>
      </c>
      <c r="I3" s="146" t="s">
        <v>7</v>
      </c>
      <c r="J3" s="146" t="s">
        <v>8</v>
      </c>
      <c r="K3" s="146" t="s">
        <v>158</v>
      </c>
      <c r="L3" s="146" t="s">
        <v>159</v>
      </c>
      <c r="M3" s="146" t="s">
        <v>160</v>
      </c>
      <c r="N3" s="146" t="s">
        <v>161</v>
      </c>
      <c r="O3" s="146" t="s">
        <v>162</v>
      </c>
      <c r="P3" s="146" t="s">
        <v>163</v>
      </c>
      <c r="Q3" s="146" t="s">
        <v>164</v>
      </c>
      <c r="R3" s="146" t="s">
        <v>16</v>
      </c>
      <c r="S3" s="146" t="s">
        <v>17</v>
      </c>
      <c r="T3" s="146" t="s">
        <v>18</v>
      </c>
    </row>
    <row r="4" spans="1:20" ht="27" customHeight="1">
      <c r="A4" s="147"/>
      <c r="B4" s="152"/>
      <c r="C4" s="153"/>
      <c r="D4" s="147"/>
      <c r="E4" s="147"/>
      <c r="F4" s="31"/>
      <c r="G4" s="147"/>
      <c r="H4" s="147"/>
      <c r="I4" s="147"/>
      <c r="J4" s="147"/>
      <c r="K4" s="148"/>
      <c r="L4" s="148"/>
      <c r="M4" s="147"/>
      <c r="N4" s="147"/>
      <c r="O4" s="147"/>
      <c r="P4" s="147"/>
      <c r="Q4" s="147"/>
      <c r="R4" s="147"/>
      <c r="S4" s="147"/>
      <c r="T4" s="147"/>
    </row>
    <row r="5" spans="1:20">
      <c r="A5" s="39">
        <v>1</v>
      </c>
      <c r="B5" s="144" t="s">
        <v>165</v>
      </c>
      <c r="C5" s="145"/>
      <c r="D5" s="141">
        <v>0</v>
      </c>
      <c r="E5" s="141">
        <v>0</v>
      </c>
      <c r="F5" s="141">
        <v>3.85</v>
      </c>
      <c r="G5" s="137">
        <v>0</v>
      </c>
      <c r="H5" s="137">
        <v>0</v>
      </c>
      <c r="I5" s="36">
        <v>0</v>
      </c>
      <c r="J5" s="36">
        <v>0</v>
      </c>
      <c r="K5" s="37">
        <v>0</v>
      </c>
      <c r="L5" s="138">
        <v>0</v>
      </c>
      <c r="M5" s="138">
        <v>0</v>
      </c>
      <c r="N5" s="138">
        <v>0</v>
      </c>
      <c r="O5" s="138">
        <v>0</v>
      </c>
      <c r="P5" s="138">
        <v>0</v>
      </c>
      <c r="Q5" s="138">
        <v>0</v>
      </c>
      <c r="R5" s="138">
        <v>0</v>
      </c>
      <c r="S5" s="138">
        <v>0</v>
      </c>
      <c r="T5" s="138">
        <v>0</v>
      </c>
    </row>
    <row r="6" spans="1:20">
      <c r="A6" s="39">
        <v>2</v>
      </c>
      <c r="B6" s="144" t="s">
        <v>166</v>
      </c>
      <c r="C6" s="145"/>
      <c r="D6" s="141">
        <v>0</v>
      </c>
      <c r="E6" s="141">
        <v>0</v>
      </c>
      <c r="F6" s="141">
        <v>3.85</v>
      </c>
      <c r="G6" s="137">
        <v>0</v>
      </c>
      <c r="H6" s="137">
        <v>0</v>
      </c>
      <c r="I6" s="36">
        <v>0</v>
      </c>
      <c r="J6" s="36">
        <v>0</v>
      </c>
      <c r="K6" s="37">
        <v>0</v>
      </c>
      <c r="L6" s="138">
        <v>0</v>
      </c>
      <c r="M6" s="138">
        <v>0</v>
      </c>
      <c r="N6" s="138">
        <v>0</v>
      </c>
      <c r="O6" s="138">
        <v>0</v>
      </c>
      <c r="P6" s="138">
        <v>0</v>
      </c>
      <c r="Q6" s="138">
        <v>0</v>
      </c>
      <c r="R6" s="138">
        <v>0</v>
      </c>
      <c r="S6" s="138">
        <v>0</v>
      </c>
      <c r="T6" s="138">
        <v>0</v>
      </c>
    </row>
    <row r="7" spans="1:20">
      <c r="A7" s="39">
        <v>3</v>
      </c>
      <c r="B7" s="144" t="s">
        <v>167</v>
      </c>
      <c r="C7" s="145"/>
      <c r="D7" s="141">
        <v>0</v>
      </c>
      <c r="E7" s="141">
        <v>0</v>
      </c>
      <c r="F7" s="141">
        <v>3.85</v>
      </c>
      <c r="G7" s="137">
        <v>0</v>
      </c>
      <c r="H7" s="137">
        <v>0</v>
      </c>
      <c r="I7" s="36">
        <v>0</v>
      </c>
      <c r="J7" s="36">
        <v>0</v>
      </c>
      <c r="K7" s="37">
        <v>0</v>
      </c>
      <c r="L7" s="138">
        <v>0</v>
      </c>
      <c r="M7" s="138">
        <v>0</v>
      </c>
      <c r="N7" s="138">
        <v>0</v>
      </c>
      <c r="O7" s="138">
        <v>0</v>
      </c>
      <c r="P7" s="138">
        <v>0</v>
      </c>
      <c r="Q7" s="138">
        <v>0</v>
      </c>
      <c r="R7" s="138">
        <v>0</v>
      </c>
      <c r="S7" s="138">
        <v>0</v>
      </c>
      <c r="T7" s="138">
        <v>0</v>
      </c>
    </row>
    <row r="8" spans="1:20">
      <c r="A8" s="39">
        <v>4</v>
      </c>
      <c r="B8" s="144" t="s">
        <v>168</v>
      </c>
      <c r="C8" s="145"/>
      <c r="D8" s="141">
        <v>0</v>
      </c>
      <c r="E8" s="141">
        <v>0</v>
      </c>
      <c r="F8" s="141">
        <v>3.85</v>
      </c>
      <c r="G8" s="137">
        <v>0</v>
      </c>
      <c r="H8" s="137">
        <v>0</v>
      </c>
      <c r="I8" s="36">
        <v>0</v>
      </c>
      <c r="J8" s="36">
        <v>0</v>
      </c>
      <c r="K8" s="37">
        <v>0</v>
      </c>
      <c r="L8" s="138">
        <v>0</v>
      </c>
      <c r="M8" s="138">
        <v>0</v>
      </c>
      <c r="N8" s="138">
        <v>0</v>
      </c>
      <c r="O8" s="138">
        <v>0</v>
      </c>
      <c r="P8" s="138">
        <v>0</v>
      </c>
      <c r="Q8" s="138">
        <v>0</v>
      </c>
      <c r="R8" s="138">
        <v>0</v>
      </c>
      <c r="S8" s="138">
        <v>0</v>
      </c>
      <c r="T8" s="138">
        <v>0</v>
      </c>
    </row>
    <row r="9" spans="1:20">
      <c r="A9" s="39">
        <v>5</v>
      </c>
      <c r="B9" s="144" t="s">
        <v>169</v>
      </c>
      <c r="C9" s="145"/>
      <c r="D9" s="141">
        <v>0</v>
      </c>
      <c r="E9" s="141">
        <v>0</v>
      </c>
      <c r="F9" s="141">
        <v>3.85</v>
      </c>
      <c r="G9" s="137">
        <v>0</v>
      </c>
      <c r="H9" s="137">
        <v>0</v>
      </c>
      <c r="I9" s="36">
        <v>0</v>
      </c>
      <c r="J9" s="36">
        <v>0</v>
      </c>
      <c r="K9" s="37">
        <v>0</v>
      </c>
      <c r="L9" s="138">
        <v>0</v>
      </c>
      <c r="M9" s="138">
        <v>0</v>
      </c>
      <c r="N9" s="138">
        <v>0</v>
      </c>
      <c r="O9" s="138">
        <v>0</v>
      </c>
      <c r="P9" s="138">
        <v>0</v>
      </c>
      <c r="Q9" s="138">
        <v>0</v>
      </c>
      <c r="R9" s="138">
        <v>0</v>
      </c>
      <c r="S9" s="138">
        <v>0</v>
      </c>
      <c r="T9" s="138">
        <v>0</v>
      </c>
    </row>
    <row r="10" spans="1:20">
      <c r="A10" s="39">
        <v>6</v>
      </c>
      <c r="B10" s="144" t="s">
        <v>170</v>
      </c>
      <c r="C10" s="145"/>
      <c r="D10" s="141">
        <v>0</v>
      </c>
      <c r="E10" s="141">
        <v>0</v>
      </c>
      <c r="F10" s="141">
        <v>3.85</v>
      </c>
      <c r="G10" s="137">
        <v>0</v>
      </c>
      <c r="H10" s="137">
        <v>0</v>
      </c>
      <c r="I10" s="36">
        <v>0</v>
      </c>
      <c r="J10" s="36">
        <v>0</v>
      </c>
      <c r="K10" s="37">
        <v>0</v>
      </c>
      <c r="L10" s="138">
        <v>0</v>
      </c>
      <c r="M10" s="138">
        <v>0</v>
      </c>
      <c r="N10" s="138">
        <v>0</v>
      </c>
      <c r="O10" s="138">
        <v>0</v>
      </c>
      <c r="P10" s="138">
        <v>0</v>
      </c>
      <c r="Q10" s="138">
        <v>0</v>
      </c>
      <c r="R10" s="138">
        <v>0</v>
      </c>
      <c r="S10" s="138">
        <v>0</v>
      </c>
      <c r="T10" s="138">
        <v>0</v>
      </c>
    </row>
    <row r="11" spans="1:20">
      <c r="A11" s="39">
        <v>7</v>
      </c>
      <c r="B11" s="144" t="s">
        <v>171</v>
      </c>
      <c r="C11" s="145"/>
      <c r="D11" s="141">
        <v>0</v>
      </c>
      <c r="E11" s="141">
        <v>0</v>
      </c>
      <c r="F11" s="141">
        <v>3.85</v>
      </c>
      <c r="G11" s="137">
        <v>0</v>
      </c>
      <c r="H11" s="137">
        <v>0</v>
      </c>
      <c r="I11" s="36">
        <v>0</v>
      </c>
      <c r="J11" s="36">
        <v>0</v>
      </c>
      <c r="K11" s="37">
        <v>0</v>
      </c>
      <c r="L11" s="138">
        <v>0</v>
      </c>
      <c r="M11" s="138">
        <v>0</v>
      </c>
      <c r="N11" s="138">
        <v>0</v>
      </c>
      <c r="O11" s="138">
        <v>0</v>
      </c>
      <c r="P11" s="138">
        <v>0</v>
      </c>
      <c r="Q11" s="138">
        <v>0</v>
      </c>
      <c r="R11" s="138">
        <v>0</v>
      </c>
      <c r="S11" s="138">
        <v>0</v>
      </c>
      <c r="T11" s="138">
        <v>0</v>
      </c>
    </row>
    <row r="12" spans="1:20">
      <c r="A12" s="39">
        <v>8</v>
      </c>
      <c r="B12" s="144" t="s">
        <v>172</v>
      </c>
      <c r="C12" s="145"/>
      <c r="D12" s="141">
        <v>0</v>
      </c>
      <c r="E12" s="141">
        <v>0</v>
      </c>
      <c r="F12" s="141">
        <v>3.85</v>
      </c>
      <c r="G12" s="137">
        <v>0</v>
      </c>
      <c r="H12" s="137">
        <v>0</v>
      </c>
      <c r="I12" s="36">
        <v>0</v>
      </c>
      <c r="J12" s="36">
        <v>0</v>
      </c>
      <c r="K12" s="37">
        <v>0</v>
      </c>
      <c r="L12" s="138">
        <v>0</v>
      </c>
      <c r="M12" s="138">
        <v>0</v>
      </c>
      <c r="N12" s="138">
        <v>0</v>
      </c>
      <c r="O12" s="138">
        <v>0</v>
      </c>
      <c r="P12" s="138">
        <v>0</v>
      </c>
      <c r="Q12" s="138">
        <v>0</v>
      </c>
      <c r="R12" s="138">
        <v>0</v>
      </c>
      <c r="S12" s="138">
        <v>0</v>
      </c>
      <c r="T12" s="138">
        <v>0</v>
      </c>
    </row>
    <row r="13" spans="1:20">
      <c r="A13" s="39">
        <v>9</v>
      </c>
      <c r="B13" s="144" t="s">
        <v>173</v>
      </c>
      <c r="C13" s="145"/>
      <c r="D13" s="141">
        <v>0</v>
      </c>
      <c r="E13" s="141">
        <v>0</v>
      </c>
      <c r="F13" s="141">
        <v>3.85</v>
      </c>
      <c r="G13" s="137">
        <v>0</v>
      </c>
      <c r="H13" s="137">
        <v>0</v>
      </c>
      <c r="I13" s="36">
        <v>0</v>
      </c>
      <c r="J13" s="36">
        <v>0</v>
      </c>
      <c r="K13" s="37">
        <v>0</v>
      </c>
      <c r="L13" s="138">
        <v>0</v>
      </c>
      <c r="M13" s="138">
        <v>0</v>
      </c>
      <c r="N13" s="138">
        <v>0</v>
      </c>
      <c r="O13" s="138">
        <v>0</v>
      </c>
      <c r="P13" s="138">
        <v>0</v>
      </c>
      <c r="Q13" s="138">
        <v>0</v>
      </c>
      <c r="R13" s="138">
        <v>0</v>
      </c>
      <c r="S13" s="138">
        <v>0</v>
      </c>
      <c r="T13" s="138">
        <v>0</v>
      </c>
    </row>
    <row r="14" spans="1:20">
      <c r="A14" s="39">
        <v>10</v>
      </c>
      <c r="B14" s="144" t="s">
        <v>174</v>
      </c>
      <c r="C14" s="145"/>
      <c r="D14" s="141">
        <v>0</v>
      </c>
      <c r="E14" s="141">
        <v>0</v>
      </c>
      <c r="F14" s="141">
        <v>3.85</v>
      </c>
      <c r="G14" s="137">
        <v>0</v>
      </c>
      <c r="H14" s="137">
        <v>0</v>
      </c>
      <c r="I14" s="36">
        <v>0</v>
      </c>
      <c r="J14" s="36">
        <v>0</v>
      </c>
      <c r="K14" s="37">
        <v>0</v>
      </c>
      <c r="L14" s="138">
        <v>0</v>
      </c>
      <c r="M14" s="138">
        <v>0</v>
      </c>
      <c r="N14" s="138">
        <v>0</v>
      </c>
      <c r="O14" s="138">
        <v>0</v>
      </c>
      <c r="P14" s="138">
        <v>0</v>
      </c>
      <c r="Q14" s="138">
        <v>0</v>
      </c>
      <c r="R14" s="138">
        <v>0</v>
      </c>
      <c r="S14" s="138">
        <v>0</v>
      </c>
      <c r="T14" s="138">
        <v>0</v>
      </c>
    </row>
    <row r="15" spans="1:20">
      <c r="A15" s="39">
        <v>11</v>
      </c>
      <c r="B15" s="144" t="s">
        <v>175</v>
      </c>
      <c r="C15" s="145"/>
      <c r="D15" s="141">
        <v>0</v>
      </c>
      <c r="E15" s="141">
        <v>0</v>
      </c>
      <c r="F15" s="141">
        <v>3.85</v>
      </c>
      <c r="G15" s="137">
        <v>0</v>
      </c>
      <c r="H15" s="137">
        <v>0</v>
      </c>
      <c r="I15" s="36">
        <v>0</v>
      </c>
      <c r="J15" s="36">
        <v>0</v>
      </c>
      <c r="K15" s="37">
        <v>0</v>
      </c>
      <c r="L15" s="138">
        <v>0</v>
      </c>
      <c r="M15" s="138">
        <v>0</v>
      </c>
      <c r="N15" s="138">
        <v>0</v>
      </c>
      <c r="O15" s="138">
        <v>0</v>
      </c>
      <c r="P15" s="138">
        <v>0</v>
      </c>
      <c r="Q15" s="138">
        <v>0</v>
      </c>
      <c r="R15" s="138">
        <v>0</v>
      </c>
      <c r="S15" s="138">
        <v>0</v>
      </c>
      <c r="T15" s="138">
        <v>0</v>
      </c>
    </row>
    <row r="16" spans="1:20">
      <c r="A16" s="39">
        <v>12</v>
      </c>
      <c r="B16" s="144" t="s">
        <v>176</v>
      </c>
      <c r="C16" s="145"/>
      <c r="D16" s="141">
        <v>0</v>
      </c>
      <c r="E16" s="141">
        <v>0</v>
      </c>
      <c r="F16" s="141">
        <v>3.85</v>
      </c>
      <c r="G16" s="137">
        <v>0</v>
      </c>
      <c r="H16" s="137">
        <v>0</v>
      </c>
      <c r="I16" s="36">
        <v>0</v>
      </c>
      <c r="J16" s="36">
        <v>0</v>
      </c>
      <c r="K16" s="37">
        <v>0</v>
      </c>
      <c r="L16" s="138">
        <v>0</v>
      </c>
      <c r="M16" s="138">
        <v>0</v>
      </c>
      <c r="N16" s="138">
        <v>0</v>
      </c>
      <c r="O16" s="138">
        <v>0</v>
      </c>
      <c r="P16" s="138">
        <v>0</v>
      </c>
      <c r="Q16" s="138">
        <v>0</v>
      </c>
      <c r="R16" s="138">
        <v>0</v>
      </c>
      <c r="S16" s="138">
        <v>0</v>
      </c>
      <c r="T16" s="138">
        <v>0</v>
      </c>
    </row>
    <row r="17" spans="1:20">
      <c r="A17" s="39">
        <v>13</v>
      </c>
      <c r="B17" s="144" t="s">
        <v>177</v>
      </c>
      <c r="C17" s="145"/>
      <c r="D17" s="141">
        <v>0</v>
      </c>
      <c r="E17" s="141">
        <v>0</v>
      </c>
      <c r="F17" s="141">
        <v>3.85</v>
      </c>
      <c r="G17" s="137">
        <v>0</v>
      </c>
      <c r="H17" s="137">
        <v>0</v>
      </c>
      <c r="I17" s="36">
        <v>0</v>
      </c>
      <c r="J17" s="36">
        <v>0</v>
      </c>
      <c r="K17" s="37">
        <v>0</v>
      </c>
      <c r="L17" s="138">
        <v>0</v>
      </c>
      <c r="M17" s="138">
        <v>0</v>
      </c>
      <c r="N17" s="138">
        <v>0</v>
      </c>
      <c r="O17" s="138">
        <v>0</v>
      </c>
      <c r="P17" s="138">
        <v>0</v>
      </c>
      <c r="Q17" s="138">
        <v>0</v>
      </c>
      <c r="R17" s="138">
        <v>0</v>
      </c>
      <c r="S17" s="138">
        <v>0</v>
      </c>
      <c r="T17" s="138">
        <v>0</v>
      </c>
    </row>
    <row r="18" spans="1:20">
      <c r="A18" s="39">
        <v>14</v>
      </c>
      <c r="B18" s="144" t="s">
        <v>178</v>
      </c>
      <c r="C18" s="145"/>
      <c r="D18" s="141">
        <v>0</v>
      </c>
      <c r="E18" s="141">
        <v>0</v>
      </c>
      <c r="F18" s="141">
        <v>3.85</v>
      </c>
      <c r="G18" s="137">
        <v>0</v>
      </c>
      <c r="H18" s="137">
        <v>0</v>
      </c>
      <c r="I18" s="36">
        <v>0</v>
      </c>
      <c r="J18" s="36">
        <v>0</v>
      </c>
      <c r="K18" s="37">
        <v>0</v>
      </c>
      <c r="L18" s="138">
        <v>0</v>
      </c>
      <c r="M18" s="138">
        <v>0</v>
      </c>
      <c r="N18" s="138">
        <v>0</v>
      </c>
      <c r="O18" s="138">
        <v>0</v>
      </c>
      <c r="P18" s="138">
        <v>0</v>
      </c>
      <c r="Q18" s="138">
        <v>0</v>
      </c>
      <c r="R18" s="138">
        <v>0</v>
      </c>
      <c r="S18" s="138">
        <v>0</v>
      </c>
      <c r="T18" s="138">
        <v>0</v>
      </c>
    </row>
    <row r="19" spans="1:20">
      <c r="A19" s="39">
        <v>15</v>
      </c>
      <c r="B19" s="144" t="s">
        <v>179</v>
      </c>
      <c r="C19" s="145"/>
      <c r="D19" s="141">
        <v>0</v>
      </c>
      <c r="E19" s="141">
        <v>0</v>
      </c>
      <c r="F19" s="141">
        <v>3.85</v>
      </c>
      <c r="G19" s="137">
        <v>0</v>
      </c>
      <c r="H19" s="137">
        <v>0</v>
      </c>
      <c r="I19" s="36">
        <v>0</v>
      </c>
      <c r="J19" s="36">
        <v>0</v>
      </c>
      <c r="K19" s="37">
        <v>0</v>
      </c>
      <c r="L19" s="138">
        <v>0</v>
      </c>
      <c r="M19" s="138">
        <v>0</v>
      </c>
      <c r="N19" s="138">
        <v>0</v>
      </c>
      <c r="O19" s="138">
        <v>0</v>
      </c>
      <c r="P19" s="138">
        <v>0</v>
      </c>
      <c r="Q19" s="138">
        <v>0</v>
      </c>
      <c r="R19" s="138">
        <v>0</v>
      </c>
      <c r="S19" s="138">
        <v>0</v>
      </c>
      <c r="T19" s="138">
        <v>0</v>
      </c>
    </row>
    <row r="20" spans="1:20">
      <c r="A20" s="39">
        <v>16</v>
      </c>
      <c r="B20" s="144" t="s">
        <v>180</v>
      </c>
      <c r="C20" s="145"/>
      <c r="D20" s="141">
        <v>0</v>
      </c>
      <c r="E20" s="141">
        <v>0</v>
      </c>
      <c r="F20" s="141">
        <v>3.85</v>
      </c>
      <c r="G20" s="137">
        <v>0</v>
      </c>
      <c r="H20" s="137">
        <v>0</v>
      </c>
      <c r="I20" s="36">
        <v>0</v>
      </c>
      <c r="J20" s="36">
        <v>0</v>
      </c>
      <c r="K20" s="37">
        <v>0</v>
      </c>
      <c r="L20" s="138">
        <v>0</v>
      </c>
      <c r="M20" s="138">
        <v>0</v>
      </c>
      <c r="N20" s="138">
        <v>0</v>
      </c>
      <c r="O20" s="138">
        <v>0</v>
      </c>
      <c r="P20" s="138">
        <v>0</v>
      </c>
      <c r="Q20" s="138">
        <v>0</v>
      </c>
      <c r="R20" s="138">
        <v>0</v>
      </c>
      <c r="S20" s="138">
        <v>0</v>
      </c>
      <c r="T20" s="138">
        <v>0</v>
      </c>
    </row>
    <row r="21" spans="1:20">
      <c r="A21" s="39">
        <v>17</v>
      </c>
      <c r="B21" s="144" t="s">
        <v>181</v>
      </c>
      <c r="C21" s="145"/>
      <c r="D21" s="141">
        <v>0</v>
      </c>
      <c r="E21" s="141">
        <v>0</v>
      </c>
      <c r="F21" s="141">
        <v>3.85</v>
      </c>
      <c r="G21" s="137">
        <v>0</v>
      </c>
      <c r="H21" s="137">
        <v>0</v>
      </c>
      <c r="I21" s="36">
        <v>0</v>
      </c>
      <c r="J21" s="36">
        <v>0</v>
      </c>
      <c r="K21" s="37">
        <v>0</v>
      </c>
      <c r="L21" s="138">
        <v>0</v>
      </c>
      <c r="M21" s="138">
        <v>0</v>
      </c>
      <c r="N21" s="138">
        <v>0</v>
      </c>
      <c r="O21" s="138">
        <v>0</v>
      </c>
      <c r="P21" s="138">
        <v>0</v>
      </c>
      <c r="Q21" s="138">
        <v>0</v>
      </c>
      <c r="R21" s="138">
        <v>0</v>
      </c>
      <c r="S21" s="138">
        <v>0</v>
      </c>
      <c r="T21" s="138">
        <v>0</v>
      </c>
    </row>
    <row r="22" spans="1:20">
      <c r="A22" s="39">
        <v>18</v>
      </c>
      <c r="B22" s="144" t="s">
        <v>182</v>
      </c>
      <c r="C22" s="145"/>
      <c r="D22" s="141">
        <v>0</v>
      </c>
      <c r="E22" s="141">
        <v>0</v>
      </c>
      <c r="F22" s="141">
        <v>3.85</v>
      </c>
      <c r="G22" s="137">
        <v>0</v>
      </c>
      <c r="H22" s="137">
        <v>0</v>
      </c>
      <c r="I22" s="36">
        <v>0</v>
      </c>
      <c r="J22" s="36">
        <v>0</v>
      </c>
      <c r="K22" s="37">
        <v>0</v>
      </c>
      <c r="L22" s="138">
        <v>0</v>
      </c>
      <c r="M22" s="138">
        <v>0</v>
      </c>
      <c r="N22" s="138">
        <v>0</v>
      </c>
      <c r="O22" s="138">
        <v>0</v>
      </c>
      <c r="P22" s="138">
        <v>0</v>
      </c>
      <c r="Q22" s="138">
        <v>0</v>
      </c>
      <c r="R22" s="138">
        <v>0</v>
      </c>
      <c r="S22" s="138">
        <v>0</v>
      </c>
      <c r="T22" s="138">
        <v>0</v>
      </c>
    </row>
    <row r="23" spans="1:20">
      <c r="A23" s="39">
        <v>19</v>
      </c>
      <c r="B23" s="144" t="s">
        <v>183</v>
      </c>
      <c r="C23" s="145"/>
      <c r="D23" s="141">
        <v>0</v>
      </c>
      <c r="E23" s="141">
        <v>0</v>
      </c>
      <c r="F23" s="141">
        <v>3.85</v>
      </c>
      <c r="G23" s="137">
        <v>0</v>
      </c>
      <c r="H23" s="137">
        <v>0</v>
      </c>
      <c r="I23" s="36">
        <v>0</v>
      </c>
      <c r="J23" s="36">
        <v>0</v>
      </c>
      <c r="K23" s="37">
        <v>0</v>
      </c>
      <c r="L23" s="138">
        <v>0</v>
      </c>
      <c r="M23" s="138">
        <v>0</v>
      </c>
      <c r="N23" s="138">
        <v>0</v>
      </c>
      <c r="O23" s="138">
        <v>0</v>
      </c>
      <c r="P23" s="138">
        <v>0</v>
      </c>
      <c r="Q23" s="138">
        <v>0</v>
      </c>
      <c r="R23" s="138">
        <v>0</v>
      </c>
      <c r="S23" s="138">
        <v>0</v>
      </c>
      <c r="T23" s="138">
        <v>0</v>
      </c>
    </row>
    <row r="24" spans="1:20">
      <c r="A24" s="39">
        <v>20</v>
      </c>
      <c r="B24" s="144" t="s">
        <v>184</v>
      </c>
      <c r="C24" s="145"/>
      <c r="D24" s="141">
        <v>0</v>
      </c>
      <c r="E24" s="141">
        <v>0</v>
      </c>
      <c r="F24" s="141">
        <v>3.85</v>
      </c>
      <c r="G24" s="137">
        <v>0</v>
      </c>
      <c r="H24" s="137">
        <v>0</v>
      </c>
      <c r="I24" s="36">
        <v>0</v>
      </c>
      <c r="J24" s="36">
        <v>0</v>
      </c>
      <c r="K24" s="37">
        <v>0</v>
      </c>
      <c r="L24" s="138">
        <v>0</v>
      </c>
      <c r="M24" s="138">
        <v>0</v>
      </c>
      <c r="N24" s="138">
        <v>0</v>
      </c>
      <c r="O24" s="138">
        <v>0</v>
      </c>
      <c r="P24" s="138">
        <v>0</v>
      </c>
      <c r="Q24" s="138">
        <v>0</v>
      </c>
      <c r="R24" s="138">
        <v>0</v>
      </c>
      <c r="S24" s="138">
        <v>0</v>
      </c>
      <c r="T24" s="138">
        <v>0</v>
      </c>
    </row>
    <row r="25" spans="1:20">
      <c r="A25" s="39">
        <v>21</v>
      </c>
      <c r="B25" s="144" t="s">
        <v>185</v>
      </c>
      <c r="C25" s="145"/>
      <c r="D25" s="141">
        <v>0</v>
      </c>
      <c r="E25" s="141">
        <v>0</v>
      </c>
      <c r="F25" s="141">
        <v>3.85</v>
      </c>
      <c r="G25" s="137">
        <v>0</v>
      </c>
      <c r="H25" s="137">
        <v>0</v>
      </c>
      <c r="I25" s="36">
        <v>0</v>
      </c>
      <c r="J25" s="36">
        <v>0</v>
      </c>
      <c r="K25" s="37">
        <v>0</v>
      </c>
      <c r="L25" s="138">
        <v>0</v>
      </c>
      <c r="M25" s="138">
        <v>0</v>
      </c>
      <c r="N25" s="138">
        <v>0</v>
      </c>
      <c r="O25" s="138">
        <v>0</v>
      </c>
      <c r="P25" s="138">
        <v>0</v>
      </c>
      <c r="Q25" s="138">
        <v>0</v>
      </c>
      <c r="R25" s="138">
        <v>0</v>
      </c>
      <c r="S25" s="138">
        <v>0</v>
      </c>
      <c r="T25" s="138">
        <v>0</v>
      </c>
    </row>
    <row r="26" spans="1:20">
      <c r="A26" s="39">
        <v>22</v>
      </c>
      <c r="B26" s="144" t="s">
        <v>186</v>
      </c>
      <c r="C26" s="145"/>
      <c r="D26" s="141">
        <v>0</v>
      </c>
      <c r="E26" s="141">
        <v>0</v>
      </c>
      <c r="F26" s="141">
        <v>3.85</v>
      </c>
      <c r="G26" s="137">
        <v>0</v>
      </c>
      <c r="H26" s="137">
        <v>0</v>
      </c>
      <c r="I26" s="36">
        <v>0</v>
      </c>
      <c r="J26" s="36">
        <v>0</v>
      </c>
      <c r="K26" s="37">
        <v>0</v>
      </c>
      <c r="L26" s="138">
        <v>0</v>
      </c>
      <c r="M26" s="138">
        <v>0</v>
      </c>
      <c r="N26" s="138">
        <v>0</v>
      </c>
      <c r="O26" s="138">
        <v>0</v>
      </c>
      <c r="P26" s="138">
        <v>0</v>
      </c>
      <c r="Q26" s="138">
        <v>0</v>
      </c>
      <c r="R26" s="138">
        <v>0</v>
      </c>
      <c r="S26" s="138">
        <v>0</v>
      </c>
      <c r="T26" s="138">
        <v>0</v>
      </c>
    </row>
    <row r="27" spans="1:20">
      <c r="A27" s="39">
        <v>23</v>
      </c>
      <c r="B27" s="144" t="s">
        <v>187</v>
      </c>
      <c r="C27" s="145"/>
      <c r="D27" s="141">
        <v>0</v>
      </c>
      <c r="E27" s="141">
        <v>0</v>
      </c>
      <c r="F27" s="141">
        <v>3.85</v>
      </c>
      <c r="G27" s="137">
        <v>0</v>
      </c>
      <c r="H27" s="137">
        <v>0</v>
      </c>
      <c r="I27" s="36">
        <v>0</v>
      </c>
      <c r="J27" s="36">
        <v>0</v>
      </c>
      <c r="K27" s="37">
        <v>0</v>
      </c>
      <c r="L27" s="138">
        <v>0</v>
      </c>
      <c r="M27" s="138">
        <v>0</v>
      </c>
      <c r="N27" s="138">
        <v>0</v>
      </c>
      <c r="O27" s="138">
        <v>0</v>
      </c>
      <c r="P27" s="138">
        <v>0</v>
      </c>
      <c r="Q27" s="138">
        <v>0</v>
      </c>
      <c r="R27" s="138">
        <v>0</v>
      </c>
      <c r="S27" s="138">
        <v>0</v>
      </c>
      <c r="T27" s="138">
        <v>0</v>
      </c>
    </row>
    <row r="28" spans="1:20">
      <c r="A28" s="39">
        <v>24</v>
      </c>
      <c r="B28" s="144" t="s">
        <v>188</v>
      </c>
      <c r="C28" s="145"/>
      <c r="D28" s="141">
        <v>0</v>
      </c>
      <c r="E28" s="141">
        <v>0</v>
      </c>
      <c r="F28" s="141">
        <v>3.85</v>
      </c>
      <c r="G28" s="137">
        <v>0</v>
      </c>
      <c r="H28" s="137">
        <v>0</v>
      </c>
      <c r="I28" s="36">
        <v>0</v>
      </c>
      <c r="J28" s="36">
        <v>0</v>
      </c>
      <c r="K28" s="37">
        <v>0</v>
      </c>
      <c r="L28" s="138">
        <v>0</v>
      </c>
      <c r="M28" s="138">
        <v>0</v>
      </c>
      <c r="N28" s="138">
        <v>0</v>
      </c>
      <c r="O28" s="138">
        <v>0</v>
      </c>
      <c r="P28" s="138">
        <v>0</v>
      </c>
      <c r="Q28" s="138">
        <v>0</v>
      </c>
      <c r="R28" s="138">
        <v>0</v>
      </c>
      <c r="S28" s="138">
        <v>0</v>
      </c>
      <c r="T28" s="138">
        <v>0</v>
      </c>
    </row>
    <row r="29" spans="1:20">
      <c r="A29" s="39">
        <v>25</v>
      </c>
      <c r="B29" s="144" t="s">
        <v>189</v>
      </c>
      <c r="C29" s="145"/>
      <c r="D29" s="141">
        <v>0</v>
      </c>
      <c r="E29" s="141">
        <v>0</v>
      </c>
      <c r="F29" s="141">
        <v>3.85</v>
      </c>
      <c r="G29" s="137">
        <v>0</v>
      </c>
      <c r="H29" s="137">
        <v>0</v>
      </c>
      <c r="I29" s="36">
        <v>0</v>
      </c>
      <c r="J29" s="36">
        <v>0</v>
      </c>
      <c r="K29" s="37">
        <v>0</v>
      </c>
      <c r="L29" s="138">
        <v>0</v>
      </c>
      <c r="M29" s="138">
        <v>0</v>
      </c>
      <c r="N29" s="138">
        <v>0</v>
      </c>
      <c r="O29" s="138">
        <v>0</v>
      </c>
      <c r="P29" s="138">
        <v>0</v>
      </c>
      <c r="Q29" s="138">
        <v>0</v>
      </c>
      <c r="R29" s="138">
        <v>0</v>
      </c>
      <c r="S29" s="138">
        <v>0</v>
      </c>
      <c r="T29" s="138">
        <v>0</v>
      </c>
    </row>
    <row r="30" spans="1:20">
      <c r="A30" s="39">
        <v>26</v>
      </c>
      <c r="B30" s="144" t="s">
        <v>190</v>
      </c>
      <c r="C30" s="145"/>
      <c r="D30" s="141">
        <v>0</v>
      </c>
      <c r="E30" s="141">
        <v>0</v>
      </c>
      <c r="F30" s="141">
        <v>3.85</v>
      </c>
      <c r="G30" s="137">
        <v>0</v>
      </c>
      <c r="H30" s="137">
        <v>0</v>
      </c>
      <c r="I30" s="36">
        <v>0</v>
      </c>
      <c r="J30" s="36">
        <v>0</v>
      </c>
      <c r="K30" s="37">
        <v>0</v>
      </c>
      <c r="L30" s="138">
        <v>0</v>
      </c>
      <c r="M30" s="138">
        <v>0</v>
      </c>
      <c r="N30" s="138">
        <v>0</v>
      </c>
      <c r="O30" s="138">
        <v>0</v>
      </c>
      <c r="P30" s="138">
        <v>0</v>
      </c>
      <c r="Q30" s="138">
        <v>0</v>
      </c>
      <c r="R30" s="138">
        <v>0</v>
      </c>
      <c r="S30" s="138">
        <v>0</v>
      </c>
      <c r="T30" s="138">
        <v>0</v>
      </c>
    </row>
    <row r="31" spans="1:20">
      <c r="A31" s="39">
        <v>27</v>
      </c>
      <c r="B31" s="144" t="s">
        <v>191</v>
      </c>
      <c r="C31" s="145"/>
      <c r="D31" s="141">
        <v>0</v>
      </c>
      <c r="E31" s="141">
        <v>0</v>
      </c>
      <c r="F31" s="141">
        <v>3.85</v>
      </c>
      <c r="G31" s="137">
        <v>0</v>
      </c>
      <c r="H31" s="137">
        <v>0</v>
      </c>
      <c r="I31" s="36">
        <v>0</v>
      </c>
      <c r="J31" s="36">
        <v>0</v>
      </c>
      <c r="K31" s="37">
        <v>0</v>
      </c>
      <c r="L31" s="138">
        <v>0</v>
      </c>
      <c r="M31" s="138">
        <v>0</v>
      </c>
      <c r="N31" s="138">
        <v>0</v>
      </c>
      <c r="O31" s="138">
        <v>0</v>
      </c>
      <c r="P31" s="138">
        <v>0</v>
      </c>
      <c r="Q31" s="138">
        <v>0</v>
      </c>
      <c r="R31" s="138">
        <v>0</v>
      </c>
      <c r="S31" s="138">
        <v>0</v>
      </c>
      <c r="T31" s="138">
        <v>0</v>
      </c>
    </row>
    <row r="32" spans="1:20">
      <c r="A32" s="39">
        <v>28</v>
      </c>
      <c r="B32" s="144" t="s">
        <v>192</v>
      </c>
      <c r="C32" s="145"/>
      <c r="D32" s="141">
        <v>0</v>
      </c>
      <c r="E32" s="141">
        <v>0</v>
      </c>
      <c r="F32" s="141">
        <v>3.85</v>
      </c>
      <c r="G32" s="137">
        <v>0</v>
      </c>
      <c r="H32" s="137">
        <v>0</v>
      </c>
      <c r="I32" s="36">
        <v>0</v>
      </c>
      <c r="J32" s="36">
        <v>0</v>
      </c>
      <c r="K32" s="37">
        <v>0</v>
      </c>
      <c r="L32" s="138">
        <v>0</v>
      </c>
      <c r="M32" s="138">
        <v>0</v>
      </c>
      <c r="N32" s="138">
        <v>0</v>
      </c>
      <c r="O32" s="138">
        <v>0</v>
      </c>
      <c r="P32" s="138">
        <v>0</v>
      </c>
      <c r="Q32" s="138">
        <v>0</v>
      </c>
      <c r="R32" s="138">
        <v>0</v>
      </c>
      <c r="S32" s="138">
        <v>0</v>
      </c>
      <c r="T32" s="138">
        <v>0</v>
      </c>
    </row>
    <row r="33" spans="1:20">
      <c r="A33" s="39">
        <v>29</v>
      </c>
      <c r="B33" s="144" t="s">
        <v>193</v>
      </c>
      <c r="C33" s="145"/>
      <c r="D33" s="141">
        <v>0</v>
      </c>
      <c r="E33" s="141">
        <v>0</v>
      </c>
      <c r="F33" s="141">
        <v>3.85</v>
      </c>
      <c r="G33" s="137">
        <v>0</v>
      </c>
      <c r="H33" s="137">
        <v>0</v>
      </c>
      <c r="I33" s="36">
        <v>0</v>
      </c>
      <c r="J33" s="36">
        <v>0</v>
      </c>
      <c r="K33" s="37">
        <v>0</v>
      </c>
      <c r="L33" s="138">
        <v>0</v>
      </c>
      <c r="M33" s="138">
        <v>0</v>
      </c>
      <c r="N33" s="138">
        <v>0</v>
      </c>
      <c r="O33" s="138">
        <v>0</v>
      </c>
      <c r="P33" s="138">
        <v>0</v>
      </c>
      <c r="Q33" s="138">
        <v>0</v>
      </c>
      <c r="R33" s="138">
        <v>0</v>
      </c>
      <c r="S33" s="138">
        <v>0</v>
      </c>
      <c r="T33" s="138">
        <v>0</v>
      </c>
    </row>
    <row r="34" spans="1:20">
      <c r="A34" s="39">
        <v>30</v>
      </c>
      <c r="B34" s="144" t="s">
        <v>194</v>
      </c>
      <c r="C34" s="145"/>
      <c r="D34" s="141">
        <v>0</v>
      </c>
      <c r="E34" s="141">
        <v>0</v>
      </c>
      <c r="F34" s="141">
        <v>3.85</v>
      </c>
      <c r="G34" s="137">
        <v>0</v>
      </c>
      <c r="H34" s="137">
        <v>0</v>
      </c>
      <c r="I34" s="36">
        <v>0</v>
      </c>
      <c r="J34" s="36">
        <v>0</v>
      </c>
      <c r="K34" s="37">
        <v>0</v>
      </c>
      <c r="L34" s="138">
        <v>0</v>
      </c>
      <c r="M34" s="138">
        <v>0</v>
      </c>
      <c r="N34" s="138">
        <v>0</v>
      </c>
      <c r="O34" s="138">
        <v>0</v>
      </c>
      <c r="P34" s="138">
        <v>0</v>
      </c>
      <c r="Q34" s="138">
        <v>0</v>
      </c>
      <c r="R34" s="138">
        <v>0</v>
      </c>
      <c r="S34" s="138">
        <v>0</v>
      </c>
      <c r="T34" s="138">
        <v>0</v>
      </c>
    </row>
    <row r="35" spans="1:20">
      <c r="A35" s="39">
        <v>31</v>
      </c>
      <c r="B35" s="144"/>
      <c r="C35" s="145"/>
      <c r="D35" s="141">
        <v>0</v>
      </c>
      <c r="E35" s="141">
        <v>0</v>
      </c>
      <c r="F35" s="141">
        <v>0</v>
      </c>
      <c r="G35" s="137">
        <v>0</v>
      </c>
      <c r="H35" s="137">
        <v>0</v>
      </c>
      <c r="I35" s="36">
        <v>0</v>
      </c>
      <c r="J35" s="36">
        <v>0</v>
      </c>
      <c r="K35" s="37">
        <v>0</v>
      </c>
      <c r="L35" s="138">
        <v>0</v>
      </c>
      <c r="M35" s="138">
        <v>0</v>
      </c>
      <c r="N35" s="138">
        <v>0</v>
      </c>
      <c r="O35" s="138">
        <v>0</v>
      </c>
      <c r="P35" s="138">
        <v>0</v>
      </c>
      <c r="Q35" s="138">
        <v>0</v>
      </c>
      <c r="R35" s="138">
        <v>0</v>
      </c>
      <c r="S35" s="138">
        <v>0</v>
      </c>
      <c r="T35" s="138">
        <v>0</v>
      </c>
    </row>
    <row r="36" spans="1:20">
      <c r="D36" s="43">
        <v>0</v>
      </c>
      <c r="E36" s="43">
        <v>0</v>
      </c>
      <c r="F36" s="43">
        <v>115.49999999999994</v>
      </c>
      <c r="G36" s="43">
        <v>0</v>
      </c>
      <c r="H36" s="43">
        <v>0</v>
      </c>
      <c r="I36" s="43">
        <v>0</v>
      </c>
      <c r="J36" s="43">
        <v>0</v>
      </c>
      <c r="K36" s="43">
        <v>0</v>
      </c>
      <c r="L36" s="139">
        <v>0</v>
      </c>
      <c r="M36" s="139">
        <v>0</v>
      </c>
      <c r="N36" s="139">
        <v>0</v>
      </c>
      <c r="O36" s="139">
        <v>3159.94</v>
      </c>
      <c r="P36" s="139">
        <v>0</v>
      </c>
      <c r="Q36" s="139">
        <v>0</v>
      </c>
      <c r="R36" s="139">
        <v>0</v>
      </c>
      <c r="S36" s="139">
        <v>0</v>
      </c>
      <c r="T36" s="139">
        <v>3159.94</v>
      </c>
    </row>
    <row r="37" spans="1:20">
      <c r="R37" s="46"/>
      <c r="S37" s="46"/>
      <c r="T37" s="140">
        <v>3855.13</v>
      </c>
    </row>
  </sheetData>
  <mergeCells count="50"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26174-62F8-4115-8BCD-983456FA925B}">
  <sheetPr>
    <pageSetUpPr fitToPage="1"/>
  </sheetPr>
  <dimension ref="A1:T37"/>
  <sheetViews>
    <sheetView workbookViewId="0">
      <selection activeCell="K10" sqref="K10"/>
    </sheetView>
  </sheetViews>
  <sheetFormatPr defaultRowHeight="15"/>
  <cols>
    <col min="1" max="3" width="9.140625" style="28"/>
    <col min="4" max="4" width="11.7109375" style="28" customWidth="1"/>
    <col min="5" max="5" width="12.140625" style="28" customWidth="1"/>
    <col min="6" max="6" width="13.28515625" style="28" customWidth="1"/>
    <col min="7" max="7" width="11.42578125" style="28" customWidth="1"/>
    <col min="8" max="8" width="10.42578125" style="28" customWidth="1"/>
    <col min="9" max="9" width="10.5703125" style="28" bestFit="1" customWidth="1"/>
    <col min="10" max="10" width="9.42578125" style="28" bestFit="1" customWidth="1"/>
    <col min="11" max="12" width="9.140625" style="28"/>
    <col min="13" max="13" width="15.140625" style="28" customWidth="1"/>
    <col min="14" max="14" width="13.5703125" style="28" customWidth="1"/>
    <col min="15" max="15" width="14.5703125" style="28" customWidth="1"/>
    <col min="16" max="16" width="14.5703125" style="28" bestFit="1" customWidth="1"/>
    <col min="17" max="17" width="15" style="28" customWidth="1"/>
    <col min="18" max="18" width="13.28515625" style="28" customWidth="1"/>
    <col min="19" max="19" width="11.7109375" style="28" customWidth="1"/>
    <col min="20" max="20" width="24.28515625" style="28" customWidth="1"/>
    <col min="21" max="16384" width="9.140625" style="28"/>
  </cols>
  <sheetData>
    <row r="1" spans="1:20">
      <c r="I1" s="29"/>
    </row>
    <row r="2" spans="1:20" ht="28.9" customHeight="1">
      <c r="A2" s="149" t="s">
        <v>198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</row>
    <row r="3" spans="1:20" ht="28.9" customHeight="1">
      <c r="A3" s="146" t="s">
        <v>0</v>
      </c>
      <c r="B3" s="150" t="s">
        <v>1</v>
      </c>
      <c r="C3" s="151"/>
      <c r="D3" s="146" t="s">
        <v>2</v>
      </c>
      <c r="E3" s="146" t="s">
        <v>3</v>
      </c>
      <c r="F3" s="30" t="s">
        <v>4</v>
      </c>
      <c r="G3" s="146" t="s">
        <v>156</v>
      </c>
      <c r="H3" s="146" t="s">
        <v>157</v>
      </c>
      <c r="I3" s="146" t="s">
        <v>7</v>
      </c>
      <c r="J3" s="146" t="s">
        <v>8</v>
      </c>
      <c r="K3" s="146" t="s">
        <v>158</v>
      </c>
      <c r="L3" s="146" t="s">
        <v>159</v>
      </c>
      <c r="M3" s="146" t="s">
        <v>160</v>
      </c>
      <c r="N3" s="146" t="s">
        <v>161</v>
      </c>
      <c r="O3" s="146" t="s">
        <v>162</v>
      </c>
      <c r="P3" s="146" t="s">
        <v>163</v>
      </c>
      <c r="Q3" s="146" t="s">
        <v>164</v>
      </c>
      <c r="R3" s="146" t="s">
        <v>16</v>
      </c>
      <c r="S3" s="146" t="s">
        <v>17</v>
      </c>
      <c r="T3" s="146" t="s">
        <v>18</v>
      </c>
    </row>
    <row r="4" spans="1:20" ht="27" customHeight="1">
      <c r="A4" s="147"/>
      <c r="B4" s="152"/>
      <c r="C4" s="153"/>
      <c r="D4" s="147"/>
      <c r="E4" s="147"/>
      <c r="F4" s="31"/>
      <c r="G4" s="147"/>
      <c r="H4" s="147"/>
      <c r="I4" s="147"/>
      <c r="J4" s="147"/>
      <c r="K4" s="148"/>
      <c r="L4" s="148"/>
      <c r="M4" s="147"/>
      <c r="N4" s="147"/>
      <c r="O4" s="147"/>
      <c r="P4" s="147"/>
      <c r="Q4" s="147"/>
      <c r="R4" s="147"/>
      <c r="S4" s="147"/>
      <c r="T4" s="147"/>
    </row>
    <row r="5" spans="1:20">
      <c r="A5" s="39">
        <v>1</v>
      </c>
      <c r="B5" s="144" t="s">
        <v>165</v>
      </c>
      <c r="C5" s="145"/>
      <c r="D5" s="141">
        <v>0</v>
      </c>
      <c r="E5" s="141">
        <v>0</v>
      </c>
      <c r="F5" s="141">
        <v>97.394000000000005</v>
      </c>
      <c r="G5" s="137">
        <v>0</v>
      </c>
      <c r="H5" s="137">
        <v>0</v>
      </c>
      <c r="I5" s="36">
        <v>0</v>
      </c>
      <c r="J5" s="36">
        <v>0</v>
      </c>
      <c r="K5" s="37">
        <v>0</v>
      </c>
      <c r="L5" s="138">
        <v>0</v>
      </c>
      <c r="M5" s="138">
        <v>0</v>
      </c>
      <c r="N5" s="138">
        <v>0</v>
      </c>
      <c r="O5" s="138">
        <v>0</v>
      </c>
      <c r="P5" s="138">
        <v>0</v>
      </c>
      <c r="Q5" s="138">
        <v>0</v>
      </c>
      <c r="R5" s="138">
        <v>0</v>
      </c>
      <c r="S5" s="138">
        <v>0</v>
      </c>
      <c r="T5" s="138">
        <v>0</v>
      </c>
    </row>
    <row r="6" spans="1:20">
      <c r="A6" s="39">
        <v>2</v>
      </c>
      <c r="B6" s="144" t="s">
        <v>166</v>
      </c>
      <c r="C6" s="145"/>
      <c r="D6" s="141">
        <v>0</v>
      </c>
      <c r="E6" s="141">
        <v>0</v>
      </c>
      <c r="F6" s="141">
        <v>97.394000000000005</v>
      </c>
      <c r="G6" s="137">
        <v>0</v>
      </c>
      <c r="H6" s="137">
        <v>0</v>
      </c>
      <c r="I6" s="36">
        <v>0</v>
      </c>
      <c r="J6" s="36">
        <v>0</v>
      </c>
      <c r="K6" s="37">
        <v>0</v>
      </c>
      <c r="L6" s="138">
        <v>0</v>
      </c>
      <c r="M6" s="138">
        <v>0</v>
      </c>
      <c r="N6" s="138">
        <v>0</v>
      </c>
      <c r="O6" s="138">
        <v>0</v>
      </c>
      <c r="P6" s="138">
        <v>0</v>
      </c>
      <c r="Q6" s="138">
        <v>0</v>
      </c>
      <c r="R6" s="138">
        <v>0</v>
      </c>
      <c r="S6" s="138">
        <v>0</v>
      </c>
      <c r="T6" s="138">
        <v>0</v>
      </c>
    </row>
    <row r="7" spans="1:20">
      <c r="A7" s="39">
        <v>3</v>
      </c>
      <c r="B7" s="144" t="s">
        <v>167</v>
      </c>
      <c r="C7" s="145"/>
      <c r="D7" s="141">
        <v>0</v>
      </c>
      <c r="E7" s="141">
        <v>0</v>
      </c>
      <c r="F7" s="141">
        <v>97.394000000000005</v>
      </c>
      <c r="G7" s="137">
        <v>0</v>
      </c>
      <c r="H7" s="137">
        <v>0</v>
      </c>
      <c r="I7" s="36">
        <v>0</v>
      </c>
      <c r="J7" s="36">
        <v>0</v>
      </c>
      <c r="K7" s="37">
        <v>0</v>
      </c>
      <c r="L7" s="138">
        <v>0</v>
      </c>
      <c r="M7" s="138">
        <v>0</v>
      </c>
      <c r="N7" s="138">
        <v>0</v>
      </c>
      <c r="O7" s="138">
        <v>0</v>
      </c>
      <c r="P7" s="138">
        <v>0</v>
      </c>
      <c r="Q7" s="138">
        <v>0</v>
      </c>
      <c r="R7" s="138">
        <v>0</v>
      </c>
      <c r="S7" s="138">
        <v>0</v>
      </c>
      <c r="T7" s="138">
        <v>0</v>
      </c>
    </row>
    <row r="8" spans="1:20">
      <c r="A8" s="39">
        <v>4</v>
      </c>
      <c r="B8" s="144" t="s">
        <v>168</v>
      </c>
      <c r="C8" s="145"/>
      <c r="D8" s="141">
        <v>0</v>
      </c>
      <c r="E8" s="141">
        <v>0</v>
      </c>
      <c r="F8" s="141">
        <v>97.394000000000005</v>
      </c>
      <c r="G8" s="137">
        <v>0</v>
      </c>
      <c r="H8" s="137">
        <v>0</v>
      </c>
      <c r="I8" s="36">
        <v>0</v>
      </c>
      <c r="J8" s="36">
        <v>0</v>
      </c>
      <c r="K8" s="37">
        <v>0</v>
      </c>
      <c r="L8" s="138">
        <v>0</v>
      </c>
      <c r="M8" s="138">
        <v>0</v>
      </c>
      <c r="N8" s="138">
        <v>0</v>
      </c>
      <c r="O8" s="138">
        <v>0</v>
      </c>
      <c r="P8" s="138">
        <v>0</v>
      </c>
      <c r="Q8" s="138">
        <v>0</v>
      </c>
      <c r="R8" s="138">
        <v>0</v>
      </c>
      <c r="S8" s="138">
        <v>0</v>
      </c>
      <c r="T8" s="138">
        <v>0</v>
      </c>
    </row>
    <row r="9" spans="1:20">
      <c r="A9" s="39">
        <v>5</v>
      </c>
      <c r="B9" s="144" t="s">
        <v>169</v>
      </c>
      <c r="C9" s="145"/>
      <c r="D9" s="141">
        <v>0</v>
      </c>
      <c r="E9" s="141">
        <v>0</v>
      </c>
      <c r="F9" s="141">
        <v>97.394000000000005</v>
      </c>
      <c r="G9" s="137">
        <v>0</v>
      </c>
      <c r="H9" s="137">
        <v>0</v>
      </c>
      <c r="I9" s="36">
        <v>0</v>
      </c>
      <c r="J9" s="36">
        <v>0</v>
      </c>
      <c r="K9" s="37">
        <v>0</v>
      </c>
      <c r="L9" s="138">
        <v>0</v>
      </c>
      <c r="M9" s="138">
        <v>0</v>
      </c>
      <c r="N9" s="138">
        <v>0</v>
      </c>
      <c r="O9" s="138">
        <v>0</v>
      </c>
      <c r="P9" s="138">
        <v>0</v>
      </c>
      <c r="Q9" s="138">
        <v>0</v>
      </c>
      <c r="R9" s="138">
        <v>0</v>
      </c>
      <c r="S9" s="138">
        <v>0</v>
      </c>
      <c r="T9" s="138">
        <v>0</v>
      </c>
    </row>
    <row r="10" spans="1:20">
      <c r="A10" s="39">
        <v>6</v>
      </c>
      <c r="B10" s="144" t="s">
        <v>170</v>
      </c>
      <c r="C10" s="145"/>
      <c r="D10" s="141">
        <v>0</v>
      </c>
      <c r="E10" s="141">
        <v>0</v>
      </c>
      <c r="F10" s="141">
        <v>97.394000000000005</v>
      </c>
      <c r="G10" s="137">
        <v>0</v>
      </c>
      <c r="H10" s="137">
        <v>0</v>
      </c>
      <c r="I10" s="36">
        <v>0</v>
      </c>
      <c r="J10" s="36">
        <v>0</v>
      </c>
      <c r="K10" s="37">
        <v>0</v>
      </c>
      <c r="L10" s="138">
        <v>0</v>
      </c>
      <c r="M10" s="138">
        <v>0</v>
      </c>
      <c r="N10" s="138">
        <v>0</v>
      </c>
      <c r="O10" s="138">
        <v>0</v>
      </c>
      <c r="P10" s="138">
        <v>0</v>
      </c>
      <c r="Q10" s="138">
        <v>0</v>
      </c>
      <c r="R10" s="138">
        <v>0</v>
      </c>
      <c r="S10" s="138">
        <v>0</v>
      </c>
      <c r="T10" s="138">
        <v>0</v>
      </c>
    </row>
    <row r="11" spans="1:20">
      <c r="A11" s="39">
        <v>7</v>
      </c>
      <c r="B11" s="144" t="s">
        <v>171</v>
      </c>
      <c r="C11" s="145"/>
      <c r="D11" s="141">
        <v>0</v>
      </c>
      <c r="E11" s="141">
        <v>0</v>
      </c>
      <c r="F11" s="141">
        <v>97.394000000000005</v>
      </c>
      <c r="G11" s="137">
        <v>0</v>
      </c>
      <c r="H11" s="137">
        <v>0</v>
      </c>
      <c r="I11" s="36">
        <v>0</v>
      </c>
      <c r="J11" s="36">
        <v>0</v>
      </c>
      <c r="K11" s="37">
        <v>0</v>
      </c>
      <c r="L11" s="138">
        <v>0</v>
      </c>
      <c r="M11" s="138">
        <v>0</v>
      </c>
      <c r="N11" s="138">
        <v>0</v>
      </c>
      <c r="O11" s="138">
        <v>0</v>
      </c>
      <c r="P11" s="138">
        <v>0</v>
      </c>
      <c r="Q11" s="138">
        <v>0</v>
      </c>
      <c r="R11" s="138">
        <v>0</v>
      </c>
      <c r="S11" s="138">
        <v>0</v>
      </c>
      <c r="T11" s="138">
        <v>0</v>
      </c>
    </row>
    <row r="12" spans="1:20">
      <c r="A12" s="39">
        <v>8</v>
      </c>
      <c r="B12" s="144" t="s">
        <v>172</v>
      </c>
      <c r="C12" s="145"/>
      <c r="D12" s="141">
        <v>0</v>
      </c>
      <c r="E12" s="141">
        <v>0</v>
      </c>
      <c r="F12" s="141">
        <v>97.394000000000005</v>
      </c>
      <c r="G12" s="137">
        <v>0</v>
      </c>
      <c r="H12" s="137">
        <v>0</v>
      </c>
      <c r="I12" s="36">
        <v>0</v>
      </c>
      <c r="J12" s="36">
        <v>0</v>
      </c>
      <c r="K12" s="37">
        <v>0</v>
      </c>
      <c r="L12" s="138">
        <v>0</v>
      </c>
      <c r="M12" s="138">
        <v>0</v>
      </c>
      <c r="N12" s="138">
        <v>0</v>
      </c>
      <c r="O12" s="138">
        <v>0</v>
      </c>
      <c r="P12" s="138">
        <v>0</v>
      </c>
      <c r="Q12" s="138">
        <v>0</v>
      </c>
      <c r="R12" s="138">
        <v>0</v>
      </c>
      <c r="S12" s="138">
        <v>0</v>
      </c>
      <c r="T12" s="138">
        <v>0</v>
      </c>
    </row>
    <row r="13" spans="1:20">
      <c r="A13" s="39">
        <v>9</v>
      </c>
      <c r="B13" s="144" t="s">
        <v>173</v>
      </c>
      <c r="C13" s="145"/>
      <c r="D13" s="141">
        <v>0</v>
      </c>
      <c r="E13" s="141">
        <v>0</v>
      </c>
      <c r="F13" s="141">
        <v>97.394000000000005</v>
      </c>
      <c r="G13" s="137">
        <v>0</v>
      </c>
      <c r="H13" s="137">
        <v>0</v>
      </c>
      <c r="I13" s="36">
        <v>0</v>
      </c>
      <c r="J13" s="36">
        <v>0</v>
      </c>
      <c r="K13" s="37">
        <v>0</v>
      </c>
      <c r="L13" s="138">
        <v>0</v>
      </c>
      <c r="M13" s="138">
        <v>0</v>
      </c>
      <c r="N13" s="138">
        <v>0</v>
      </c>
      <c r="O13" s="138">
        <v>0</v>
      </c>
      <c r="P13" s="138">
        <v>0</v>
      </c>
      <c r="Q13" s="138">
        <v>0</v>
      </c>
      <c r="R13" s="138">
        <v>0</v>
      </c>
      <c r="S13" s="138">
        <v>0</v>
      </c>
      <c r="T13" s="138">
        <v>0</v>
      </c>
    </row>
    <row r="14" spans="1:20">
      <c r="A14" s="39">
        <v>10</v>
      </c>
      <c r="B14" s="144" t="s">
        <v>174</v>
      </c>
      <c r="C14" s="145"/>
      <c r="D14" s="141">
        <v>0</v>
      </c>
      <c r="E14" s="141">
        <v>0</v>
      </c>
      <c r="F14" s="141">
        <v>97.394000000000005</v>
      </c>
      <c r="G14" s="137">
        <v>0</v>
      </c>
      <c r="H14" s="137">
        <v>0</v>
      </c>
      <c r="I14" s="36">
        <v>0</v>
      </c>
      <c r="J14" s="36">
        <v>0</v>
      </c>
      <c r="K14" s="37">
        <v>0</v>
      </c>
      <c r="L14" s="138">
        <v>0</v>
      </c>
      <c r="M14" s="138">
        <v>0</v>
      </c>
      <c r="N14" s="138">
        <v>0</v>
      </c>
      <c r="O14" s="138">
        <v>0</v>
      </c>
      <c r="P14" s="138">
        <v>0</v>
      </c>
      <c r="Q14" s="138">
        <v>0</v>
      </c>
      <c r="R14" s="138">
        <v>0</v>
      </c>
      <c r="S14" s="138">
        <v>0</v>
      </c>
      <c r="T14" s="138">
        <v>0</v>
      </c>
    </row>
    <row r="15" spans="1:20">
      <c r="A15" s="39">
        <v>11</v>
      </c>
      <c r="B15" s="144" t="s">
        <v>175</v>
      </c>
      <c r="C15" s="145"/>
      <c r="D15" s="141">
        <v>0</v>
      </c>
      <c r="E15" s="141">
        <v>0</v>
      </c>
      <c r="F15" s="141">
        <v>97.394000000000005</v>
      </c>
      <c r="G15" s="137">
        <v>0</v>
      </c>
      <c r="H15" s="137">
        <v>0</v>
      </c>
      <c r="I15" s="36">
        <v>0</v>
      </c>
      <c r="J15" s="36">
        <v>0</v>
      </c>
      <c r="K15" s="37">
        <v>0</v>
      </c>
      <c r="L15" s="138">
        <v>0</v>
      </c>
      <c r="M15" s="138">
        <v>0</v>
      </c>
      <c r="N15" s="138">
        <v>0</v>
      </c>
      <c r="O15" s="138">
        <v>0</v>
      </c>
      <c r="P15" s="138">
        <v>0</v>
      </c>
      <c r="Q15" s="138">
        <v>0</v>
      </c>
      <c r="R15" s="138">
        <v>0</v>
      </c>
      <c r="S15" s="138">
        <v>0</v>
      </c>
      <c r="T15" s="138">
        <v>0</v>
      </c>
    </row>
    <row r="16" spans="1:20">
      <c r="A16" s="39">
        <v>12</v>
      </c>
      <c r="B16" s="144" t="s">
        <v>176</v>
      </c>
      <c r="C16" s="145"/>
      <c r="D16" s="141">
        <v>0</v>
      </c>
      <c r="E16" s="141">
        <v>0</v>
      </c>
      <c r="F16" s="141">
        <v>97.394000000000005</v>
      </c>
      <c r="G16" s="137">
        <v>0</v>
      </c>
      <c r="H16" s="137">
        <v>0</v>
      </c>
      <c r="I16" s="36">
        <v>0</v>
      </c>
      <c r="J16" s="36">
        <v>0</v>
      </c>
      <c r="K16" s="37">
        <v>0</v>
      </c>
      <c r="L16" s="138">
        <v>0</v>
      </c>
      <c r="M16" s="138">
        <v>0</v>
      </c>
      <c r="N16" s="138">
        <v>0</v>
      </c>
      <c r="O16" s="138">
        <v>0</v>
      </c>
      <c r="P16" s="138">
        <v>0</v>
      </c>
      <c r="Q16" s="138">
        <v>0</v>
      </c>
      <c r="R16" s="138">
        <v>0</v>
      </c>
      <c r="S16" s="138">
        <v>0</v>
      </c>
      <c r="T16" s="138">
        <v>0</v>
      </c>
    </row>
    <row r="17" spans="1:20">
      <c r="A17" s="39">
        <v>13</v>
      </c>
      <c r="B17" s="144" t="s">
        <v>177</v>
      </c>
      <c r="C17" s="145"/>
      <c r="D17" s="141">
        <v>0</v>
      </c>
      <c r="E17" s="141">
        <v>0</v>
      </c>
      <c r="F17" s="141">
        <v>97.394000000000005</v>
      </c>
      <c r="G17" s="137">
        <v>0</v>
      </c>
      <c r="H17" s="137">
        <v>0</v>
      </c>
      <c r="I17" s="36">
        <v>0</v>
      </c>
      <c r="J17" s="36">
        <v>0</v>
      </c>
      <c r="K17" s="37">
        <v>0</v>
      </c>
      <c r="L17" s="138">
        <v>0</v>
      </c>
      <c r="M17" s="138">
        <v>0</v>
      </c>
      <c r="N17" s="138">
        <v>0</v>
      </c>
      <c r="O17" s="138">
        <v>0</v>
      </c>
      <c r="P17" s="138">
        <v>0</v>
      </c>
      <c r="Q17" s="138">
        <v>0</v>
      </c>
      <c r="R17" s="138">
        <v>0</v>
      </c>
      <c r="S17" s="138">
        <v>0</v>
      </c>
      <c r="T17" s="138">
        <v>0</v>
      </c>
    </row>
    <row r="18" spans="1:20">
      <c r="A18" s="39">
        <v>14</v>
      </c>
      <c r="B18" s="144" t="s">
        <v>178</v>
      </c>
      <c r="C18" s="145"/>
      <c r="D18" s="141">
        <v>0</v>
      </c>
      <c r="E18" s="141">
        <v>0</v>
      </c>
      <c r="F18" s="141">
        <v>97.394000000000005</v>
      </c>
      <c r="G18" s="137">
        <v>0</v>
      </c>
      <c r="H18" s="137">
        <v>0</v>
      </c>
      <c r="I18" s="36">
        <v>0</v>
      </c>
      <c r="J18" s="36">
        <v>0</v>
      </c>
      <c r="K18" s="37">
        <v>0</v>
      </c>
      <c r="L18" s="138">
        <v>0</v>
      </c>
      <c r="M18" s="138">
        <v>0</v>
      </c>
      <c r="N18" s="138">
        <v>0</v>
      </c>
      <c r="O18" s="138">
        <v>0</v>
      </c>
      <c r="P18" s="138">
        <v>0</v>
      </c>
      <c r="Q18" s="138">
        <v>0</v>
      </c>
      <c r="R18" s="138">
        <v>0</v>
      </c>
      <c r="S18" s="138">
        <v>0</v>
      </c>
      <c r="T18" s="138">
        <v>0</v>
      </c>
    </row>
    <row r="19" spans="1:20">
      <c r="A19" s="39">
        <v>15</v>
      </c>
      <c r="B19" s="144" t="s">
        <v>179</v>
      </c>
      <c r="C19" s="145"/>
      <c r="D19" s="141">
        <v>0</v>
      </c>
      <c r="E19" s="141">
        <v>0</v>
      </c>
      <c r="F19" s="141">
        <v>97.394000000000005</v>
      </c>
      <c r="G19" s="137">
        <v>0</v>
      </c>
      <c r="H19" s="137">
        <v>0</v>
      </c>
      <c r="I19" s="36">
        <v>0</v>
      </c>
      <c r="J19" s="36">
        <v>0</v>
      </c>
      <c r="K19" s="37">
        <v>0</v>
      </c>
      <c r="L19" s="138">
        <v>0</v>
      </c>
      <c r="M19" s="138">
        <v>0</v>
      </c>
      <c r="N19" s="138">
        <v>0</v>
      </c>
      <c r="O19" s="138">
        <v>0</v>
      </c>
      <c r="P19" s="138">
        <v>0</v>
      </c>
      <c r="Q19" s="138">
        <v>0</v>
      </c>
      <c r="R19" s="138">
        <v>0</v>
      </c>
      <c r="S19" s="138">
        <v>0</v>
      </c>
      <c r="T19" s="138">
        <v>0</v>
      </c>
    </row>
    <row r="20" spans="1:20">
      <c r="A20" s="39">
        <v>16</v>
      </c>
      <c r="B20" s="144" t="s">
        <v>180</v>
      </c>
      <c r="C20" s="145"/>
      <c r="D20" s="141">
        <v>0</v>
      </c>
      <c r="E20" s="141">
        <v>0</v>
      </c>
      <c r="F20" s="141">
        <v>97.394000000000005</v>
      </c>
      <c r="G20" s="137">
        <v>0</v>
      </c>
      <c r="H20" s="137">
        <v>0</v>
      </c>
      <c r="I20" s="36">
        <v>0</v>
      </c>
      <c r="J20" s="36">
        <v>0</v>
      </c>
      <c r="K20" s="37">
        <v>0</v>
      </c>
      <c r="L20" s="138">
        <v>0</v>
      </c>
      <c r="M20" s="138">
        <v>0</v>
      </c>
      <c r="N20" s="138">
        <v>0</v>
      </c>
      <c r="O20" s="138">
        <v>0</v>
      </c>
      <c r="P20" s="138">
        <v>0</v>
      </c>
      <c r="Q20" s="138">
        <v>0</v>
      </c>
      <c r="R20" s="138">
        <v>0</v>
      </c>
      <c r="S20" s="138">
        <v>0</v>
      </c>
      <c r="T20" s="138">
        <v>0</v>
      </c>
    </row>
    <row r="21" spans="1:20">
      <c r="A21" s="39">
        <v>17</v>
      </c>
      <c r="B21" s="144" t="s">
        <v>181</v>
      </c>
      <c r="C21" s="145"/>
      <c r="D21" s="141">
        <v>0</v>
      </c>
      <c r="E21" s="141">
        <v>12.8</v>
      </c>
      <c r="F21" s="141">
        <v>84.593999999999994</v>
      </c>
      <c r="G21" s="137">
        <v>0</v>
      </c>
      <c r="H21" s="137">
        <v>0</v>
      </c>
      <c r="I21" s="36">
        <v>0</v>
      </c>
      <c r="J21" s="36">
        <v>0</v>
      </c>
      <c r="K21" s="37">
        <v>0</v>
      </c>
      <c r="L21" s="138">
        <v>0</v>
      </c>
      <c r="M21" s="138">
        <v>0</v>
      </c>
      <c r="N21" s="138">
        <v>0</v>
      </c>
      <c r="O21" s="138">
        <v>0</v>
      </c>
      <c r="P21" s="138">
        <v>0</v>
      </c>
      <c r="Q21" s="138">
        <v>0</v>
      </c>
      <c r="R21" s="138">
        <v>0</v>
      </c>
      <c r="S21" s="138">
        <v>0</v>
      </c>
      <c r="T21" s="138">
        <v>0</v>
      </c>
    </row>
    <row r="22" spans="1:20">
      <c r="A22" s="39">
        <v>18</v>
      </c>
      <c r="B22" s="144" t="s">
        <v>182</v>
      </c>
      <c r="C22" s="145"/>
      <c r="D22" s="141">
        <v>0</v>
      </c>
      <c r="E22" s="141">
        <v>0</v>
      </c>
      <c r="F22" s="141">
        <v>84.593999999999994</v>
      </c>
      <c r="G22" s="137">
        <v>0</v>
      </c>
      <c r="H22" s="137">
        <v>0</v>
      </c>
      <c r="I22" s="36">
        <v>0</v>
      </c>
      <c r="J22" s="36">
        <v>0</v>
      </c>
      <c r="K22" s="37">
        <v>0</v>
      </c>
      <c r="L22" s="138">
        <v>0</v>
      </c>
      <c r="M22" s="138">
        <v>0</v>
      </c>
      <c r="N22" s="138">
        <v>0</v>
      </c>
      <c r="O22" s="138">
        <v>0</v>
      </c>
      <c r="P22" s="138">
        <v>0</v>
      </c>
      <c r="Q22" s="138">
        <v>0</v>
      </c>
      <c r="R22" s="138">
        <v>0</v>
      </c>
      <c r="S22" s="138">
        <v>0</v>
      </c>
      <c r="T22" s="138">
        <v>0</v>
      </c>
    </row>
    <row r="23" spans="1:20">
      <c r="A23" s="39">
        <v>19</v>
      </c>
      <c r="B23" s="144" t="s">
        <v>183</v>
      </c>
      <c r="C23" s="145"/>
      <c r="D23" s="141">
        <v>0</v>
      </c>
      <c r="E23" s="141">
        <v>0</v>
      </c>
      <c r="F23" s="141">
        <v>84.593999999999994</v>
      </c>
      <c r="G23" s="137">
        <v>0</v>
      </c>
      <c r="H23" s="137">
        <v>0</v>
      </c>
      <c r="I23" s="36">
        <v>0</v>
      </c>
      <c r="J23" s="36">
        <v>0</v>
      </c>
      <c r="K23" s="37">
        <v>0</v>
      </c>
      <c r="L23" s="138">
        <v>0</v>
      </c>
      <c r="M23" s="138">
        <v>0</v>
      </c>
      <c r="N23" s="138">
        <v>0</v>
      </c>
      <c r="O23" s="138">
        <v>0</v>
      </c>
      <c r="P23" s="138">
        <v>0</v>
      </c>
      <c r="Q23" s="138">
        <v>0</v>
      </c>
      <c r="R23" s="138">
        <v>0</v>
      </c>
      <c r="S23" s="138">
        <v>0</v>
      </c>
      <c r="T23" s="138">
        <v>0</v>
      </c>
    </row>
    <row r="24" spans="1:20">
      <c r="A24" s="39">
        <v>20</v>
      </c>
      <c r="B24" s="144" t="s">
        <v>184</v>
      </c>
      <c r="C24" s="145"/>
      <c r="D24" s="141">
        <v>0</v>
      </c>
      <c r="E24" s="141">
        <v>0</v>
      </c>
      <c r="F24" s="141">
        <v>84.593999999999994</v>
      </c>
      <c r="G24" s="137">
        <v>0</v>
      </c>
      <c r="H24" s="137">
        <v>0</v>
      </c>
      <c r="I24" s="36">
        <v>0</v>
      </c>
      <c r="J24" s="36">
        <v>0</v>
      </c>
      <c r="K24" s="37">
        <v>0</v>
      </c>
      <c r="L24" s="138">
        <v>0</v>
      </c>
      <c r="M24" s="138">
        <v>0</v>
      </c>
      <c r="N24" s="138">
        <v>0</v>
      </c>
      <c r="O24" s="138">
        <v>0</v>
      </c>
      <c r="P24" s="138">
        <v>0</v>
      </c>
      <c r="Q24" s="138">
        <v>0</v>
      </c>
      <c r="R24" s="138">
        <v>0</v>
      </c>
      <c r="S24" s="138">
        <v>0</v>
      </c>
      <c r="T24" s="138">
        <v>0</v>
      </c>
    </row>
    <row r="25" spans="1:20">
      <c r="A25" s="39">
        <v>21</v>
      </c>
      <c r="B25" s="144" t="s">
        <v>185</v>
      </c>
      <c r="C25" s="145"/>
      <c r="D25" s="141">
        <v>0</v>
      </c>
      <c r="E25" s="141">
        <v>0</v>
      </c>
      <c r="F25" s="141">
        <v>84.593999999999994</v>
      </c>
      <c r="G25" s="137">
        <v>0</v>
      </c>
      <c r="H25" s="137">
        <v>0</v>
      </c>
      <c r="I25" s="36">
        <v>0</v>
      </c>
      <c r="J25" s="36">
        <v>0</v>
      </c>
      <c r="K25" s="37">
        <v>0</v>
      </c>
      <c r="L25" s="138">
        <v>0</v>
      </c>
      <c r="M25" s="138">
        <v>0</v>
      </c>
      <c r="N25" s="138">
        <v>0</v>
      </c>
      <c r="O25" s="138">
        <v>0</v>
      </c>
      <c r="P25" s="138">
        <v>0</v>
      </c>
      <c r="Q25" s="138">
        <v>0</v>
      </c>
      <c r="R25" s="138">
        <v>0</v>
      </c>
      <c r="S25" s="138">
        <v>0</v>
      </c>
      <c r="T25" s="138">
        <v>0</v>
      </c>
    </row>
    <row r="26" spans="1:20">
      <c r="A26" s="39">
        <v>22</v>
      </c>
      <c r="B26" s="144" t="s">
        <v>186</v>
      </c>
      <c r="C26" s="145"/>
      <c r="D26" s="141">
        <v>0</v>
      </c>
      <c r="E26" s="141">
        <v>0</v>
      </c>
      <c r="F26" s="141">
        <v>84.593999999999994</v>
      </c>
      <c r="G26" s="137">
        <v>0</v>
      </c>
      <c r="H26" s="137">
        <v>0</v>
      </c>
      <c r="I26" s="36">
        <v>0</v>
      </c>
      <c r="J26" s="36">
        <v>0</v>
      </c>
      <c r="K26" s="37">
        <v>0</v>
      </c>
      <c r="L26" s="138">
        <v>0</v>
      </c>
      <c r="M26" s="138">
        <v>0</v>
      </c>
      <c r="N26" s="138">
        <v>0</v>
      </c>
      <c r="O26" s="138">
        <v>0</v>
      </c>
      <c r="P26" s="138">
        <v>0</v>
      </c>
      <c r="Q26" s="138">
        <v>0</v>
      </c>
      <c r="R26" s="138">
        <v>0</v>
      </c>
      <c r="S26" s="138">
        <v>0</v>
      </c>
      <c r="T26" s="138">
        <v>0</v>
      </c>
    </row>
    <row r="27" spans="1:20">
      <c r="A27" s="39">
        <v>23</v>
      </c>
      <c r="B27" s="144" t="s">
        <v>187</v>
      </c>
      <c r="C27" s="145"/>
      <c r="D27" s="141">
        <v>0</v>
      </c>
      <c r="E27" s="141">
        <v>0</v>
      </c>
      <c r="F27" s="141">
        <v>84.593999999999994</v>
      </c>
      <c r="G27" s="137">
        <v>0</v>
      </c>
      <c r="H27" s="137">
        <v>0</v>
      </c>
      <c r="I27" s="36">
        <v>0</v>
      </c>
      <c r="J27" s="36">
        <v>0</v>
      </c>
      <c r="K27" s="37">
        <v>0</v>
      </c>
      <c r="L27" s="138">
        <v>0</v>
      </c>
      <c r="M27" s="138">
        <v>0</v>
      </c>
      <c r="N27" s="138">
        <v>0</v>
      </c>
      <c r="O27" s="138">
        <v>0</v>
      </c>
      <c r="P27" s="138">
        <v>0</v>
      </c>
      <c r="Q27" s="138">
        <v>0</v>
      </c>
      <c r="R27" s="138">
        <v>0</v>
      </c>
      <c r="S27" s="138">
        <v>0</v>
      </c>
      <c r="T27" s="138">
        <v>0</v>
      </c>
    </row>
    <row r="28" spans="1:20">
      <c r="A28" s="39">
        <v>24</v>
      </c>
      <c r="B28" s="144" t="s">
        <v>188</v>
      </c>
      <c r="C28" s="145"/>
      <c r="D28" s="141">
        <v>0</v>
      </c>
      <c r="E28" s="141">
        <v>0</v>
      </c>
      <c r="F28" s="141">
        <v>84.593999999999994</v>
      </c>
      <c r="G28" s="137">
        <v>0</v>
      </c>
      <c r="H28" s="137">
        <v>0</v>
      </c>
      <c r="I28" s="36">
        <v>0</v>
      </c>
      <c r="J28" s="36">
        <v>0</v>
      </c>
      <c r="K28" s="37">
        <v>0</v>
      </c>
      <c r="L28" s="138">
        <v>0</v>
      </c>
      <c r="M28" s="138">
        <v>0</v>
      </c>
      <c r="N28" s="138">
        <v>0</v>
      </c>
      <c r="O28" s="138">
        <v>0</v>
      </c>
      <c r="P28" s="138">
        <v>0</v>
      </c>
      <c r="Q28" s="138">
        <v>0</v>
      </c>
      <c r="R28" s="138">
        <v>0</v>
      </c>
      <c r="S28" s="138">
        <v>0</v>
      </c>
      <c r="T28" s="138">
        <v>0</v>
      </c>
    </row>
    <row r="29" spans="1:20">
      <c r="A29" s="39">
        <v>25</v>
      </c>
      <c r="B29" s="144" t="s">
        <v>189</v>
      </c>
      <c r="C29" s="145"/>
      <c r="D29" s="141">
        <v>0</v>
      </c>
      <c r="E29" s="141">
        <v>0</v>
      </c>
      <c r="F29" s="141">
        <v>84.593999999999994</v>
      </c>
      <c r="G29" s="137">
        <v>0</v>
      </c>
      <c r="H29" s="137">
        <v>0</v>
      </c>
      <c r="I29" s="36">
        <v>0</v>
      </c>
      <c r="J29" s="36">
        <v>0</v>
      </c>
      <c r="K29" s="37">
        <v>0</v>
      </c>
      <c r="L29" s="138">
        <v>0</v>
      </c>
      <c r="M29" s="138">
        <v>0</v>
      </c>
      <c r="N29" s="138">
        <v>0</v>
      </c>
      <c r="O29" s="138">
        <v>0</v>
      </c>
      <c r="P29" s="138">
        <v>0</v>
      </c>
      <c r="Q29" s="138">
        <v>0</v>
      </c>
      <c r="R29" s="138">
        <v>0</v>
      </c>
      <c r="S29" s="138">
        <v>0</v>
      </c>
      <c r="T29" s="138">
        <v>0</v>
      </c>
    </row>
    <row r="30" spans="1:20">
      <c r="A30" s="39">
        <v>26</v>
      </c>
      <c r="B30" s="144" t="s">
        <v>190</v>
      </c>
      <c r="C30" s="145"/>
      <c r="D30" s="141">
        <v>0</v>
      </c>
      <c r="E30" s="141">
        <v>0</v>
      </c>
      <c r="F30" s="141">
        <v>84.593999999999994</v>
      </c>
      <c r="G30" s="137">
        <v>0</v>
      </c>
      <c r="H30" s="137">
        <v>0</v>
      </c>
      <c r="I30" s="36">
        <v>0</v>
      </c>
      <c r="J30" s="36">
        <v>0</v>
      </c>
      <c r="K30" s="37">
        <v>0</v>
      </c>
      <c r="L30" s="138">
        <v>0</v>
      </c>
      <c r="M30" s="138">
        <v>0</v>
      </c>
      <c r="N30" s="138">
        <v>0</v>
      </c>
      <c r="O30" s="138">
        <v>0</v>
      </c>
      <c r="P30" s="138">
        <v>0</v>
      </c>
      <c r="Q30" s="138">
        <v>0</v>
      </c>
      <c r="R30" s="138">
        <v>0</v>
      </c>
      <c r="S30" s="138">
        <v>0</v>
      </c>
      <c r="T30" s="138">
        <v>0</v>
      </c>
    </row>
    <row r="31" spans="1:20">
      <c r="A31" s="39">
        <v>27</v>
      </c>
      <c r="B31" s="144" t="s">
        <v>191</v>
      </c>
      <c r="C31" s="145"/>
      <c r="D31" s="141">
        <v>0</v>
      </c>
      <c r="E31" s="141">
        <v>0</v>
      </c>
      <c r="F31" s="141">
        <v>84.593999999999994</v>
      </c>
      <c r="G31" s="137">
        <v>0</v>
      </c>
      <c r="H31" s="137">
        <v>0</v>
      </c>
      <c r="I31" s="36">
        <v>0</v>
      </c>
      <c r="J31" s="36">
        <v>0</v>
      </c>
      <c r="K31" s="37">
        <v>0</v>
      </c>
      <c r="L31" s="138">
        <v>0</v>
      </c>
      <c r="M31" s="138">
        <v>0</v>
      </c>
      <c r="N31" s="138">
        <v>0</v>
      </c>
      <c r="O31" s="138">
        <v>0</v>
      </c>
      <c r="P31" s="138">
        <v>0</v>
      </c>
      <c r="Q31" s="138">
        <v>0</v>
      </c>
      <c r="R31" s="138">
        <v>0</v>
      </c>
      <c r="S31" s="138">
        <v>0</v>
      </c>
      <c r="T31" s="138">
        <v>0</v>
      </c>
    </row>
    <row r="32" spans="1:20">
      <c r="A32" s="39">
        <v>28</v>
      </c>
      <c r="B32" s="144" t="s">
        <v>192</v>
      </c>
      <c r="C32" s="145"/>
      <c r="D32" s="141">
        <v>0</v>
      </c>
      <c r="E32" s="141">
        <v>0</v>
      </c>
      <c r="F32" s="141">
        <v>84.593999999999994</v>
      </c>
      <c r="G32" s="137">
        <v>0</v>
      </c>
      <c r="H32" s="137">
        <v>0</v>
      </c>
      <c r="I32" s="36">
        <v>0</v>
      </c>
      <c r="J32" s="36">
        <v>0</v>
      </c>
      <c r="K32" s="37">
        <v>0</v>
      </c>
      <c r="L32" s="138">
        <v>0</v>
      </c>
      <c r="M32" s="138">
        <v>0</v>
      </c>
      <c r="N32" s="138">
        <v>0</v>
      </c>
      <c r="O32" s="138">
        <v>0</v>
      </c>
      <c r="P32" s="138">
        <v>0</v>
      </c>
      <c r="Q32" s="138">
        <v>0</v>
      </c>
      <c r="R32" s="138">
        <v>0</v>
      </c>
      <c r="S32" s="138">
        <v>0</v>
      </c>
      <c r="T32" s="138">
        <v>0</v>
      </c>
    </row>
    <row r="33" spans="1:20">
      <c r="A33" s="39">
        <v>29</v>
      </c>
      <c r="B33" s="144" t="s">
        <v>193</v>
      </c>
      <c r="C33" s="145"/>
      <c r="D33" s="141">
        <v>0</v>
      </c>
      <c r="E33" s="141">
        <v>0</v>
      </c>
      <c r="F33" s="141">
        <v>84.593999999999994</v>
      </c>
      <c r="G33" s="137">
        <v>0</v>
      </c>
      <c r="H33" s="137">
        <v>0</v>
      </c>
      <c r="I33" s="36">
        <v>0</v>
      </c>
      <c r="J33" s="36">
        <v>0</v>
      </c>
      <c r="K33" s="37">
        <v>0</v>
      </c>
      <c r="L33" s="138">
        <v>0</v>
      </c>
      <c r="M33" s="138">
        <v>0</v>
      </c>
      <c r="N33" s="138">
        <v>0</v>
      </c>
      <c r="O33" s="138">
        <v>0</v>
      </c>
      <c r="P33" s="138">
        <v>0</v>
      </c>
      <c r="Q33" s="138">
        <v>0</v>
      </c>
      <c r="R33" s="138">
        <v>0</v>
      </c>
      <c r="S33" s="138">
        <v>0</v>
      </c>
      <c r="T33" s="138">
        <v>0</v>
      </c>
    </row>
    <row r="34" spans="1:20">
      <c r="A34" s="39">
        <v>30</v>
      </c>
      <c r="B34" s="144" t="s">
        <v>194</v>
      </c>
      <c r="C34" s="145"/>
      <c r="D34" s="141">
        <v>0</v>
      </c>
      <c r="E34" s="141">
        <v>0</v>
      </c>
      <c r="F34" s="141">
        <v>84.593999999999994</v>
      </c>
      <c r="G34" s="137">
        <v>0</v>
      </c>
      <c r="H34" s="137">
        <v>0</v>
      </c>
      <c r="I34" s="36">
        <v>0</v>
      </c>
      <c r="J34" s="36">
        <v>0</v>
      </c>
      <c r="K34" s="37">
        <v>0</v>
      </c>
      <c r="L34" s="138">
        <v>0</v>
      </c>
      <c r="M34" s="138">
        <v>0</v>
      </c>
      <c r="N34" s="138">
        <v>0</v>
      </c>
      <c r="O34" s="138">
        <v>0</v>
      </c>
      <c r="P34" s="138">
        <v>0</v>
      </c>
      <c r="Q34" s="138">
        <v>0</v>
      </c>
      <c r="R34" s="138">
        <v>0</v>
      </c>
      <c r="S34" s="138">
        <v>0</v>
      </c>
      <c r="T34" s="138">
        <v>0</v>
      </c>
    </row>
    <row r="35" spans="1:20">
      <c r="A35" s="39">
        <v>31</v>
      </c>
      <c r="B35" s="144"/>
      <c r="C35" s="145"/>
      <c r="D35" s="141">
        <v>0</v>
      </c>
      <c r="E35" s="141">
        <v>0</v>
      </c>
      <c r="F35" s="141">
        <v>0</v>
      </c>
      <c r="G35" s="137">
        <v>0</v>
      </c>
      <c r="H35" s="137">
        <v>0</v>
      </c>
      <c r="I35" s="36">
        <v>0</v>
      </c>
      <c r="J35" s="36">
        <v>0</v>
      </c>
      <c r="K35" s="37">
        <v>0</v>
      </c>
      <c r="L35" s="138">
        <v>0</v>
      </c>
      <c r="M35" s="138">
        <v>0</v>
      </c>
      <c r="N35" s="138">
        <v>0</v>
      </c>
      <c r="O35" s="138">
        <v>0</v>
      </c>
      <c r="P35" s="138">
        <v>0</v>
      </c>
      <c r="Q35" s="138">
        <v>0</v>
      </c>
      <c r="R35" s="138">
        <v>0</v>
      </c>
      <c r="S35" s="138">
        <v>0</v>
      </c>
      <c r="T35" s="138">
        <v>0</v>
      </c>
    </row>
    <row r="36" spans="1:20">
      <c r="D36" s="43">
        <v>0</v>
      </c>
      <c r="E36" s="43">
        <v>12.8</v>
      </c>
      <c r="F36" s="43">
        <v>2742.6200000000008</v>
      </c>
      <c r="G36" s="43">
        <v>0</v>
      </c>
      <c r="H36" s="43">
        <v>0</v>
      </c>
      <c r="I36" s="43">
        <v>0</v>
      </c>
      <c r="J36" s="43">
        <v>0</v>
      </c>
      <c r="K36" s="43">
        <v>0</v>
      </c>
      <c r="L36" s="139">
        <v>0</v>
      </c>
      <c r="M36" s="139">
        <v>0</v>
      </c>
      <c r="N36" s="139">
        <v>1193.75</v>
      </c>
      <c r="O36" s="139">
        <v>75034.8</v>
      </c>
      <c r="P36" s="139">
        <v>0</v>
      </c>
      <c r="Q36" s="139">
        <v>0</v>
      </c>
      <c r="R36" s="139">
        <v>0</v>
      </c>
      <c r="S36" s="139">
        <v>0</v>
      </c>
      <c r="T36" s="139">
        <v>76228.55</v>
      </c>
    </row>
    <row r="37" spans="1:20">
      <c r="R37" s="46"/>
      <c r="S37" s="46"/>
      <c r="T37" s="140">
        <v>92998.83</v>
      </c>
    </row>
  </sheetData>
  <mergeCells count="50"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0A4D5-11BA-4F39-998E-C6E76F97B6E6}">
  <sheetPr>
    <pageSetUpPr fitToPage="1"/>
  </sheetPr>
  <dimension ref="A1:T37"/>
  <sheetViews>
    <sheetView workbookViewId="0">
      <selection activeCell="K10" sqref="K10"/>
    </sheetView>
  </sheetViews>
  <sheetFormatPr defaultRowHeight="15"/>
  <cols>
    <col min="1" max="3" width="9.140625" style="28"/>
    <col min="4" max="4" width="11.7109375" style="28" customWidth="1"/>
    <col min="5" max="5" width="12.140625" style="28" customWidth="1"/>
    <col min="6" max="6" width="13.28515625" style="28" customWidth="1"/>
    <col min="7" max="7" width="11.42578125" style="28" customWidth="1"/>
    <col min="8" max="8" width="10.42578125" style="28" customWidth="1"/>
    <col min="9" max="9" width="10.5703125" style="28" bestFit="1" customWidth="1"/>
    <col min="10" max="10" width="9.42578125" style="28" bestFit="1" customWidth="1"/>
    <col min="11" max="12" width="9.140625" style="28"/>
    <col min="13" max="13" width="15.140625" style="28" customWidth="1"/>
    <col min="14" max="14" width="13.5703125" style="28" customWidth="1"/>
    <col min="15" max="15" width="14.5703125" style="28" customWidth="1"/>
    <col min="16" max="16" width="14.5703125" style="28" bestFit="1" customWidth="1"/>
    <col min="17" max="17" width="15" style="28" customWidth="1"/>
    <col min="18" max="18" width="13.28515625" style="28" customWidth="1"/>
    <col min="19" max="19" width="11.7109375" style="28" customWidth="1"/>
    <col min="20" max="20" width="24.28515625" style="28" customWidth="1"/>
    <col min="21" max="16384" width="9.140625" style="28"/>
  </cols>
  <sheetData>
    <row r="1" spans="1:20">
      <c r="I1" s="29"/>
    </row>
    <row r="2" spans="1:20" ht="28.9" customHeight="1">
      <c r="A2" s="149" t="s">
        <v>199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</row>
    <row r="3" spans="1:20" ht="28.9" customHeight="1">
      <c r="A3" s="146" t="s">
        <v>0</v>
      </c>
      <c r="B3" s="150" t="s">
        <v>1</v>
      </c>
      <c r="C3" s="151"/>
      <c r="D3" s="146" t="s">
        <v>2</v>
      </c>
      <c r="E3" s="146" t="s">
        <v>3</v>
      </c>
      <c r="F3" s="30" t="s">
        <v>4</v>
      </c>
      <c r="G3" s="146" t="s">
        <v>156</v>
      </c>
      <c r="H3" s="146" t="s">
        <v>157</v>
      </c>
      <c r="I3" s="146" t="s">
        <v>7</v>
      </c>
      <c r="J3" s="146" t="s">
        <v>8</v>
      </c>
      <c r="K3" s="146" t="s">
        <v>158</v>
      </c>
      <c r="L3" s="146" t="s">
        <v>159</v>
      </c>
      <c r="M3" s="146" t="s">
        <v>160</v>
      </c>
      <c r="N3" s="146" t="s">
        <v>161</v>
      </c>
      <c r="O3" s="146" t="s">
        <v>162</v>
      </c>
      <c r="P3" s="146" t="s">
        <v>163</v>
      </c>
      <c r="Q3" s="146" t="s">
        <v>164</v>
      </c>
      <c r="R3" s="146" t="s">
        <v>16</v>
      </c>
      <c r="S3" s="146" t="s">
        <v>17</v>
      </c>
      <c r="T3" s="146" t="s">
        <v>18</v>
      </c>
    </row>
    <row r="4" spans="1:20" ht="27" customHeight="1">
      <c r="A4" s="147"/>
      <c r="B4" s="152"/>
      <c r="C4" s="153"/>
      <c r="D4" s="147"/>
      <c r="E4" s="147"/>
      <c r="F4" s="31"/>
      <c r="G4" s="147"/>
      <c r="H4" s="147"/>
      <c r="I4" s="147"/>
      <c r="J4" s="147"/>
      <c r="K4" s="148"/>
      <c r="L4" s="148"/>
      <c r="M4" s="147"/>
      <c r="N4" s="147"/>
      <c r="O4" s="147"/>
      <c r="P4" s="147"/>
      <c r="Q4" s="147"/>
      <c r="R4" s="147"/>
      <c r="S4" s="147"/>
      <c r="T4" s="147"/>
    </row>
    <row r="5" spans="1:20">
      <c r="A5" s="39">
        <v>1</v>
      </c>
      <c r="B5" s="144" t="s">
        <v>165</v>
      </c>
      <c r="C5" s="145"/>
      <c r="D5" s="141">
        <v>560.98</v>
      </c>
      <c r="E5" s="141">
        <v>381.5</v>
      </c>
      <c r="F5" s="141">
        <v>6835.3410000000003</v>
      </c>
      <c r="G5" s="137">
        <v>0</v>
      </c>
      <c r="H5" s="137">
        <v>0</v>
      </c>
      <c r="I5" s="36">
        <v>7.4749999999999996</v>
      </c>
      <c r="J5" s="36">
        <v>7.4749999999999996</v>
      </c>
      <c r="K5" s="37">
        <v>3.4000000000000002E-2</v>
      </c>
      <c r="L5" s="138">
        <v>5.0999999999999996</v>
      </c>
      <c r="M5" s="138">
        <v>0</v>
      </c>
      <c r="N5" s="138">
        <v>0</v>
      </c>
      <c r="O5" s="138">
        <v>0</v>
      </c>
      <c r="P5" s="138">
        <v>0</v>
      </c>
      <c r="Q5" s="138">
        <v>0</v>
      </c>
      <c r="R5" s="138">
        <v>7475</v>
      </c>
      <c r="S5" s="138">
        <v>1495</v>
      </c>
      <c r="T5" s="138">
        <v>8975.1</v>
      </c>
    </row>
    <row r="6" spans="1:20">
      <c r="A6" s="39">
        <v>2</v>
      </c>
      <c r="B6" s="144" t="s">
        <v>166</v>
      </c>
      <c r="C6" s="145"/>
      <c r="D6" s="141">
        <v>719.49800000000005</v>
      </c>
      <c r="E6" s="141">
        <v>270</v>
      </c>
      <c r="F6" s="141">
        <v>7284.8389999999999</v>
      </c>
      <c r="G6" s="137">
        <v>0</v>
      </c>
      <c r="H6" s="137">
        <v>0</v>
      </c>
      <c r="I6" s="36">
        <v>9</v>
      </c>
      <c r="J6" s="36">
        <v>9</v>
      </c>
      <c r="K6" s="37">
        <v>4.8000000000000001E-2</v>
      </c>
      <c r="L6" s="138">
        <v>7.2</v>
      </c>
      <c r="M6" s="138">
        <v>0</v>
      </c>
      <c r="N6" s="138">
        <v>0</v>
      </c>
      <c r="O6" s="138">
        <v>0</v>
      </c>
      <c r="P6" s="138">
        <v>0</v>
      </c>
      <c r="Q6" s="138">
        <v>0</v>
      </c>
      <c r="R6" s="138">
        <v>9000</v>
      </c>
      <c r="S6" s="138">
        <v>1800</v>
      </c>
      <c r="T6" s="138">
        <v>10807.2</v>
      </c>
    </row>
    <row r="7" spans="1:20">
      <c r="A7" s="39">
        <v>3</v>
      </c>
      <c r="B7" s="144" t="s">
        <v>167</v>
      </c>
      <c r="C7" s="145"/>
      <c r="D7" s="141">
        <v>1303.9929999999999</v>
      </c>
      <c r="E7" s="141">
        <v>115.25</v>
      </c>
      <c r="F7" s="141">
        <v>8473.5820000000003</v>
      </c>
      <c r="G7" s="137">
        <v>0</v>
      </c>
      <c r="H7" s="137">
        <v>0</v>
      </c>
      <c r="I7" s="36">
        <v>7.3249999999999993</v>
      </c>
      <c r="J7" s="36">
        <v>7.3249999999999993</v>
      </c>
      <c r="K7" s="37">
        <v>4.2999999999999997E-2</v>
      </c>
      <c r="L7" s="138">
        <v>6.45</v>
      </c>
      <c r="M7" s="138">
        <v>0</v>
      </c>
      <c r="N7" s="138">
        <v>0</v>
      </c>
      <c r="O7" s="138">
        <v>0</v>
      </c>
      <c r="P7" s="138">
        <v>0</v>
      </c>
      <c r="Q7" s="138">
        <v>0</v>
      </c>
      <c r="R7" s="138">
        <v>7325</v>
      </c>
      <c r="S7" s="138">
        <v>1465</v>
      </c>
      <c r="T7" s="138">
        <v>8796.4500000000007</v>
      </c>
    </row>
    <row r="8" spans="1:20">
      <c r="A8" s="39">
        <v>4</v>
      </c>
      <c r="B8" s="144" t="s">
        <v>168</v>
      </c>
      <c r="C8" s="145"/>
      <c r="D8" s="141">
        <v>944.97699999999998</v>
      </c>
      <c r="E8" s="141">
        <v>180</v>
      </c>
      <c r="F8" s="141">
        <v>9238.5589999999993</v>
      </c>
      <c r="G8" s="137">
        <v>0</v>
      </c>
      <c r="H8" s="137">
        <v>0</v>
      </c>
      <c r="I8" s="36">
        <v>17.824999999999999</v>
      </c>
      <c r="J8" s="36">
        <v>17.824999999999999</v>
      </c>
      <c r="K8" s="37">
        <v>0.152</v>
      </c>
      <c r="L8" s="138">
        <v>22.8</v>
      </c>
      <c r="M8" s="138">
        <v>0</v>
      </c>
      <c r="N8" s="138">
        <v>0</v>
      </c>
      <c r="O8" s="138">
        <v>0</v>
      </c>
      <c r="P8" s="138">
        <v>0</v>
      </c>
      <c r="Q8" s="138">
        <v>0</v>
      </c>
      <c r="R8" s="138">
        <v>17825</v>
      </c>
      <c r="S8" s="138">
        <v>3565</v>
      </c>
      <c r="T8" s="138">
        <v>21412.799999999999</v>
      </c>
    </row>
    <row r="9" spans="1:20">
      <c r="A9" s="39">
        <v>5</v>
      </c>
      <c r="B9" s="144" t="s">
        <v>169</v>
      </c>
      <c r="C9" s="145"/>
      <c r="D9" s="141">
        <v>832.5</v>
      </c>
      <c r="E9" s="141">
        <v>180</v>
      </c>
      <c r="F9" s="141">
        <v>9891.0589999999993</v>
      </c>
      <c r="G9" s="137">
        <v>0</v>
      </c>
      <c r="H9" s="137">
        <v>0</v>
      </c>
      <c r="I9" s="36">
        <v>0</v>
      </c>
      <c r="J9" s="36">
        <v>0</v>
      </c>
      <c r="K9" s="37">
        <v>0</v>
      </c>
      <c r="L9" s="138">
        <v>0</v>
      </c>
      <c r="M9" s="138">
        <v>0</v>
      </c>
      <c r="N9" s="138">
        <v>0</v>
      </c>
      <c r="O9" s="138">
        <v>0</v>
      </c>
      <c r="P9" s="138">
        <v>0</v>
      </c>
      <c r="Q9" s="138">
        <v>0</v>
      </c>
      <c r="R9" s="138">
        <v>0</v>
      </c>
      <c r="S9" s="138">
        <v>0</v>
      </c>
      <c r="T9" s="138">
        <v>0</v>
      </c>
    </row>
    <row r="10" spans="1:20">
      <c r="A10" s="39">
        <v>6</v>
      </c>
      <c r="B10" s="144" t="s">
        <v>170</v>
      </c>
      <c r="C10" s="145"/>
      <c r="D10" s="141">
        <v>967.45799999999997</v>
      </c>
      <c r="E10" s="141">
        <v>67.5</v>
      </c>
      <c r="F10" s="141">
        <v>10791.017</v>
      </c>
      <c r="G10" s="137">
        <v>0</v>
      </c>
      <c r="H10" s="137">
        <v>0</v>
      </c>
      <c r="I10" s="36">
        <v>4.4250000000000007</v>
      </c>
      <c r="J10" s="36">
        <v>4.4250000000000007</v>
      </c>
      <c r="K10" s="37">
        <v>5.8000000000000003E-2</v>
      </c>
      <c r="L10" s="138">
        <v>8.6999999999999993</v>
      </c>
      <c r="M10" s="138">
        <v>0</v>
      </c>
      <c r="N10" s="138">
        <v>0</v>
      </c>
      <c r="O10" s="138">
        <v>0</v>
      </c>
      <c r="P10" s="138">
        <v>0</v>
      </c>
      <c r="Q10" s="138">
        <v>0</v>
      </c>
      <c r="R10" s="138">
        <v>4425</v>
      </c>
      <c r="S10" s="138">
        <v>885</v>
      </c>
      <c r="T10" s="138">
        <v>5318.7</v>
      </c>
    </row>
    <row r="11" spans="1:20">
      <c r="A11" s="39">
        <v>7</v>
      </c>
      <c r="B11" s="144" t="s">
        <v>171</v>
      </c>
      <c r="C11" s="145"/>
      <c r="D11" s="141">
        <v>674.93399999999997</v>
      </c>
      <c r="E11" s="141">
        <v>361.875</v>
      </c>
      <c r="F11" s="141">
        <v>11104.075999999999</v>
      </c>
      <c r="G11" s="137">
        <v>0</v>
      </c>
      <c r="H11" s="137">
        <v>0</v>
      </c>
      <c r="I11" s="36">
        <v>17.899999999999999</v>
      </c>
      <c r="J11" s="36">
        <v>17.899999999999999</v>
      </c>
      <c r="K11" s="37">
        <v>3.4000000000000002E-2</v>
      </c>
      <c r="L11" s="138">
        <v>5.0999999999999996</v>
      </c>
      <c r="M11" s="138">
        <v>0</v>
      </c>
      <c r="N11" s="138">
        <v>0</v>
      </c>
      <c r="O11" s="138">
        <v>0</v>
      </c>
      <c r="P11" s="138">
        <v>0</v>
      </c>
      <c r="Q11" s="138">
        <v>0</v>
      </c>
      <c r="R11" s="138">
        <v>17900</v>
      </c>
      <c r="S11" s="138">
        <v>3580</v>
      </c>
      <c r="T11" s="138">
        <v>21485.1</v>
      </c>
    </row>
    <row r="12" spans="1:20">
      <c r="A12" s="39">
        <v>8</v>
      </c>
      <c r="B12" s="144" t="s">
        <v>172</v>
      </c>
      <c r="C12" s="145"/>
      <c r="D12" s="141">
        <v>472</v>
      </c>
      <c r="E12" s="141">
        <v>359.875</v>
      </c>
      <c r="F12" s="141">
        <v>11216.200999999999</v>
      </c>
      <c r="G12" s="137">
        <v>0</v>
      </c>
      <c r="H12" s="137">
        <v>0</v>
      </c>
      <c r="I12" s="36">
        <v>22.5</v>
      </c>
      <c r="J12" s="36">
        <v>22.5</v>
      </c>
      <c r="K12" s="37">
        <v>0</v>
      </c>
      <c r="L12" s="138">
        <v>0</v>
      </c>
      <c r="M12" s="138">
        <v>0</v>
      </c>
      <c r="N12" s="138">
        <v>0</v>
      </c>
      <c r="O12" s="138">
        <v>0</v>
      </c>
      <c r="P12" s="138">
        <v>0</v>
      </c>
      <c r="Q12" s="138">
        <v>0</v>
      </c>
      <c r="R12" s="138">
        <v>22500</v>
      </c>
      <c r="S12" s="138">
        <v>4500</v>
      </c>
      <c r="T12" s="138">
        <v>27000</v>
      </c>
    </row>
    <row r="13" spans="1:20">
      <c r="A13" s="39">
        <v>9</v>
      </c>
      <c r="B13" s="144" t="s">
        <v>173</v>
      </c>
      <c r="C13" s="145"/>
      <c r="D13" s="141">
        <v>359.99900000000002</v>
      </c>
      <c r="E13" s="141">
        <v>317.75</v>
      </c>
      <c r="F13" s="141">
        <v>11258.45</v>
      </c>
      <c r="G13" s="137">
        <v>0</v>
      </c>
      <c r="H13" s="137">
        <v>0</v>
      </c>
      <c r="I13" s="36">
        <v>26.975000000000001</v>
      </c>
      <c r="J13" s="36">
        <v>50.975000000000001</v>
      </c>
      <c r="K13" s="37">
        <v>2.4E-2</v>
      </c>
      <c r="L13" s="138">
        <v>3.6</v>
      </c>
      <c r="M13" s="138">
        <v>0</v>
      </c>
      <c r="N13" s="138">
        <v>0</v>
      </c>
      <c r="O13" s="138">
        <v>0</v>
      </c>
      <c r="P13" s="138">
        <v>0</v>
      </c>
      <c r="Q13" s="138">
        <v>0</v>
      </c>
      <c r="R13" s="138">
        <v>26975</v>
      </c>
      <c r="S13" s="138">
        <v>10195</v>
      </c>
      <c r="T13" s="138">
        <v>37173.599999999999</v>
      </c>
    </row>
    <row r="14" spans="1:20">
      <c r="A14" s="39">
        <v>10</v>
      </c>
      <c r="B14" s="144" t="s">
        <v>174</v>
      </c>
      <c r="C14" s="145"/>
      <c r="D14" s="141">
        <v>157.5</v>
      </c>
      <c r="E14" s="141">
        <v>394.3</v>
      </c>
      <c r="F14" s="141">
        <v>11021.65</v>
      </c>
      <c r="G14" s="137">
        <v>0</v>
      </c>
      <c r="H14" s="137">
        <v>0</v>
      </c>
      <c r="I14" s="36">
        <v>3</v>
      </c>
      <c r="J14" s="36">
        <v>3</v>
      </c>
      <c r="K14" s="37">
        <v>0</v>
      </c>
      <c r="L14" s="138">
        <v>0</v>
      </c>
      <c r="M14" s="138">
        <v>0</v>
      </c>
      <c r="N14" s="138">
        <v>0</v>
      </c>
      <c r="O14" s="138">
        <v>0</v>
      </c>
      <c r="P14" s="138">
        <v>0</v>
      </c>
      <c r="Q14" s="138">
        <v>0</v>
      </c>
      <c r="R14" s="138">
        <v>3000</v>
      </c>
      <c r="S14" s="138">
        <v>600</v>
      </c>
      <c r="T14" s="138">
        <v>3600</v>
      </c>
    </row>
    <row r="15" spans="1:20">
      <c r="A15" s="39">
        <v>11</v>
      </c>
      <c r="B15" s="144" t="s">
        <v>175</v>
      </c>
      <c r="C15" s="145"/>
      <c r="D15" s="141">
        <v>44.5</v>
      </c>
      <c r="E15" s="141">
        <v>420.97500000000002</v>
      </c>
      <c r="F15" s="141">
        <v>10645.174999999999</v>
      </c>
      <c r="G15" s="137">
        <v>0</v>
      </c>
      <c r="H15" s="137">
        <v>0</v>
      </c>
      <c r="I15" s="36">
        <v>0</v>
      </c>
      <c r="J15" s="36">
        <v>0</v>
      </c>
      <c r="K15" s="37">
        <v>0</v>
      </c>
      <c r="L15" s="138">
        <v>0</v>
      </c>
      <c r="M15" s="138">
        <v>0</v>
      </c>
      <c r="N15" s="138">
        <v>0</v>
      </c>
      <c r="O15" s="138">
        <v>0</v>
      </c>
      <c r="P15" s="138">
        <v>0</v>
      </c>
      <c r="Q15" s="138">
        <v>0</v>
      </c>
      <c r="R15" s="138">
        <v>0</v>
      </c>
      <c r="S15" s="138">
        <v>0</v>
      </c>
      <c r="T15" s="138">
        <v>0</v>
      </c>
    </row>
    <row r="16" spans="1:20">
      <c r="A16" s="39">
        <v>12</v>
      </c>
      <c r="B16" s="144" t="s">
        <v>176</v>
      </c>
      <c r="C16" s="145"/>
      <c r="D16" s="141">
        <v>45</v>
      </c>
      <c r="E16" s="141">
        <v>315</v>
      </c>
      <c r="F16" s="141">
        <v>10375.174999999999</v>
      </c>
      <c r="G16" s="137">
        <v>0</v>
      </c>
      <c r="H16" s="137">
        <v>0</v>
      </c>
      <c r="I16" s="36">
        <v>0</v>
      </c>
      <c r="J16" s="36">
        <v>0</v>
      </c>
      <c r="K16" s="37">
        <v>0</v>
      </c>
      <c r="L16" s="138">
        <v>0</v>
      </c>
      <c r="M16" s="138">
        <v>0</v>
      </c>
      <c r="N16" s="138">
        <v>0</v>
      </c>
      <c r="O16" s="138">
        <v>0</v>
      </c>
      <c r="P16" s="138">
        <v>0</v>
      </c>
      <c r="Q16" s="138">
        <v>0</v>
      </c>
      <c r="R16" s="138">
        <v>0</v>
      </c>
      <c r="S16" s="138">
        <v>0</v>
      </c>
      <c r="T16" s="138">
        <v>0</v>
      </c>
    </row>
    <row r="17" spans="1:20">
      <c r="A17" s="39">
        <v>13</v>
      </c>
      <c r="B17" s="144" t="s">
        <v>177</v>
      </c>
      <c r="C17" s="145"/>
      <c r="D17" s="141">
        <v>224.98500000000001</v>
      </c>
      <c r="E17" s="141">
        <v>540</v>
      </c>
      <c r="F17" s="141">
        <v>10060.16</v>
      </c>
      <c r="G17" s="137">
        <v>0</v>
      </c>
      <c r="H17" s="137">
        <v>0</v>
      </c>
      <c r="I17" s="36">
        <v>1.4750000000000001</v>
      </c>
      <c r="J17" s="36">
        <v>0</v>
      </c>
      <c r="K17" s="37">
        <v>0.01</v>
      </c>
      <c r="L17" s="138">
        <v>1.5</v>
      </c>
      <c r="M17" s="138">
        <v>0</v>
      </c>
      <c r="N17" s="138">
        <v>0</v>
      </c>
      <c r="O17" s="138">
        <v>0</v>
      </c>
      <c r="P17" s="138">
        <v>0</v>
      </c>
      <c r="Q17" s="138">
        <v>0</v>
      </c>
      <c r="R17" s="138">
        <v>1475</v>
      </c>
      <c r="S17" s="138">
        <v>0</v>
      </c>
      <c r="T17" s="138">
        <v>1476.5</v>
      </c>
    </row>
    <row r="18" spans="1:20">
      <c r="A18" s="39">
        <v>14</v>
      </c>
      <c r="B18" s="144" t="s">
        <v>178</v>
      </c>
      <c r="C18" s="145"/>
      <c r="D18" s="141">
        <v>270</v>
      </c>
      <c r="E18" s="141">
        <v>472</v>
      </c>
      <c r="F18" s="141">
        <v>9858.16</v>
      </c>
      <c r="G18" s="137">
        <v>0</v>
      </c>
      <c r="H18" s="137">
        <v>0</v>
      </c>
      <c r="I18" s="36">
        <v>3</v>
      </c>
      <c r="J18" s="36">
        <v>3</v>
      </c>
      <c r="K18" s="37">
        <v>0</v>
      </c>
      <c r="L18" s="138">
        <v>0</v>
      </c>
      <c r="M18" s="138">
        <v>0</v>
      </c>
      <c r="N18" s="138">
        <v>0</v>
      </c>
      <c r="O18" s="138">
        <v>0</v>
      </c>
      <c r="P18" s="138">
        <v>0</v>
      </c>
      <c r="Q18" s="138">
        <v>0</v>
      </c>
      <c r="R18" s="138">
        <v>3000</v>
      </c>
      <c r="S18" s="138">
        <v>600</v>
      </c>
      <c r="T18" s="138">
        <v>3600</v>
      </c>
    </row>
    <row r="19" spans="1:20">
      <c r="A19" s="39">
        <v>15</v>
      </c>
      <c r="B19" s="144" t="s">
        <v>179</v>
      </c>
      <c r="C19" s="145"/>
      <c r="D19" s="141">
        <v>292.5</v>
      </c>
      <c r="E19" s="141">
        <v>427.125</v>
      </c>
      <c r="F19" s="141">
        <v>9723.5349999999999</v>
      </c>
      <c r="G19" s="137">
        <v>0</v>
      </c>
      <c r="H19" s="137">
        <v>0</v>
      </c>
      <c r="I19" s="36">
        <v>0</v>
      </c>
      <c r="J19" s="36">
        <v>0</v>
      </c>
      <c r="K19" s="37">
        <v>0</v>
      </c>
      <c r="L19" s="138">
        <v>0</v>
      </c>
      <c r="M19" s="138">
        <v>0</v>
      </c>
      <c r="N19" s="138">
        <v>0</v>
      </c>
      <c r="O19" s="138">
        <v>0</v>
      </c>
      <c r="P19" s="138">
        <v>0</v>
      </c>
      <c r="Q19" s="138">
        <v>0</v>
      </c>
      <c r="R19" s="138">
        <v>0</v>
      </c>
      <c r="S19" s="138">
        <v>0</v>
      </c>
      <c r="T19" s="138">
        <v>0</v>
      </c>
    </row>
    <row r="20" spans="1:20">
      <c r="A20" s="39">
        <v>16</v>
      </c>
      <c r="B20" s="144" t="s">
        <v>180</v>
      </c>
      <c r="C20" s="145"/>
      <c r="D20" s="141">
        <v>0</v>
      </c>
      <c r="E20" s="141">
        <v>452.25</v>
      </c>
      <c r="F20" s="141">
        <v>9271.2849999999999</v>
      </c>
      <c r="G20" s="137">
        <v>0</v>
      </c>
      <c r="H20" s="137">
        <v>0</v>
      </c>
      <c r="I20" s="36">
        <v>0</v>
      </c>
      <c r="J20" s="36">
        <v>0</v>
      </c>
      <c r="K20" s="37">
        <v>0</v>
      </c>
      <c r="L20" s="138">
        <v>0</v>
      </c>
      <c r="M20" s="138">
        <v>0</v>
      </c>
      <c r="N20" s="138">
        <v>0</v>
      </c>
      <c r="O20" s="138">
        <v>0</v>
      </c>
      <c r="P20" s="138">
        <v>0</v>
      </c>
      <c r="Q20" s="138">
        <v>0</v>
      </c>
      <c r="R20" s="138">
        <v>0</v>
      </c>
      <c r="S20" s="138">
        <v>0</v>
      </c>
      <c r="T20" s="138">
        <v>0</v>
      </c>
    </row>
    <row r="21" spans="1:20">
      <c r="A21" s="39">
        <v>17</v>
      </c>
      <c r="B21" s="144" t="s">
        <v>181</v>
      </c>
      <c r="C21" s="145"/>
      <c r="D21" s="141">
        <v>0</v>
      </c>
      <c r="E21" s="141">
        <v>259.47500000000002</v>
      </c>
      <c r="F21" s="141">
        <v>9011.81</v>
      </c>
      <c r="G21" s="137">
        <v>0</v>
      </c>
      <c r="H21" s="137">
        <v>0</v>
      </c>
      <c r="I21" s="36">
        <v>0</v>
      </c>
      <c r="J21" s="36">
        <v>0</v>
      </c>
      <c r="K21" s="37">
        <v>0</v>
      </c>
      <c r="L21" s="138">
        <v>0</v>
      </c>
      <c r="M21" s="138">
        <v>0</v>
      </c>
      <c r="N21" s="138">
        <v>0</v>
      </c>
      <c r="O21" s="138">
        <v>0</v>
      </c>
      <c r="P21" s="138">
        <v>0</v>
      </c>
      <c r="Q21" s="138">
        <v>0</v>
      </c>
      <c r="R21" s="138">
        <v>0</v>
      </c>
      <c r="S21" s="138">
        <v>0</v>
      </c>
      <c r="T21" s="138">
        <v>0</v>
      </c>
    </row>
    <row r="22" spans="1:20">
      <c r="A22" s="39">
        <v>18</v>
      </c>
      <c r="B22" s="144" t="s">
        <v>182</v>
      </c>
      <c r="C22" s="145"/>
      <c r="D22" s="141">
        <v>0</v>
      </c>
      <c r="E22" s="141">
        <v>380.5</v>
      </c>
      <c r="F22" s="141">
        <v>8631.31</v>
      </c>
      <c r="G22" s="137">
        <v>0</v>
      </c>
      <c r="H22" s="137">
        <v>0</v>
      </c>
      <c r="I22" s="36">
        <v>0</v>
      </c>
      <c r="J22" s="36">
        <v>0</v>
      </c>
      <c r="K22" s="37">
        <v>0</v>
      </c>
      <c r="L22" s="138">
        <v>0</v>
      </c>
      <c r="M22" s="138">
        <v>0</v>
      </c>
      <c r="N22" s="138">
        <v>0</v>
      </c>
      <c r="O22" s="138">
        <v>0</v>
      </c>
      <c r="P22" s="138">
        <v>0</v>
      </c>
      <c r="Q22" s="138">
        <v>0</v>
      </c>
      <c r="R22" s="138">
        <v>0</v>
      </c>
      <c r="S22" s="138">
        <v>0</v>
      </c>
      <c r="T22" s="138">
        <v>0</v>
      </c>
    </row>
    <row r="23" spans="1:20">
      <c r="A23" s="39">
        <v>19</v>
      </c>
      <c r="B23" s="144" t="s">
        <v>183</v>
      </c>
      <c r="C23" s="145"/>
      <c r="D23" s="141">
        <v>45</v>
      </c>
      <c r="E23" s="141">
        <v>225</v>
      </c>
      <c r="F23" s="141">
        <v>8451.31</v>
      </c>
      <c r="G23" s="137">
        <v>0</v>
      </c>
      <c r="H23" s="137">
        <v>0</v>
      </c>
      <c r="I23" s="36">
        <v>0</v>
      </c>
      <c r="J23" s="36">
        <v>0</v>
      </c>
      <c r="K23" s="37">
        <v>0</v>
      </c>
      <c r="L23" s="138">
        <v>0</v>
      </c>
      <c r="M23" s="138">
        <v>0</v>
      </c>
      <c r="N23" s="138">
        <v>0</v>
      </c>
      <c r="O23" s="138">
        <v>0</v>
      </c>
      <c r="P23" s="138">
        <v>0</v>
      </c>
      <c r="Q23" s="138">
        <v>0</v>
      </c>
      <c r="R23" s="138">
        <v>0</v>
      </c>
      <c r="S23" s="138">
        <v>0</v>
      </c>
      <c r="T23" s="138">
        <v>0</v>
      </c>
    </row>
    <row r="24" spans="1:20">
      <c r="A24" s="39">
        <v>20</v>
      </c>
      <c r="B24" s="144" t="s">
        <v>184</v>
      </c>
      <c r="C24" s="145"/>
      <c r="D24" s="141">
        <v>45</v>
      </c>
      <c r="E24" s="141">
        <v>376</v>
      </c>
      <c r="F24" s="141">
        <v>8120.31</v>
      </c>
      <c r="G24" s="137">
        <v>0</v>
      </c>
      <c r="H24" s="137">
        <v>0</v>
      </c>
      <c r="I24" s="36">
        <v>0</v>
      </c>
      <c r="J24" s="36">
        <v>0</v>
      </c>
      <c r="K24" s="37">
        <v>0</v>
      </c>
      <c r="L24" s="138">
        <v>0</v>
      </c>
      <c r="M24" s="138">
        <v>0</v>
      </c>
      <c r="N24" s="138">
        <v>0</v>
      </c>
      <c r="O24" s="138">
        <v>0</v>
      </c>
      <c r="P24" s="138">
        <v>0</v>
      </c>
      <c r="Q24" s="138">
        <v>0</v>
      </c>
      <c r="R24" s="138">
        <v>0</v>
      </c>
      <c r="S24" s="138">
        <v>0</v>
      </c>
      <c r="T24" s="138">
        <v>0</v>
      </c>
    </row>
    <row r="25" spans="1:20">
      <c r="A25" s="39">
        <v>21</v>
      </c>
      <c r="B25" s="144" t="s">
        <v>185</v>
      </c>
      <c r="C25" s="145"/>
      <c r="D25" s="141">
        <v>0</v>
      </c>
      <c r="E25" s="141">
        <v>202.5</v>
      </c>
      <c r="F25" s="141">
        <v>7917.81</v>
      </c>
      <c r="G25" s="137">
        <v>0</v>
      </c>
      <c r="H25" s="137">
        <v>0</v>
      </c>
      <c r="I25" s="36">
        <v>0</v>
      </c>
      <c r="J25" s="36">
        <v>0</v>
      </c>
      <c r="K25" s="37">
        <v>0</v>
      </c>
      <c r="L25" s="138">
        <v>0</v>
      </c>
      <c r="M25" s="138">
        <v>0</v>
      </c>
      <c r="N25" s="138">
        <v>0</v>
      </c>
      <c r="O25" s="138">
        <v>0</v>
      </c>
      <c r="P25" s="138">
        <v>0</v>
      </c>
      <c r="Q25" s="138">
        <v>0</v>
      </c>
      <c r="R25" s="138">
        <v>0</v>
      </c>
      <c r="S25" s="138">
        <v>0</v>
      </c>
      <c r="T25" s="138">
        <v>0</v>
      </c>
    </row>
    <row r="26" spans="1:20">
      <c r="A26" s="39">
        <v>22</v>
      </c>
      <c r="B26" s="144" t="s">
        <v>186</v>
      </c>
      <c r="C26" s="145"/>
      <c r="D26" s="141">
        <v>0</v>
      </c>
      <c r="E26" s="141">
        <v>267.125</v>
      </c>
      <c r="F26" s="141">
        <v>7650.6850000000004</v>
      </c>
      <c r="G26" s="137">
        <v>0</v>
      </c>
      <c r="H26" s="137">
        <v>0</v>
      </c>
      <c r="I26" s="36">
        <v>0</v>
      </c>
      <c r="J26" s="36">
        <v>0</v>
      </c>
      <c r="K26" s="37">
        <v>0</v>
      </c>
      <c r="L26" s="138">
        <v>0</v>
      </c>
      <c r="M26" s="138">
        <v>0</v>
      </c>
      <c r="N26" s="138">
        <v>0</v>
      </c>
      <c r="O26" s="138">
        <v>0</v>
      </c>
      <c r="P26" s="138">
        <v>0</v>
      </c>
      <c r="Q26" s="138">
        <v>0</v>
      </c>
      <c r="R26" s="138">
        <v>0</v>
      </c>
      <c r="S26" s="138">
        <v>0</v>
      </c>
      <c r="T26" s="138">
        <v>0</v>
      </c>
    </row>
    <row r="27" spans="1:20">
      <c r="A27" s="39">
        <v>23</v>
      </c>
      <c r="B27" s="144" t="s">
        <v>187</v>
      </c>
      <c r="C27" s="145"/>
      <c r="D27" s="141">
        <v>0</v>
      </c>
      <c r="E27" s="141">
        <v>236.375</v>
      </c>
      <c r="F27" s="141">
        <v>7414.31</v>
      </c>
      <c r="G27" s="137">
        <v>0</v>
      </c>
      <c r="H27" s="137">
        <v>0</v>
      </c>
      <c r="I27" s="36">
        <v>0</v>
      </c>
      <c r="J27" s="36">
        <v>0</v>
      </c>
      <c r="K27" s="37">
        <v>0</v>
      </c>
      <c r="L27" s="138">
        <v>0</v>
      </c>
      <c r="M27" s="138">
        <v>0</v>
      </c>
      <c r="N27" s="138">
        <v>0</v>
      </c>
      <c r="O27" s="138">
        <v>0</v>
      </c>
      <c r="P27" s="138">
        <v>0</v>
      </c>
      <c r="Q27" s="138">
        <v>0</v>
      </c>
      <c r="R27" s="138">
        <v>0</v>
      </c>
      <c r="S27" s="138">
        <v>0</v>
      </c>
      <c r="T27" s="138">
        <v>0</v>
      </c>
    </row>
    <row r="28" spans="1:20">
      <c r="A28" s="39">
        <v>24</v>
      </c>
      <c r="B28" s="144" t="s">
        <v>188</v>
      </c>
      <c r="C28" s="145"/>
      <c r="D28" s="141">
        <v>45</v>
      </c>
      <c r="E28" s="141">
        <v>136.44999999999999</v>
      </c>
      <c r="F28" s="141">
        <v>7322.86</v>
      </c>
      <c r="G28" s="137">
        <v>0</v>
      </c>
      <c r="H28" s="137">
        <v>0</v>
      </c>
      <c r="I28" s="36">
        <v>0</v>
      </c>
      <c r="J28" s="36">
        <v>0</v>
      </c>
      <c r="K28" s="37">
        <v>0</v>
      </c>
      <c r="L28" s="138">
        <v>0</v>
      </c>
      <c r="M28" s="138">
        <v>0</v>
      </c>
      <c r="N28" s="138">
        <v>0</v>
      </c>
      <c r="O28" s="138">
        <v>0</v>
      </c>
      <c r="P28" s="138">
        <v>0</v>
      </c>
      <c r="Q28" s="138">
        <v>0</v>
      </c>
      <c r="R28" s="138">
        <v>0</v>
      </c>
      <c r="S28" s="138">
        <v>0</v>
      </c>
      <c r="T28" s="138">
        <v>0</v>
      </c>
    </row>
    <row r="29" spans="1:20">
      <c r="A29" s="39">
        <v>25</v>
      </c>
      <c r="B29" s="144" t="s">
        <v>189</v>
      </c>
      <c r="C29" s="145"/>
      <c r="D29" s="141">
        <v>88.875</v>
      </c>
      <c r="E29" s="141">
        <v>270</v>
      </c>
      <c r="F29" s="141">
        <v>7141.7349999999997</v>
      </c>
      <c r="G29" s="137">
        <v>0</v>
      </c>
      <c r="H29" s="137">
        <v>0</v>
      </c>
      <c r="I29" s="36">
        <v>29</v>
      </c>
      <c r="J29" s="36">
        <v>29</v>
      </c>
      <c r="K29" s="37">
        <v>0</v>
      </c>
      <c r="L29" s="138">
        <v>0</v>
      </c>
      <c r="M29" s="138">
        <v>0</v>
      </c>
      <c r="N29" s="138">
        <v>0</v>
      </c>
      <c r="O29" s="138">
        <v>0</v>
      </c>
      <c r="P29" s="138">
        <v>0</v>
      </c>
      <c r="Q29" s="138">
        <v>0</v>
      </c>
      <c r="R29" s="138">
        <v>29000</v>
      </c>
      <c r="S29" s="138">
        <v>5800</v>
      </c>
      <c r="T29" s="138">
        <v>34800</v>
      </c>
    </row>
    <row r="30" spans="1:20">
      <c r="A30" s="39">
        <v>26</v>
      </c>
      <c r="B30" s="144" t="s">
        <v>190</v>
      </c>
      <c r="C30" s="145"/>
      <c r="D30" s="141">
        <v>111</v>
      </c>
      <c r="E30" s="141">
        <v>359.5</v>
      </c>
      <c r="F30" s="141">
        <v>6893.2349999999997</v>
      </c>
      <c r="G30" s="137">
        <v>0</v>
      </c>
      <c r="H30" s="137">
        <v>0</v>
      </c>
      <c r="I30" s="36">
        <v>17.875</v>
      </c>
      <c r="J30" s="36">
        <v>66.375</v>
      </c>
      <c r="K30" s="37">
        <v>0</v>
      </c>
      <c r="L30" s="138">
        <v>0</v>
      </c>
      <c r="M30" s="138">
        <v>0</v>
      </c>
      <c r="N30" s="138">
        <v>0</v>
      </c>
      <c r="O30" s="138">
        <v>0</v>
      </c>
      <c r="P30" s="138">
        <v>0</v>
      </c>
      <c r="Q30" s="138">
        <v>0</v>
      </c>
      <c r="R30" s="138">
        <v>17875</v>
      </c>
      <c r="S30" s="138">
        <v>13275</v>
      </c>
      <c r="T30" s="138">
        <v>31150</v>
      </c>
    </row>
    <row r="31" spans="1:20">
      <c r="A31" s="39">
        <v>27</v>
      </c>
      <c r="B31" s="144" t="s">
        <v>191</v>
      </c>
      <c r="C31" s="145"/>
      <c r="D31" s="141">
        <v>44</v>
      </c>
      <c r="E31" s="141">
        <v>267</v>
      </c>
      <c r="F31" s="141">
        <v>6670.2349999999997</v>
      </c>
      <c r="G31" s="137">
        <v>0</v>
      </c>
      <c r="H31" s="137">
        <v>0</v>
      </c>
      <c r="I31" s="36">
        <v>0</v>
      </c>
      <c r="J31" s="36">
        <v>69.499999999999986</v>
      </c>
      <c r="K31" s="37">
        <v>0</v>
      </c>
      <c r="L31" s="138">
        <v>0</v>
      </c>
      <c r="M31" s="138">
        <v>0</v>
      </c>
      <c r="N31" s="138">
        <v>0</v>
      </c>
      <c r="O31" s="138">
        <v>0</v>
      </c>
      <c r="P31" s="138">
        <v>0</v>
      </c>
      <c r="Q31" s="138">
        <v>0</v>
      </c>
      <c r="R31" s="138">
        <v>0</v>
      </c>
      <c r="S31" s="138">
        <v>13900</v>
      </c>
      <c r="T31" s="138">
        <v>13900</v>
      </c>
    </row>
    <row r="32" spans="1:20">
      <c r="A32" s="39">
        <v>28</v>
      </c>
      <c r="B32" s="144" t="s">
        <v>192</v>
      </c>
      <c r="C32" s="145"/>
      <c r="D32" s="141">
        <v>0</v>
      </c>
      <c r="E32" s="141">
        <v>397.75</v>
      </c>
      <c r="F32" s="141">
        <v>6272.4849999999997</v>
      </c>
      <c r="G32" s="137">
        <v>0</v>
      </c>
      <c r="H32" s="137">
        <v>0</v>
      </c>
      <c r="I32" s="36">
        <v>0</v>
      </c>
      <c r="J32" s="36">
        <v>58.900000000000006</v>
      </c>
      <c r="K32" s="37">
        <v>0</v>
      </c>
      <c r="L32" s="138">
        <v>0</v>
      </c>
      <c r="M32" s="138">
        <v>0</v>
      </c>
      <c r="N32" s="138">
        <v>0</v>
      </c>
      <c r="O32" s="138">
        <v>0</v>
      </c>
      <c r="P32" s="138">
        <v>0</v>
      </c>
      <c r="Q32" s="138">
        <v>0</v>
      </c>
      <c r="R32" s="138">
        <v>0</v>
      </c>
      <c r="S32" s="138">
        <v>11780</v>
      </c>
      <c r="T32" s="138">
        <v>11780</v>
      </c>
    </row>
    <row r="33" spans="1:20">
      <c r="A33" s="39">
        <v>29</v>
      </c>
      <c r="B33" s="144" t="s">
        <v>193</v>
      </c>
      <c r="C33" s="145"/>
      <c r="D33" s="141">
        <v>0</v>
      </c>
      <c r="E33" s="141">
        <v>568.77499999999998</v>
      </c>
      <c r="F33" s="141">
        <v>5703.71</v>
      </c>
      <c r="G33" s="137">
        <v>0</v>
      </c>
      <c r="H33" s="137">
        <v>0</v>
      </c>
      <c r="I33" s="36">
        <v>0</v>
      </c>
      <c r="J33" s="36">
        <v>0</v>
      </c>
      <c r="K33" s="37">
        <v>0</v>
      </c>
      <c r="L33" s="138">
        <v>0</v>
      </c>
      <c r="M33" s="138">
        <v>0</v>
      </c>
      <c r="N33" s="138">
        <v>0</v>
      </c>
      <c r="O33" s="138">
        <v>0</v>
      </c>
      <c r="P33" s="138">
        <v>0</v>
      </c>
      <c r="Q33" s="138">
        <v>0</v>
      </c>
      <c r="R33" s="138">
        <v>0</v>
      </c>
      <c r="S33" s="138">
        <v>0</v>
      </c>
      <c r="T33" s="138">
        <v>0</v>
      </c>
    </row>
    <row r="34" spans="1:20">
      <c r="A34" s="39">
        <v>30</v>
      </c>
      <c r="B34" s="144" t="s">
        <v>194</v>
      </c>
      <c r="C34" s="145"/>
      <c r="D34" s="141">
        <v>23.5</v>
      </c>
      <c r="E34" s="141">
        <v>71.3</v>
      </c>
      <c r="F34" s="141">
        <v>5655.91</v>
      </c>
      <c r="G34" s="137">
        <v>0</v>
      </c>
      <c r="H34" s="137">
        <v>0</v>
      </c>
      <c r="I34" s="36">
        <v>5.5</v>
      </c>
      <c r="J34" s="36">
        <v>5.5</v>
      </c>
      <c r="K34" s="37">
        <v>0</v>
      </c>
      <c r="L34" s="138">
        <v>0</v>
      </c>
      <c r="M34" s="138">
        <v>0</v>
      </c>
      <c r="N34" s="138">
        <v>0</v>
      </c>
      <c r="O34" s="138">
        <v>0</v>
      </c>
      <c r="P34" s="138">
        <v>0</v>
      </c>
      <c r="Q34" s="138">
        <v>0</v>
      </c>
      <c r="R34" s="138">
        <v>5500</v>
      </c>
      <c r="S34" s="138">
        <v>1100</v>
      </c>
      <c r="T34" s="138">
        <v>6600</v>
      </c>
    </row>
    <row r="35" spans="1:20">
      <c r="A35" s="39">
        <v>31</v>
      </c>
      <c r="B35" s="144"/>
      <c r="C35" s="145"/>
      <c r="D35" s="141">
        <v>0</v>
      </c>
      <c r="E35" s="141">
        <v>0</v>
      </c>
      <c r="F35" s="141">
        <v>0</v>
      </c>
      <c r="G35" s="137">
        <v>0</v>
      </c>
      <c r="H35" s="137">
        <v>0</v>
      </c>
      <c r="I35" s="36">
        <v>0</v>
      </c>
      <c r="J35" s="36">
        <v>0</v>
      </c>
      <c r="K35" s="37">
        <v>0</v>
      </c>
      <c r="L35" s="138">
        <v>0</v>
      </c>
      <c r="M35" s="138">
        <v>0</v>
      </c>
      <c r="N35" s="138">
        <v>0</v>
      </c>
      <c r="O35" s="138">
        <v>0</v>
      </c>
      <c r="P35" s="138">
        <v>0</v>
      </c>
      <c r="Q35" s="138">
        <v>0</v>
      </c>
      <c r="R35" s="138">
        <v>0</v>
      </c>
      <c r="S35" s="138">
        <v>0</v>
      </c>
      <c r="T35" s="138">
        <v>0</v>
      </c>
    </row>
    <row r="36" spans="1:20">
      <c r="D36" s="43">
        <v>8273.1990000000005</v>
      </c>
      <c r="E36" s="43">
        <v>9273.15</v>
      </c>
      <c r="F36" s="43">
        <v>259905.9789999999</v>
      </c>
      <c r="G36" s="43">
        <v>0</v>
      </c>
      <c r="H36" s="43">
        <v>0</v>
      </c>
      <c r="I36" s="43">
        <v>173.27499999999998</v>
      </c>
      <c r="J36" s="43">
        <v>372.69999999999993</v>
      </c>
      <c r="K36" s="43">
        <v>0.40300000000000002</v>
      </c>
      <c r="L36" s="139">
        <v>60.45</v>
      </c>
      <c r="M36" s="139">
        <v>857288.61</v>
      </c>
      <c r="N36" s="139">
        <v>864831.77</v>
      </c>
      <c r="O36" s="139">
        <v>7110716.7000000002</v>
      </c>
      <c r="P36" s="139">
        <v>0</v>
      </c>
      <c r="Q36" s="139">
        <v>53115.8</v>
      </c>
      <c r="R36" s="139">
        <v>173275</v>
      </c>
      <c r="S36" s="139">
        <v>74540</v>
      </c>
      <c r="T36" s="139">
        <v>9133828.3300000001</v>
      </c>
    </row>
    <row r="37" spans="1:20">
      <c r="R37" s="46"/>
      <c r="S37" s="46"/>
      <c r="T37" s="140">
        <v>11143270.560000001</v>
      </c>
    </row>
  </sheetData>
  <mergeCells count="50"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7B9D4-1EF4-49C6-90BF-74F6D0DFE960}">
  <sheetPr>
    <pageSetUpPr fitToPage="1"/>
  </sheetPr>
  <dimension ref="A1:T37"/>
  <sheetViews>
    <sheetView workbookViewId="0">
      <selection activeCell="K10" sqref="K10"/>
    </sheetView>
  </sheetViews>
  <sheetFormatPr defaultRowHeight="15"/>
  <cols>
    <col min="1" max="3" width="9.140625" style="28"/>
    <col min="4" max="4" width="11.7109375" style="28" customWidth="1"/>
    <col min="5" max="5" width="12.140625" style="28" customWidth="1"/>
    <col min="6" max="6" width="13.28515625" style="28" customWidth="1"/>
    <col min="7" max="7" width="11.42578125" style="28" customWidth="1"/>
    <col min="8" max="8" width="10.42578125" style="28" customWidth="1"/>
    <col min="9" max="9" width="10.5703125" style="28" bestFit="1" customWidth="1"/>
    <col min="10" max="10" width="9.42578125" style="28" bestFit="1" customWidth="1"/>
    <col min="11" max="12" width="9.140625" style="28"/>
    <col min="13" max="13" width="15.140625" style="28" customWidth="1"/>
    <col min="14" max="14" width="13.5703125" style="28" customWidth="1"/>
    <col min="15" max="15" width="14.5703125" style="28" customWidth="1"/>
    <col min="16" max="16" width="14.5703125" style="28" bestFit="1" customWidth="1"/>
    <col min="17" max="17" width="15" style="28" customWidth="1"/>
    <col min="18" max="18" width="13.28515625" style="28" customWidth="1"/>
    <col min="19" max="19" width="11.7109375" style="28" customWidth="1"/>
    <col min="20" max="20" width="24.28515625" style="28" customWidth="1"/>
    <col min="21" max="16384" width="9.140625" style="28"/>
  </cols>
  <sheetData>
    <row r="1" spans="1:20">
      <c r="I1" s="29"/>
    </row>
    <row r="2" spans="1:20" ht="28.9" customHeight="1">
      <c r="A2" s="149" t="s">
        <v>200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</row>
    <row r="3" spans="1:20" ht="28.9" customHeight="1">
      <c r="A3" s="146" t="s">
        <v>0</v>
      </c>
      <c r="B3" s="150" t="s">
        <v>1</v>
      </c>
      <c r="C3" s="151"/>
      <c r="D3" s="146" t="s">
        <v>2</v>
      </c>
      <c r="E3" s="146" t="s">
        <v>3</v>
      </c>
      <c r="F3" s="30" t="s">
        <v>4</v>
      </c>
      <c r="G3" s="146" t="s">
        <v>156</v>
      </c>
      <c r="H3" s="146" t="s">
        <v>157</v>
      </c>
      <c r="I3" s="146" t="s">
        <v>7</v>
      </c>
      <c r="J3" s="146" t="s">
        <v>8</v>
      </c>
      <c r="K3" s="146" t="s">
        <v>158</v>
      </c>
      <c r="L3" s="146" t="s">
        <v>159</v>
      </c>
      <c r="M3" s="146" t="s">
        <v>160</v>
      </c>
      <c r="N3" s="146" t="s">
        <v>161</v>
      </c>
      <c r="O3" s="146" t="s">
        <v>162</v>
      </c>
      <c r="P3" s="146" t="s">
        <v>163</v>
      </c>
      <c r="Q3" s="146" t="s">
        <v>164</v>
      </c>
      <c r="R3" s="146" t="s">
        <v>16</v>
      </c>
      <c r="S3" s="146" t="s">
        <v>17</v>
      </c>
      <c r="T3" s="146" t="s">
        <v>18</v>
      </c>
    </row>
    <row r="4" spans="1:20" ht="27" customHeight="1">
      <c r="A4" s="147"/>
      <c r="B4" s="152"/>
      <c r="C4" s="153"/>
      <c r="D4" s="147"/>
      <c r="E4" s="147"/>
      <c r="F4" s="31"/>
      <c r="G4" s="147"/>
      <c r="H4" s="147"/>
      <c r="I4" s="147"/>
      <c r="J4" s="147"/>
      <c r="K4" s="148"/>
      <c r="L4" s="148"/>
      <c r="M4" s="147"/>
      <c r="N4" s="147"/>
      <c r="O4" s="147"/>
      <c r="P4" s="147"/>
      <c r="Q4" s="147"/>
      <c r="R4" s="147"/>
      <c r="S4" s="147"/>
      <c r="T4" s="147"/>
    </row>
    <row r="5" spans="1:20">
      <c r="A5" s="39">
        <v>1</v>
      </c>
      <c r="B5" s="144" t="s">
        <v>165</v>
      </c>
      <c r="C5" s="145"/>
      <c r="D5" s="141">
        <v>0</v>
      </c>
      <c r="E5" s="141">
        <v>0</v>
      </c>
      <c r="F5" s="141">
        <v>632.32000000000005</v>
      </c>
      <c r="G5" s="137">
        <v>0</v>
      </c>
      <c r="H5" s="137">
        <v>0</v>
      </c>
      <c r="I5" s="36">
        <v>0</v>
      </c>
      <c r="J5" s="36">
        <v>0</v>
      </c>
      <c r="K5" s="37">
        <v>0</v>
      </c>
      <c r="L5" s="138">
        <v>0</v>
      </c>
      <c r="M5" s="138">
        <v>0</v>
      </c>
      <c r="N5" s="138">
        <v>0</v>
      </c>
      <c r="O5" s="138">
        <v>0</v>
      </c>
      <c r="P5" s="138">
        <v>0</v>
      </c>
      <c r="Q5" s="138">
        <v>0</v>
      </c>
      <c r="R5" s="138">
        <v>0</v>
      </c>
      <c r="S5" s="138">
        <v>0</v>
      </c>
      <c r="T5" s="138">
        <v>0</v>
      </c>
    </row>
    <row r="6" spans="1:20">
      <c r="A6" s="39">
        <v>2</v>
      </c>
      <c r="B6" s="144" t="s">
        <v>166</v>
      </c>
      <c r="C6" s="145"/>
      <c r="D6" s="141">
        <v>0</v>
      </c>
      <c r="E6" s="141">
        <v>5.5</v>
      </c>
      <c r="F6" s="141">
        <v>626.82000000000005</v>
      </c>
      <c r="G6" s="137">
        <v>0</v>
      </c>
      <c r="H6" s="137">
        <v>0</v>
      </c>
      <c r="I6" s="36">
        <v>0</v>
      </c>
      <c r="J6" s="36">
        <v>0</v>
      </c>
      <c r="K6" s="37">
        <v>0</v>
      </c>
      <c r="L6" s="138">
        <v>0</v>
      </c>
      <c r="M6" s="138">
        <v>0</v>
      </c>
      <c r="N6" s="138">
        <v>0</v>
      </c>
      <c r="O6" s="138">
        <v>0</v>
      </c>
      <c r="P6" s="138">
        <v>0</v>
      </c>
      <c r="Q6" s="138">
        <v>0</v>
      </c>
      <c r="R6" s="138">
        <v>0</v>
      </c>
      <c r="S6" s="138">
        <v>0</v>
      </c>
      <c r="T6" s="138">
        <v>0</v>
      </c>
    </row>
    <row r="7" spans="1:20">
      <c r="A7" s="39">
        <v>3</v>
      </c>
      <c r="B7" s="144" t="s">
        <v>167</v>
      </c>
      <c r="C7" s="145"/>
      <c r="D7" s="141">
        <v>0</v>
      </c>
      <c r="E7" s="141">
        <v>0</v>
      </c>
      <c r="F7" s="141">
        <v>626.82000000000005</v>
      </c>
      <c r="G7" s="137">
        <v>0</v>
      </c>
      <c r="H7" s="137">
        <v>0</v>
      </c>
      <c r="I7" s="36">
        <v>0</v>
      </c>
      <c r="J7" s="36">
        <v>0</v>
      </c>
      <c r="K7" s="37">
        <v>0</v>
      </c>
      <c r="L7" s="138">
        <v>0</v>
      </c>
      <c r="M7" s="138">
        <v>0</v>
      </c>
      <c r="N7" s="138">
        <v>0</v>
      </c>
      <c r="O7" s="138">
        <v>0</v>
      </c>
      <c r="P7" s="138">
        <v>0</v>
      </c>
      <c r="Q7" s="138">
        <v>0</v>
      </c>
      <c r="R7" s="138">
        <v>0</v>
      </c>
      <c r="S7" s="138">
        <v>0</v>
      </c>
      <c r="T7" s="138">
        <v>0</v>
      </c>
    </row>
    <row r="8" spans="1:20">
      <c r="A8" s="39">
        <v>4</v>
      </c>
      <c r="B8" s="144" t="s">
        <v>168</v>
      </c>
      <c r="C8" s="145"/>
      <c r="D8" s="141">
        <v>0</v>
      </c>
      <c r="E8" s="141">
        <v>0</v>
      </c>
      <c r="F8" s="141">
        <v>626.82000000000005</v>
      </c>
      <c r="G8" s="137">
        <v>0</v>
      </c>
      <c r="H8" s="137">
        <v>0</v>
      </c>
      <c r="I8" s="36">
        <v>0</v>
      </c>
      <c r="J8" s="36">
        <v>0</v>
      </c>
      <c r="K8" s="37">
        <v>0</v>
      </c>
      <c r="L8" s="138">
        <v>0</v>
      </c>
      <c r="M8" s="138">
        <v>0</v>
      </c>
      <c r="N8" s="138">
        <v>0</v>
      </c>
      <c r="O8" s="138">
        <v>0</v>
      </c>
      <c r="P8" s="138">
        <v>0</v>
      </c>
      <c r="Q8" s="138">
        <v>0</v>
      </c>
      <c r="R8" s="138">
        <v>0</v>
      </c>
      <c r="S8" s="138">
        <v>0</v>
      </c>
      <c r="T8" s="138">
        <v>0</v>
      </c>
    </row>
    <row r="9" spans="1:20">
      <c r="A9" s="39">
        <v>5</v>
      </c>
      <c r="B9" s="144" t="s">
        <v>169</v>
      </c>
      <c r="C9" s="145"/>
      <c r="D9" s="141">
        <v>0</v>
      </c>
      <c r="E9" s="141">
        <v>0</v>
      </c>
      <c r="F9" s="141">
        <v>626.82000000000005</v>
      </c>
      <c r="G9" s="137">
        <v>0</v>
      </c>
      <c r="H9" s="137">
        <v>0</v>
      </c>
      <c r="I9" s="36">
        <v>0</v>
      </c>
      <c r="J9" s="36">
        <v>0</v>
      </c>
      <c r="K9" s="37">
        <v>0</v>
      </c>
      <c r="L9" s="138">
        <v>0</v>
      </c>
      <c r="M9" s="138">
        <v>0</v>
      </c>
      <c r="N9" s="138">
        <v>0</v>
      </c>
      <c r="O9" s="138">
        <v>0</v>
      </c>
      <c r="P9" s="138">
        <v>0</v>
      </c>
      <c r="Q9" s="138">
        <v>0</v>
      </c>
      <c r="R9" s="138">
        <v>0</v>
      </c>
      <c r="S9" s="138">
        <v>0</v>
      </c>
      <c r="T9" s="138">
        <v>0</v>
      </c>
    </row>
    <row r="10" spans="1:20">
      <c r="A10" s="39">
        <v>6</v>
      </c>
      <c r="B10" s="144" t="s">
        <v>170</v>
      </c>
      <c r="C10" s="145"/>
      <c r="D10" s="141">
        <v>0</v>
      </c>
      <c r="E10" s="141">
        <v>0</v>
      </c>
      <c r="F10" s="141">
        <v>626.82000000000005</v>
      </c>
      <c r="G10" s="137">
        <v>0</v>
      </c>
      <c r="H10" s="137">
        <v>0</v>
      </c>
      <c r="I10" s="36">
        <v>0</v>
      </c>
      <c r="J10" s="36">
        <v>0</v>
      </c>
      <c r="K10" s="37">
        <v>0</v>
      </c>
      <c r="L10" s="138">
        <v>0</v>
      </c>
      <c r="M10" s="138">
        <v>0</v>
      </c>
      <c r="N10" s="138">
        <v>0</v>
      </c>
      <c r="O10" s="138">
        <v>0</v>
      </c>
      <c r="P10" s="138">
        <v>0</v>
      </c>
      <c r="Q10" s="138">
        <v>0</v>
      </c>
      <c r="R10" s="138">
        <v>0</v>
      </c>
      <c r="S10" s="138">
        <v>0</v>
      </c>
      <c r="T10" s="138">
        <v>0</v>
      </c>
    </row>
    <row r="11" spans="1:20">
      <c r="A11" s="39">
        <v>7</v>
      </c>
      <c r="B11" s="144" t="s">
        <v>171</v>
      </c>
      <c r="C11" s="145"/>
      <c r="D11" s="141">
        <v>0</v>
      </c>
      <c r="E11" s="141">
        <v>0</v>
      </c>
      <c r="F11" s="141">
        <v>626.82000000000005</v>
      </c>
      <c r="G11" s="137">
        <v>0</v>
      </c>
      <c r="H11" s="137">
        <v>0</v>
      </c>
      <c r="I11" s="36">
        <v>0</v>
      </c>
      <c r="J11" s="36">
        <v>0</v>
      </c>
      <c r="K11" s="37">
        <v>0</v>
      </c>
      <c r="L11" s="138">
        <v>0</v>
      </c>
      <c r="M11" s="138">
        <v>0</v>
      </c>
      <c r="N11" s="138">
        <v>0</v>
      </c>
      <c r="O11" s="138">
        <v>0</v>
      </c>
      <c r="P11" s="138">
        <v>0</v>
      </c>
      <c r="Q11" s="138">
        <v>0</v>
      </c>
      <c r="R11" s="138">
        <v>0</v>
      </c>
      <c r="S11" s="138">
        <v>0</v>
      </c>
      <c r="T11" s="138">
        <v>0</v>
      </c>
    </row>
    <row r="12" spans="1:20">
      <c r="A12" s="39">
        <v>8</v>
      </c>
      <c r="B12" s="144" t="s">
        <v>172</v>
      </c>
      <c r="C12" s="145"/>
      <c r="D12" s="141">
        <v>0</v>
      </c>
      <c r="E12" s="141">
        <v>0</v>
      </c>
      <c r="F12" s="141">
        <v>626.82000000000005</v>
      </c>
      <c r="G12" s="137">
        <v>0</v>
      </c>
      <c r="H12" s="137">
        <v>0</v>
      </c>
      <c r="I12" s="36">
        <v>0</v>
      </c>
      <c r="J12" s="36">
        <v>0</v>
      </c>
      <c r="K12" s="37">
        <v>0</v>
      </c>
      <c r="L12" s="138">
        <v>0</v>
      </c>
      <c r="M12" s="138">
        <v>0</v>
      </c>
      <c r="N12" s="138">
        <v>0</v>
      </c>
      <c r="O12" s="138">
        <v>0</v>
      </c>
      <c r="P12" s="138">
        <v>0</v>
      </c>
      <c r="Q12" s="138">
        <v>0</v>
      </c>
      <c r="R12" s="138">
        <v>0</v>
      </c>
      <c r="S12" s="138">
        <v>0</v>
      </c>
      <c r="T12" s="138">
        <v>0</v>
      </c>
    </row>
    <row r="13" spans="1:20">
      <c r="A13" s="39">
        <v>9</v>
      </c>
      <c r="B13" s="144" t="s">
        <v>173</v>
      </c>
      <c r="C13" s="145"/>
      <c r="D13" s="141">
        <v>0</v>
      </c>
      <c r="E13" s="141">
        <v>0</v>
      </c>
      <c r="F13" s="141">
        <v>626.82000000000005</v>
      </c>
      <c r="G13" s="137">
        <v>0</v>
      </c>
      <c r="H13" s="137">
        <v>0</v>
      </c>
      <c r="I13" s="36">
        <v>0</v>
      </c>
      <c r="J13" s="36">
        <v>0</v>
      </c>
      <c r="K13" s="37">
        <v>0</v>
      </c>
      <c r="L13" s="138">
        <v>0</v>
      </c>
      <c r="M13" s="138">
        <v>0</v>
      </c>
      <c r="N13" s="138">
        <v>0</v>
      </c>
      <c r="O13" s="138">
        <v>0</v>
      </c>
      <c r="P13" s="138">
        <v>0</v>
      </c>
      <c r="Q13" s="138">
        <v>0</v>
      </c>
      <c r="R13" s="138">
        <v>0</v>
      </c>
      <c r="S13" s="138">
        <v>0</v>
      </c>
      <c r="T13" s="138">
        <v>0</v>
      </c>
    </row>
    <row r="14" spans="1:20">
      <c r="A14" s="39">
        <v>10</v>
      </c>
      <c r="B14" s="144" t="s">
        <v>174</v>
      </c>
      <c r="C14" s="145"/>
      <c r="D14" s="141">
        <v>0</v>
      </c>
      <c r="E14" s="141">
        <v>0</v>
      </c>
      <c r="F14" s="141">
        <v>626.82000000000005</v>
      </c>
      <c r="G14" s="137">
        <v>0</v>
      </c>
      <c r="H14" s="137">
        <v>0</v>
      </c>
      <c r="I14" s="36">
        <v>0</v>
      </c>
      <c r="J14" s="36">
        <v>0</v>
      </c>
      <c r="K14" s="37">
        <v>0</v>
      </c>
      <c r="L14" s="138">
        <v>0</v>
      </c>
      <c r="M14" s="138">
        <v>0</v>
      </c>
      <c r="N14" s="138">
        <v>0</v>
      </c>
      <c r="O14" s="138">
        <v>0</v>
      </c>
      <c r="P14" s="138">
        <v>0</v>
      </c>
      <c r="Q14" s="138">
        <v>0</v>
      </c>
      <c r="R14" s="138">
        <v>0</v>
      </c>
      <c r="S14" s="138">
        <v>0</v>
      </c>
      <c r="T14" s="138">
        <v>0</v>
      </c>
    </row>
    <row r="15" spans="1:20">
      <c r="A15" s="39">
        <v>11</v>
      </c>
      <c r="B15" s="144" t="s">
        <v>175</v>
      </c>
      <c r="C15" s="145"/>
      <c r="D15" s="141">
        <v>0</v>
      </c>
      <c r="E15" s="141">
        <v>44</v>
      </c>
      <c r="F15" s="141">
        <v>582.82000000000005</v>
      </c>
      <c r="G15" s="137">
        <v>0</v>
      </c>
      <c r="H15" s="137">
        <v>0</v>
      </c>
      <c r="I15" s="36">
        <v>0</v>
      </c>
      <c r="J15" s="36">
        <v>0</v>
      </c>
      <c r="K15" s="37">
        <v>0</v>
      </c>
      <c r="L15" s="138">
        <v>0</v>
      </c>
      <c r="M15" s="138">
        <v>0</v>
      </c>
      <c r="N15" s="138">
        <v>0</v>
      </c>
      <c r="O15" s="138">
        <v>0</v>
      </c>
      <c r="P15" s="138">
        <v>0</v>
      </c>
      <c r="Q15" s="138">
        <v>0</v>
      </c>
      <c r="R15" s="138">
        <v>0</v>
      </c>
      <c r="S15" s="138">
        <v>0</v>
      </c>
      <c r="T15" s="138">
        <v>0</v>
      </c>
    </row>
    <row r="16" spans="1:20">
      <c r="A16" s="39">
        <v>12</v>
      </c>
      <c r="B16" s="144" t="s">
        <v>176</v>
      </c>
      <c r="C16" s="145"/>
      <c r="D16" s="141">
        <v>0</v>
      </c>
      <c r="E16" s="141">
        <v>0</v>
      </c>
      <c r="F16" s="141">
        <v>582.82000000000005</v>
      </c>
      <c r="G16" s="137">
        <v>0</v>
      </c>
      <c r="H16" s="137">
        <v>0</v>
      </c>
      <c r="I16" s="36">
        <v>0</v>
      </c>
      <c r="J16" s="36">
        <v>0</v>
      </c>
      <c r="K16" s="37">
        <v>0</v>
      </c>
      <c r="L16" s="138">
        <v>0</v>
      </c>
      <c r="M16" s="138">
        <v>0</v>
      </c>
      <c r="N16" s="138">
        <v>0</v>
      </c>
      <c r="O16" s="138">
        <v>0</v>
      </c>
      <c r="P16" s="138">
        <v>0</v>
      </c>
      <c r="Q16" s="138">
        <v>0</v>
      </c>
      <c r="R16" s="138">
        <v>0</v>
      </c>
      <c r="S16" s="138">
        <v>0</v>
      </c>
      <c r="T16" s="138">
        <v>0</v>
      </c>
    </row>
    <row r="17" spans="1:20">
      <c r="A17" s="39">
        <v>13</v>
      </c>
      <c r="B17" s="144" t="s">
        <v>177</v>
      </c>
      <c r="C17" s="145"/>
      <c r="D17" s="141">
        <v>44</v>
      </c>
      <c r="E17" s="141">
        <v>0</v>
      </c>
      <c r="F17" s="141">
        <v>626.82000000000005</v>
      </c>
      <c r="G17" s="137">
        <v>0</v>
      </c>
      <c r="H17" s="137">
        <v>0</v>
      </c>
      <c r="I17" s="36">
        <v>0</v>
      </c>
      <c r="J17" s="36">
        <v>0</v>
      </c>
      <c r="K17" s="37">
        <v>0</v>
      </c>
      <c r="L17" s="138">
        <v>0</v>
      </c>
      <c r="M17" s="138">
        <v>0</v>
      </c>
      <c r="N17" s="138">
        <v>0</v>
      </c>
      <c r="O17" s="138">
        <v>0</v>
      </c>
      <c r="P17" s="138">
        <v>0</v>
      </c>
      <c r="Q17" s="138">
        <v>0</v>
      </c>
      <c r="R17" s="138">
        <v>0</v>
      </c>
      <c r="S17" s="138">
        <v>0</v>
      </c>
      <c r="T17" s="138">
        <v>0</v>
      </c>
    </row>
    <row r="18" spans="1:20">
      <c r="A18" s="39">
        <v>14</v>
      </c>
      <c r="B18" s="144" t="s">
        <v>178</v>
      </c>
      <c r="C18" s="145"/>
      <c r="D18" s="141">
        <v>154</v>
      </c>
      <c r="E18" s="141">
        <v>0</v>
      </c>
      <c r="F18" s="141">
        <v>780.82</v>
      </c>
      <c r="G18" s="137">
        <v>0</v>
      </c>
      <c r="H18" s="137">
        <v>0</v>
      </c>
      <c r="I18" s="36">
        <v>0</v>
      </c>
      <c r="J18" s="36">
        <v>0</v>
      </c>
      <c r="K18" s="37">
        <v>0</v>
      </c>
      <c r="L18" s="138">
        <v>0</v>
      </c>
      <c r="M18" s="138">
        <v>0</v>
      </c>
      <c r="N18" s="138">
        <v>0</v>
      </c>
      <c r="O18" s="138">
        <v>0</v>
      </c>
      <c r="P18" s="138">
        <v>0</v>
      </c>
      <c r="Q18" s="138">
        <v>0</v>
      </c>
      <c r="R18" s="138">
        <v>0</v>
      </c>
      <c r="S18" s="138">
        <v>0</v>
      </c>
      <c r="T18" s="138">
        <v>0</v>
      </c>
    </row>
    <row r="19" spans="1:20">
      <c r="A19" s="39">
        <v>15</v>
      </c>
      <c r="B19" s="144" t="s">
        <v>179</v>
      </c>
      <c r="C19" s="145"/>
      <c r="D19" s="141">
        <v>154</v>
      </c>
      <c r="E19" s="141">
        <v>0</v>
      </c>
      <c r="F19" s="141">
        <v>934.82</v>
      </c>
      <c r="G19" s="137">
        <v>0</v>
      </c>
      <c r="H19" s="137">
        <v>0</v>
      </c>
      <c r="I19" s="36">
        <v>0</v>
      </c>
      <c r="J19" s="36">
        <v>0</v>
      </c>
      <c r="K19" s="37">
        <v>0</v>
      </c>
      <c r="L19" s="138">
        <v>0</v>
      </c>
      <c r="M19" s="138">
        <v>0</v>
      </c>
      <c r="N19" s="138">
        <v>0</v>
      </c>
      <c r="O19" s="138">
        <v>0</v>
      </c>
      <c r="P19" s="138">
        <v>0</v>
      </c>
      <c r="Q19" s="138">
        <v>0</v>
      </c>
      <c r="R19" s="138">
        <v>0</v>
      </c>
      <c r="S19" s="138">
        <v>0</v>
      </c>
      <c r="T19" s="138">
        <v>0</v>
      </c>
    </row>
    <row r="20" spans="1:20">
      <c r="A20" s="39">
        <v>16</v>
      </c>
      <c r="B20" s="144" t="s">
        <v>180</v>
      </c>
      <c r="C20" s="145"/>
      <c r="D20" s="141">
        <v>0</v>
      </c>
      <c r="E20" s="141">
        <v>44</v>
      </c>
      <c r="F20" s="141">
        <v>890.82</v>
      </c>
      <c r="G20" s="137">
        <v>0</v>
      </c>
      <c r="H20" s="137">
        <v>0</v>
      </c>
      <c r="I20" s="36">
        <v>0</v>
      </c>
      <c r="J20" s="36">
        <v>0</v>
      </c>
      <c r="K20" s="37">
        <v>0</v>
      </c>
      <c r="L20" s="138">
        <v>0</v>
      </c>
      <c r="M20" s="138">
        <v>0</v>
      </c>
      <c r="N20" s="138">
        <v>0</v>
      </c>
      <c r="O20" s="138">
        <v>0</v>
      </c>
      <c r="P20" s="138">
        <v>0</v>
      </c>
      <c r="Q20" s="138">
        <v>0</v>
      </c>
      <c r="R20" s="138">
        <v>0</v>
      </c>
      <c r="S20" s="138">
        <v>0</v>
      </c>
      <c r="T20" s="138">
        <v>0</v>
      </c>
    </row>
    <row r="21" spans="1:20">
      <c r="A21" s="39">
        <v>17</v>
      </c>
      <c r="B21" s="144" t="s">
        <v>181</v>
      </c>
      <c r="C21" s="145"/>
      <c r="D21" s="141">
        <v>0</v>
      </c>
      <c r="E21" s="141">
        <v>0</v>
      </c>
      <c r="F21" s="141">
        <v>890.82</v>
      </c>
      <c r="G21" s="137">
        <v>0</v>
      </c>
      <c r="H21" s="137">
        <v>0</v>
      </c>
      <c r="I21" s="36">
        <v>0</v>
      </c>
      <c r="J21" s="36">
        <v>0</v>
      </c>
      <c r="K21" s="37">
        <v>0</v>
      </c>
      <c r="L21" s="138">
        <v>0</v>
      </c>
      <c r="M21" s="138">
        <v>0</v>
      </c>
      <c r="N21" s="138">
        <v>0</v>
      </c>
      <c r="O21" s="138">
        <v>0</v>
      </c>
      <c r="P21" s="138">
        <v>0</v>
      </c>
      <c r="Q21" s="138">
        <v>0</v>
      </c>
      <c r="R21" s="138">
        <v>0</v>
      </c>
      <c r="S21" s="138">
        <v>0</v>
      </c>
      <c r="T21" s="138">
        <v>0</v>
      </c>
    </row>
    <row r="22" spans="1:20">
      <c r="A22" s="39">
        <v>18</v>
      </c>
      <c r="B22" s="144" t="s">
        <v>182</v>
      </c>
      <c r="C22" s="145"/>
      <c r="D22" s="141">
        <v>0</v>
      </c>
      <c r="E22" s="141">
        <v>0</v>
      </c>
      <c r="F22" s="141">
        <v>890.82</v>
      </c>
      <c r="G22" s="137">
        <v>0</v>
      </c>
      <c r="H22" s="137">
        <v>0</v>
      </c>
      <c r="I22" s="36">
        <v>0</v>
      </c>
      <c r="J22" s="36">
        <v>0</v>
      </c>
      <c r="K22" s="37">
        <v>0</v>
      </c>
      <c r="L22" s="138">
        <v>0</v>
      </c>
      <c r="M22" s="138">
        <v>0</v>
      </c>
      <c r="N22" s="138">
        <v>0</v>
      </c>
      <c r="O22" s="138">
        <v>0</v>
      </c>
      <c r="P22" s="138">
        <v>0</v>
      </c>
      <c r="Q22" s="138">
        <v>0</v>
      </c>
      <c r="R22" s="138">
        <v>0</v>
      </c>
      <c r="S22" s="138">
        <v>0</v>
      </c>
      <c r="T22" s="138">
        <v>0</v>
      </c>
    </row>
    <row r="23" spans="1:20">
      <c r="A23" s="39">
        <v>19</v>
      </c>
      <c r="B23" s="144" t="s">
        <v>183</v>
      </c>
      <c r="C23" s="145"/>
      <c r="D23" s="141">
        <v>0</v>
      </c>
      <c r="E23" s="141">
        <v>0</v>
      </c>
      <c r="F23" s="141">
        <v>890.82</v>
      </c>
      <c r="G23" s="137">
        <v>0</v>
      </c>
      <c r="H23" s="137">
        <v>0</v>
      </c>
      <c r="I23" s="36">
        <v>0</v>
      </c>
      <c r="J23" s="36">
        <v>0</v>
      </c>
      <c r="K23" s="37">
        <v>0</v>
      </c>
      <c r="L23" s="138">
        <v>0</v>
      </c>
      <c r="M23" s="138">
        <v>0</v>
      </c>
      <c r="N23" s="138">
        <v>0</v>
      </c>
      <c r="O23" s="138">
        <v>0</v>
      </c>
      <c r="P23" s="138">
        <v>0</v>
      </c>
      <c r="Q23" s="138">
        <v>0</v>
      </c>
      <c r="R23" s="138">
        <v>0</v>
      </c>
      <c r="S23" s="138">
        <v>0</v>
      </c>
      <c r="T23" s="138">
        <v>0</v>
      </c>
    </row>
    <row r="24" spans="1:20">
      <c r="A24" s="39">
        <v>20</v>
      </c>
      <c r="B24" s="144" t="s">
        <v>184</v>
      </c>
      <c r="C24" s="145"/>
      <c r="D24" s="141">
        <v>0</v>
      </c>
      <c r="E24" s="141">
        <v>44</v>
      </c>
      <c r="F24" s="141">
        <v>846.82</v>
      </c>
      <c r="G24" s="137">
        <v>0</v>
      </c>
      <c r="H24" s="137">
        <v>0</v>
      </c>
      <c r="I24" s="36">
        <v>0</v>
      </c>
      <c r="J24" s="36">
        <v>0</v>
      </c>
      <c r="K24" s="37">
        <v>0</v>
      </c>
      <c r="L24" s="138">
        <v>0</v>
      </c>
      <c r="M24" s="138">
        <v>0</v>
      </c>
      <c r="N24" s="138">
        <v>0</v>
      </c>
      <c r="O24" s="138">
        <v>0</v>
      </c>
      <c r="P24" s="138">
        <v>0</v>
      </c>
      <c r="Q24" s="138">
        <v>0</v>
      </c>
      <c r="R24" s="138">
        <v>0</v>
      </c>
      <c r="S24" s="138">
        <v>0</v>
      </c>
      <c r="T24" s="138">
        <v>0</v>
      </c>
    </row>
    <row r="25" spans="1:20">
      <c r="A25" s="39">
        <v>21</v>
      </c>
      <c r="B25" s="144" t="s">
        <v>185</v>
      </c>
      <c r="C25" s="145"/>
      <c r="D25" s="141">
        <v>0</v>
      </c>
      <c r="E25" s="141">
        <v>22</v>
      </c>
      <c r="F25" s="141">
        <v>824.82</v>
      </c>
      <c r="G25" s="137">
        <v>0</v>
      </c>
      <c r="H25" s="137">
        <v>0</v>
      </c>
      <c r="I25" s="36">
        <v>0</v>
      </c>
      <c r="J25" s="36">
        <v>0</v>
      </c>
      <c r="K25" s="37">
        <v>0</v>
      </c>
      <c r="L25" s="138">
        <v>0</v>
      </c>
      <c r="M25" s="138">
        <v>0</v>
      </c>
      <c r="N25" s="138">
        <v>0</v>
      </c>
      <c r="O25" s="138">
        <v>0</v>
      </c>
      <c r="P25" s="138">
        <v>0</v>
      </c>
      <c r="Q25" s="138">
        <v>0</v>
      </c>
      <c r="R25" s="138">
        <v>0</v>
      </c>
      <c r="S25" s="138">
        <v>0</v>
      </c>
      <c r="T25" s="138">
        <v>0</v>
      </c>
    </row>
    <row r="26" spans="1:20">
      <c r="A26" s="39">
        <v>22</v>
      </c>
      <c r="B26" s="144" t="s">
        <v>186</v>
      </c>
      <c r="C26" s="145"/>
      <c r="D26" s="141">
        <v>0</v>
      </c>
      <c r="E26" s="141">
        <v>44</v>
      </c>
      <c r="F26" s="141">
        <v>780.82</v>
      </c>
      <c r="G26" s="137">
        <v>0</v>
      </c>
      <c r="H26" s="137">
        <v>0</v>
      </c>
      <c r="I26" s="36">
        <v>0</v>
      </c>
      <c r="J26" s="36">
        <v>0</v>
      </c>
      <c r="K26" s="37">
        <v>0</v>
      </c>
      <c r="L26" s="138">
        <v>0</v>
      </c>
      <c r="M26" s="138">
        <v>0</v>
      </c>
      <c r="N26" s="138">
        <v>0</v>
      </c>
      <c r="O26" s="138">
        <v>0</v>
      </c>
      <c r="P26" s="138">
        <v>0</v>
      </c>
      <c r="Q26" s="138">
        <v>0</v>
      </c>
      <c r="R26" s="138">
        <v>0</v>
      </c>
      <c r="S26" s="138">
        <v>0</v>
      </c>
      <c r="T26" s="138">
        <v>0</v>
      </c>
    </row>
    <row r="27" spans="1:20">
      <c r="A27" s="39">
        <v>23</v>
      </c>
      <c r="B27" s="144" t="s">
        <v>187</v>
      </c>
      <c r="C27" s="145"/>
      <c r="D27" s="141">
        <v>0</v>
      </c>
      <c r="E27" s="141">
        <v>154</v>
      </c>
      <c r="F27" s="141">
        <v>626.82000000000005</v>
      </c>
      <c r="G27" s="137">
        <v>0</v>
      </c>
      <c r="H27" s="137">
        <v>0</v>
      </c>
      <c r="I27" s="36">
        <v>0</v>
      </c>
      <c r="J27" s="36">
        <v>0</v>
      </c>
      <c r="K27" s="37">
        <v>0</v>
      </c>
      <c r="L27" s="138">
        <v>0</v>
      </c>
      <c r="M27" s="138">
        <v>0</v>
      </c>
      <c r="N27" s="138">
        <v>0</v>
      </c>
      <c r="O27" s="138">
        <v>0</v>
      </c>
      <c r="P27" s="138">
        <v>0</v>
      </c>
      <c r="Q27" s="138">
        <v>0</v>
      </c>
      <c r="R27" s="138">
        <v>0</v>
      </c>
      <c r="S27" s="138">
        <v>0</v>
      </c>
      <c r="T27" s="138">
        <v>0</v>
      </c>
    </row>
    <row r="28" spans="1:20">
      <c r="A28" s="39">
        <v>24</v>
      </c>
      <c r="B28" s="144" t="s">
        <v>188</v>
      </c>
      <c r="C28" s="145"/>
      <c r="D28" s="141">
        <v>0</v>
      </c>
      <c r="E28" s="141">
        <v>88</v>
      </c>
      <c r="F28" s="141">
        <v>538.82000000000005</v>
      </c>
      <c r="G28" s="137">
        <v>0</v>
      </c>
      <c r="H28" s="137">
        <v>0</v>
      </c>
      <c r="I28" s="36">
        <v>0</v>
      </c>
      <c r="J28" s="36">
        <v>0</v>
      </c>
      <c r="K28" s="37">
        <v>0</v>
      </c>
      <c r="L28" s="138">
        <v>0</v>
      </c>
      <c r="M28" s="138">
        <v>0</v>
      </c>
      <c r="N28" s="138">
        <v>0</v>
      </c>
      <c r="O28" s="138">
        <v>0</v>
      </c>
      <c r="P28" s="138">
        <v>0</v>
      </c>
      <c r="Q28" s="138">
        <v>0</v>
      </c>
      <c r="R28" s="138">
        <v>0</v>
      </c>
      <c r="S28" s="138">
        <v>0</v>
      </c>
      <c r="T28" s="138">
        <v>0</v>
      </c>
    </row>
    <row r="29" spans="1:20">
      <c r="A29" s="39">
        <v>25</v>
      </c>
      <c r="B29" s="144" t="s">
        <v>189</v>
      </c>
      <c r="C29" s="145"/>
      <c r="D29" s="141">
        <v>0</v>
      </c>
      <c r="E29" s="141">
        <v>44</v>
      </c>
      <c r="F29" s="141">
        <v>494.82</v>
      </c>
      <c r="G29" s="137">
        <v>0</v>
      </c>
      <c r="H29" s="137">
        <v>0</v>
      </c>
      <c r="I29" s="36">
        <v>0</v>
      </c>
      <c r="J29" s="36">
        <v>0</v>
      </c>
      <c r="K29" s="37">
        <v>0</v>
      </c>
      <c r="L29" s="138">
        <v>0</v>
      </c>
      <c r="M29" s="138">
        <v>0</v>
      </c>
      <c r="N29" s="138">
        <v>0</v>
      </c>
      <c r="O29" s="138">
        <v>0</v>
      </c>
      <c r="P29" s="138">
        <v>0</v>
      </c>
      <c r="Q29" s="138">
        <v>0</v>
      </c>
      <c r="R29" s="138">
        <v>0</v>
      </c>
      <c r="S29" s="138">
        <v>0</v>
      </c>
      <c r="T29" s="138">
        <v>0</v>
      </c>
    </row>
    <row r="30" spans="1:20">
      <c r="A30" s="39">
        <v>26</v>
      </c>
      <c r="B30" s="144" t="s">
        <v>190</v>
      </c>
      <c r="C30" s="145"/>
      <c r="D30" s="141">
        <v>22</v>
      </c>
      <c r="E30" s="141">
        <v>0</v>
      </c>
      <c r="F30" s="141">
        <v>516.82000000000005</v>
      </c>
      <c r="G30" s="137">
        <v>0</v>
      </c>
      <c r="H30" s="137">
        <v>0</v>
      </c>
      <c r="I30" s="36">
        <v>0</v>
      </c>
      <c r="J30" s="36">
        <v>0</v>
      </c>
      <c r="K30" s="37">
        <v>0</v>
      </c>
      <c r="L30" s="138">
        <v>0</v>
      </c>
      <c r="M30" s="138">
        <v>0</v>
      </c>
      <c r="N30" s="138">
        <v>0</v>
      </c>
      <c r="O30" s="138">
        <v>0</v>
      </c>
      <c r="P30" s="138">
        <v>0</v>
      </c>
      <c r="Q30" s="138">
        <v>0</v>
      </c>
      <c r="R30" s="138">
        <v>0</v>
      </c>
      <c r="S30" s="138">
        <v>0</v>
      </c>
      <c r="T30" s="138">
        <v>0</v>
      </c>
    </row>
    <row r="31" spans="1:20">
      <c r="A31" s="39">
        <v>27</v>
      </c>
      <c r="B31" s="144" t="s">
        <v>191</v>
      </c>
      <c r="C31" s="145"/>
      <c r="D31" s="141">
        <v>0</v>
      </c>
      <c r="E31" s="141">
        <v>55</v>
      </c>
      <c r="F31" s="141">
        <v>461.82</v>
      </c>
      <c r="G31" s="137">
        <v>0</v>
      </c>
      <c r="H31" s="137">
        <v>0</v>
      </c>
      <c r="I31" s="36">
        <v>0</v>
      </c>
      <c r="J31" s="36">
        <v>0</v>
      </c>
      <c r="K31" s="37">
        <v>0</v>
      </c>
      <c r="L31" s="138">
        <v>0</v>
      </c>
      <c r="M31" s="138">
        <v>0</v>
      </c>
      <c r="N31" s="138">
        <v>0</v>
      </c>
      <c r="O31" s="138">
        <v>0</v>
      </c>
      <c r="P31" s="138">
        <v>0</v>
      </c>
      <c r="Q31" s="138">
        <v>0</v>
      </c>
      <c r="R31" s="138">
        <v>0</v>
      </c>
      <c r="S31" s="138">
        <v>0</v>
      </c>
      <c r="T31" s="138">
        <v>0</v>
      </c>
    </row>
    <row r="32" spans="1:20">
      <c r="A32" s="39">
        <v>28</v>
      </c>
      <c r="B32" s="144" t="s">
        <v>192</v>
      </c>
      <c r="C32" s="145"/>
      <c r="D32" s="141">
        <v>44</v>
      </c>
      <c r="E32" s="141">
        <v>0</v>
      </c>
      <c r="F32" s="141">
        <v>505.82</v>
      </c>
      <c r="G32" s="137">
        <v>0</v>
      </c>
      <c r="H32" s="137">
        <v>0</v>
      </c>
      <c r="I32" s="36">
        <v>0</v>
      </c>
      <c r="J32" s="36">
        <v>0</v>
      </c>
      <c r="K32" s="37">
        <v>0</v>
      </c>
      <c r="L32" s="138">
        <v>0</v>
      </c>
      <c r="M32" s="138">
        <v>0</v>
      </c>
      <c r="N32" s="138">
        <v>0</v>
      </c>
      <c r="O32" s="138">
        <v>0</v>
      </c>
      <c r="P32" s="138">
        <v>0</v>
      </c>
      <c r="Q32" s="138">
        <v>0</v>
      </c>
      <c r="R32" s="138">
        <v>0</v>
      </c>
      <c r="S32" s="138">
        <v>0</v>
      </c>
      <c r="T32" s="138">
        <v>0</v>
      </c>
    </row>
    <row r="33" spans="1:20">
      <c r="A33" s="39">
        <v>29</v>
      </c>
      <c r="B33" s="144" t="s">
        <v>193</v>
      </c>
      <c r="C33" s="145"/>
      <c r="D33" s="141">
        <v>0</v>
      </c>
      <c r="E33" s="141">
        <v>24.25</v>
      </c>
      <c r="F33" s="141">
        <v>481.57</v>
      </c>
      <c r="G33" s="137">
        <v>0</v>
      </c>
      <c r="H33" s="137">
        <v>0</v>
      </c>
      <c r="I33" s="36">
        <v>0</v>
      </c>
      <c r="J33" s="36">
        <v>0</v>
      </c>
      <c r="K33" s="37">
        <v>0</v>
      </c>
      <c r="L33" s="138">
        <v>0</v>
      </c>
      <c r="M33" s="138">
        <v>0</v>
      </c>
      <c r="N33" s="138">
        <v>0</v>
      </c>
      <c r="O33" s="138">
        <v>0</v>
      </c>
      <c r="P33" s="138">
        <v>0</v>
      </c>
      <c r="Q33" s="138">
        <v>0</v>
      </c>
      <c r="R33" s="138">
        <v>0</v>
      </c>
      <c r="S33" s="138">
        <v>0</v>
      </c>
      <c r="T33" s="138">
        <v>0</v>
      </c>
    </row>
    <row r="34" spans="1:20">
      <c r="A34" s="39">
        <v>30</v>
      </c>
      <c r="B34" s="144" t="s">
        <v>194</v>
      </c>
      <c r="C34" s="145"/>
      <c r="D34" s="141">
        <v>198</v>
      </c>
      <c r="E34" s="141">
        <v>22</v>
      </c>
      <c r="F34" s="141">
        <v>657.57</v>
      </c>
      <c r="G34" s="137">
        <v>0</v>
      </c>
      <c r="H34" s="137">
        <v>0</v>
      </c>
      <c r="I34" s="36">
        <v>0</v>
      </c>
      <c r="J34" s="36">
        <v>0</v>
      </c>
      <c r="K34" s="37">
        <v>0</v>
      </c>
      <c r="L34" s="138">
        <v>0</v>
      </c>
      <c r="M34" s="138">
        <v>0</v>
      </c>
      <c r="N34" s="138">
        <v>0</v>
      </c>
      <c r="O34" s="138">
        <v>0</v>
      </c>
      <c r="P34" s="138">
        <v>0</v>
      </c>
      <c r="Q34" s="138">
        <v>0</v>
      </c>
      <c r="R34" s="138">
        <v>0</v>
      </c>
      <c r="S34" s="138">
        <v>0</v>
      </c>
      <c r="T34" s="138">
        <v>0</v>
      </c>
    </row>
    <row r="35" spans="1:20">
      <c r="A35" s="39">
        <v>31</v>
      </c>
      <c r="B35" s="144"/>
      <c r="C35" s="145"/>
      <c r="D35" s="141">
        <v>0</v>
      </c>
      <c r="E35" s="141">
        <v>0</v>
      </c>
      <c r="F35" s="141">
        <v>0</v>
      </c>
      <c r="G35" s="137">
        <v>0</v>
      </c>
      <c r="H35" s="137">
        <v>0</v>
      </c>
      <c r="I35" s="36">
        <v>0</v>
      </c>
      <c r="J35" s="36">
        <v>0</v>
      </c>
      <c r="K35" s="37">
        <v>0</v>
      </c>
      <c r="L35" s="138">
        <v>0</v>
      </c>
      <c r="M35" s="138">
        <v>0</v>
      </c>
      <c r="N35" s="138">
        <v>0</v>
      </c>
      <c r="O35" s="138">
        <v>0</v>
      </c>
      <c r="P35" s="138">
        <v>0</v>
      </c>
      <c r="Q35" s="138">
        <v>0</v>
      </c>
      <c r="R35" s="138">
        <v>0</v>
      </c>
      <c r="S35" s="138">
        <v>0</v>
      </c>
      <c r="T35" s="138">
        <v>0</v>
      </c>
    </row>
    <row r="36" spans="1:20">
      <c r="D36" s="43">
        <v>616</v>
      </c>
      <c r="E36" s="43">
        <v>590.75</v>
      </c>
      <c r="F36" s="43">
        <v>20081.599999999995</v>
      </c>
      <c r="G36" s="43">
        <v>0</v>
      </c>
      <c r="H36" s="43">
        <v>0</v>
      </c>
      <c r="I36" s="43">
        <v>0</v>
      </c>
      <c r="J36" s="43">
        <v>0</v>
      </c>
      <c r="K36" s="43">
        <v>0</v>
      </c>
      <c r="L36" s="139">
        <v>0</v>
      </c>
      <c r="M36" s="139">
        <v>63831.39</v>
      </c>
      <c r="N36" s="139">
        <v>55094.48</v>
      </c>
      <c r="O36" s="139">
        <v>549408.56000000006</v>
      </c>
      <c r="P36" s="139">
        <v>0</v>
      </c>
      <c r="Q36" s="139">
        <v>0</v>
      </c>
      <c r="R36" s="139">
        <v>0</v>
      </c>
      <c r="S36" s="139">
        <v>0</v>
      </c>
      <c r="T36" s="139">
        <v>668334.43000000005</v>
      </c>
    </row>
    <row r="37" spans="1:20">
      <c r="R37" s="46"/>
      <c r="S37" s="46"/>
      <c r="T37" s="140">
        <v>815368</v>
      </c>
    </row>
  </sheetData>
  <mergeCells count="50"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AEFE9-BF02-4523-9EC7-5F12E9D89EC1}">
  <sheetPr>
    <pageSetUpPr fitToPage="1"/>
  </sheetPr>
  <dimension ref="A1:T37"/>
  <sheetViews>
    <sheetView topLeftCell="D1" workbookViewId="0">
      <selection activeCell="I5" sqref="I5:K35"/>
    </sheetView>
  </sheetViews>
  <sheetFormatPr defaultRowHeight="15"/>
  <cols>
    <col min="1" max="3" width="9.140625" style="28"/>
    <col min="4" max="4" width="11.7109375" style="28" customWidth="1"/>
    <col min="5" max="5" width="12.140625" style="28" customWidth="1"/>
    <col min="6" max="6" width="13.28515625" style="28" customWidth="1"/>
    <col min="7" max="7" width="11.42578125" style="28" customWidth="1"/>
    <col min="8" max="8" width="10.42578125" style="28" customWidth="1"/>
    <col min="9" max="9" width="10.5703125" style="28" bestFit="1" customWidth="1"/>
    <col min="10" max="10" width="9.42578125" style="28" bestFit="1" customWidth="1"/>
    <col min="11" max="12" width="9.140625" style="28"/>
    <col min="13" max="13" width="15.140625" style="28" customWidth="1"/>
    <col min="14" max="14" width="13.5703125" style="28" customWidth="1"/>
    <col min="15" max="15" width="14.5703125" style="28" customWidth="1"/>
    <col min="16" max="16" width="14.5703125" style="28" bestFit="1" customWidth="1"/>
    <col min="17" max="17" width="15" style="28" customWidth="1"/>
    <col min="18" max="18" width="13.28515625" style="28" customWidth="1"/>
    <col min="19" max="19" width="11.7109375" style="28" customWidth="1"/>
    <col min="20" max="20" width="24.28515625" style="28" customWidth="1"/>
    <col min="21" max="16384" width="9.140625" style="28"/>
  </cols>
  <sheetData>
    <row r="1" spans="1:20">
      <c r="I1" s="29"/>
    </row>
    <row r="2" spans="1:20" ht="28.9" customHeight="1">
      <c r="A2" s="149" t="s">
        <v>201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</row>
    <row r="3" spans="1:20" ht="28.9" customHeight="1">
      <c r="A3" s="146" t="s">
        <v>0</v>
      </c>
      <c r="B3" s="150" t="s">
        <v>1</v>
      </c>
      <c r="C3" s="151"/>
      <c r="D3" s="146" t="s">
        <v>2</v>
      </c>
      <c r="E3" s="146" t="s">
        <v>3</v>
      </c>
      <c r="F3" s="30" t="s">
        <v>4</v>
      </c>
      <c r="G3" s="146" t="s">
        <v>156</v>
      </c>
      <c r="H3" s="146" t="s">
        <v>157</v>
      </c>
      <c r="I3" s="146" t="s">
        <v>7</v>
      </c>
      <c r="J3" s="146" t="s">
        <v>8</v>
      </c>
      <c r="K3" s="146" t="s">
        <v>158</v>
      </c>
      <c r="L3" s="146" t="s">
        <v>159</v>
      </c>
      <c r="M3" s="146" t="s">
        <v>160</v>
      </c>
      <c r="N3" s="146" t="s">
        <v>161</v>
      </c>
      <c r="O3" s="146" t="s">
        <v>162</v>
      </c>
      <c r="P3" s="146" t="s">
        <v>163</v>
      </c>
      <c r="Q3" s="146" t="s">
        <v>164</v>
      </c>
      <c r="R3" s="146" t="s">
        <v>16</v>
      </c>
      <c r="S3" s="146" t="s">
        <v>17</v>
      </c>
      <c r="T3" s="146" t="s">
        <v>18</v>
      </c>
    </row>
    <row r="4" spans="1:20" ht="27" customHeight="1">
      <c r="A4" s="147"/>
      <c r="B4" s="152"/>
      <c r="C4" s="153"/>
      <c r="D4" s="147"/>
      <c r="E4" s="147"/>
      <c r="F4" s="31"/>
      <c r="G4" s="147"/>
      <c r="H4" s="147"/>
      <c r="I4" s="147"/>
      <c r="J4" s="147"/>
      <c r="K4" s="148"/>
      <c r="L4" s="148"/>
      <c r="M4" s="147"/>
      <c r="N4" s="147"/>
      <c r="O4" s="147"/>
      <c r="P4" s="147"/>
      <c r="Q4" s="147"/>
      <c r="R4" s="147"/>
      <c r="S4" s="147"/>
      <c r="T4" s="147"/>
    </row>
    <row r="5" spans="1:20">
      <c r="A5" s="39">
        <v>1</v>
      </c>
      <c r="B5" s="144" t="s">
        <v>165</v>
      </c>
      <c r="C5" s="145"/>
      <c r="D5" s="141">
        <v>0</v>
      </c>
      <c r="E5" s="141">
        <v>0</v>
      </c>
      <c r="F5" s="141">
        <v>132</v>
      </c>
      <c r="G5" s="137">
        <v>0</v>
      </c>
      <c r="H5" s="137">
        <v>0</v>
      </c>
      <c r="I5" s="36">
        <v>0</v>
      </c>
      <c r="J5" s="36">
        <v>0</v>
      </c>
      <c r="K5" s="37">
        <v>0</v>
      </c>
      <c r="L5" s="138">
        <v>0</v>
      </c>
      <c r="M5" s="138">
        <v>0</v>
      </c>
      <c r="N5" s="138">
        <v>0</v>
      </c>
      <c r="O5" s="138">
        <v>0</v>
      </c>
      <c r="P5" s="138">
        <v>0</v>
      </c>
      <c r="Q5" s="138">
        <v>0</v>
      </c>
      <c r="R5" s="138">
        <v>0</v>
      </c>
      <c r="S5" s="138">
        <v>0</v>
      </c>
      <c r="T5" s="138">
        <v>0</v>
      </c>
    </row>
    <row r="6" spans="1:20">
      <c r="A6" s="39">
        <v>2</v>
      </c>
      <c r="B6" s="144" t="s">
        <v>166</v>
      </c>
      <c r="C6" s="145"/>
      <c r="D6" s="141">
        <v>0</v>
      </c>
      <c r="E6" s="141">
        <v>66</v>
      </c>
      <c r="F6" s="141">
        <v>66</v>
      </c>
      <c r="G6" s="137">
        <v>0</v>
      </c>
      <c r="H6" s="137">
        <v>0</v>
      </c>
      <c r="I6" s="36">
        <v>0</v>
      </c>
      <c r="J6" s="36">
        <v>0</v>
      </c>
      <c r="K6" s="37">
        <v>0</v>
      </c>
      <c r="L6" s="138">
        <v>0</v>
      </c>
      <c r="M6" s="138">
        <v>0</v>
      </c>
      <c r="N6" s="138">
        <v>0</v>
      </c>
      <c r="O6" s="138">
        <v>0</v>
      </c>
      <c r="P6" s="138">
        <v>0</v>
      </c>
      <c r="Q6" s="138">
        <v>0</v>
      </c>
      <c r="R6" s="138">
        <v>0</v>
      </c>
      <c r="S6" s="138">
        <v>0</v>
      </c>
      <c r="T6" s="138">
        <v>0</v>
      </c>
    </row>
    <row r="7" spans="1:20">
      <c r="A7" s="39">
        <v>3</v>
      </c>
      <c r="B7" s="144" t="s">
        <v>167</v>
      </c>
      <c r="C7" s="145"/>
      <c r="D7" s="141">
        <v>0</v>
      </c>
      <c r="E7" s="141">
        <v>22</v>
      </c>
      <c r="F7" s="141">
        <v>44</v>
      </c>
      <c r="G7" s="137">
        <v>0</v>
      </c>
      <c r="H7" s="137">
        <v>0</v>
      </c>
      <c r="I7" s="36">
        <v>0</v>
      </c>
      <c r="J7" s="36">
        <v>0</v>
      </c>
      <c r="K7" s="37">
        <v>0</v>
      </c>
      <c r="L7" s="138">
        <v>0</v>
      </c>
      <c r="M7" s="138">
        <v>0</v>
      </c>
      <c r="N7" s="138">
        <v>0</v>
      </c>
      <c r="O7" s="138">
        <v>0</v>
      </c>
      <c r="P7" s="138">
        <v>0</v>
      </c>
      <c r="Q7" s="138">
        <v>0</v>
      </c>
      <c r="R7" s="138">
        <v>0</v>
      </c>
      <c r="S7" s="138">
        <v>0</v>
      </c>
      <c r="T7" s="138">
        <v>0</v>
      </c>
    </row>
    <row r="8" spans="1:20">
      <c r="A8" s="39">
        <v>4</v>
      </c>
      <c r="B8" s="144" t="s">
        <v>168</v>
      </c>
      <c r="C8" s="145"/>
      <c r="D8" s="141">
        <v>22</v>
      </c>
      <c r="E8" s="141">
        <v>0</v>
      </c>
      <c r="F8" s="141">
        <v>66</v>
      </c>
      <c r="G8" s="137">
        <v>0</v>
      </c>
      <c r="H8" s="137">
        <v>0</v>
      </c>
      <c r="I8" s="36">
        <v>0</v>
      </c>
      <c r="J8" s="36">
        <v>0</v>
      </c>
      <c r="K8" s="37">
        <v>0</v>
      </c>
      <c r="L8" s="138">
        <v>0</v>
      </c>
      <c r="M8" s="138">
        <v>0</v>
      </c>
      <c r="N8" s="138">
        <v>0</v>
      </c>
      <c r="O8" s="138">
        <v>0</v>
      </c>
      <c r="P8" s="138">
        <v>0</v>
      </c>
      <c r="Q8" s="138">
        <v>0</v>
      </c>
      <c r="R8" s="138">
        <v>0</v>
      </c>
      <c r="S8" s="138">
        <v>0</v>
      </c>
      <c r="T8" s="138">
        <v>0</v>
      </c>
    </row>
    <row r="9" spans="1:20">
      <c r="A9" s="39">
        <v>5</v>
      </c>
      <c r="B9" s="144" t="s">
        <v>169</v>
      </c>
      <c r="C9" s="145"/>
      <c r="D9" s="141">
        <v>0</v>
      </c>
      <c r="E9" s="141">
        <v>0</v>
      </c>
      <c r="F9" s="141">
        <v>66</v>
      </c>
      <c r="G9" s="137">
        <v>0</v>
      </c>
      <c r="H9" s="137">
        <v>0</v>
      </c>
      <c r="I9" s="36">
        <v>0</v>
      </c>
      <c r="J9" s="36">
        <v>0</v>
      </c>
      <c r="K9" s="37">
        <v>0</v>
      </c>
      <c r="L9" s="138">
        <v>0</v>
      </c>
      <c r="M9" s="138">
        <v>0</v>
      </c>
      <c r="N9" s="138">
        <v>0</v>
      </c>
      <c r="O9" s="138">
        <v>0</v>
      </c>
      <c r="P9" s="138">
        <v>0</v>
      </c>
      <c r="Q9" s="138">
        <v>0</v>
      </c>
      <c r="R9" s="138">
        <v>0</v>
      </c>
      <c r="S9" s="138">
        <v>0</v>
      </c>
      <c r="T9" s="138">
        <v>0</v>
      </c>
    </row>
    <row r="10" spans="1:20">
      <c r="A10" s="39">
        <v>6</v>
      </c>
      <c r="B10" s="144" t="s">
        <v>170</v>
      </c>
      <c r="C10" s="145"/>
      <c r="D10" s="141">
        <v>22</v>
      </c>
      <c r="E10" s="141">
        <v>0</v>
      </c>
      <c r="F10" s="141">
        <v>88</v>
      </c>
      <c r="G10" s="137">
        <v>0</v>
      </c>
      <c r="H10" s="137">
        <v>0</v>
      </c>
      <c r="I10" s="36">
        <v>0</v>
      </c>
      <c r="J10" s="36">
        <v>0</v>
      </c>
      <c r="K10" s="37">
        <v>0</v>
      </c>
      <c r="L10" s="138">
        <v>0</v>
      </c>
      <c r="M10" s="138">
        <v>0</v>
      </c>
      <c r="N10" s="138">
        <v>0</v>
      </c>
      <c r="O10" s="138">
        <v>0</v>
      </c>
      <c r="P10" s="138">
        <v>0</v>
      </c>
      <c r="Q10" s="138">
        <v>0</v>
      </c>
      <c r="R10" s="138">
        <v>0</v>
      </c>
      <c r="S10" s="138">
        <v>0</v>
      </c>
      <c r="T10" s="138">
        <v>0</v>
      </c>
    </row>
    <row r="11" spans="1:20">
      <c r="A11" s="39">
        <v>7</v>
      </c>
      <c r="B11" s="144" t="s">
        <v>171</v>
      </c>
      <c r="C11" s="145"/>
      <c r="D11" s="141">
        <v>66</v>
      </c>
      <c r="E11" s="141">
        <v>0</v>
      </c>
      <c r="F11" s="141">
        <v>154</v>
      </c>
      <c r="G11" s="137">
        <v>0</v>
      </c>
      <c r="H11" s="137">
        <v>0</v>
      </c>
      <c r="I11" s="36">
        <v>0</v>
      </c>
      <c r="J11" s="36">
        <v>0</v>
      </c>
      <c r="K11" s="37">
        <v>0</v>
      </c>
      <c r="L11" s="138">
        <v>0</v>
      </c>
      <c r="M11" s="138">
        <v>0</v>
      </c>
      <c r="N11" s="138">
        <v>0</v>
      </c>
      <c r="O11" s="138">
        <v>0</v>
      </c>
      <c r="P11" s="138">
        <v>0</v>
      </c>
      <c r="Q11" s="138">
        <v>0</v>
      </c>
      <c r="R11" s="138">
        <v>0</v>
      </c>
      <c r="S11" s="138">
        <v>0</v>
      </c>
      <c r="T11" s="138">
        <v>0</v>
      </c>
    </row>
    <row r="12" spans="1:20">
      <c r="A12" s="39">
        <v>8</v>
      </c>
      <c r="B12" s="144" t="s">
        <v>172</v>
      </c>
      <c r="C12" s="145"/>
      <c r="D12" s="141">
        <v>22</v>
      </c>
      <c r="E12" s="141">
        <v>0</v>
      </c>
      <c r="F12" s="141">
        <v>176</v>
      </c>
      <c r="G12" s="137">
        <v>0</v>
      </c>
      <c r="H12" s="137">
        <v>0</v>
      </c>
      <c r="I12" s="36">
        <v>0</v>
      </c>
      <c r="J12" s="36">
        <v>0</v>
      </c>
      <c r="K12" s="37">
        <v>0</v>
      </c>
      <c r="L12" s="138">
        <v>0</v>
      </c>
      <c r="M12" s="138">
        <v>0</v>
      </c>
      <c r="N12" s="138">
        <v>0</v>
      </c>
      <c r="O12" s="138">
        <v>0</v>
      </c>
      <c r="P12" s="138">
        <v>0</v>
      </c>
      <c r="Q12" s="138">
        <v>0</v>
      </c>
      <c r="R12" s="138">
        <v>0</v>
      </c>
      <c r="S12" s="138">
        <v>0</v>
      </c>
      <c r="T12" s="138">
        <v>0</v>
      </c>
    </row>
    <row r="13" spans="1:20">
      <c r="A13" s="39">
        <v>9</v>
      </c>
      <c r="B13" s="144" t="s">
        <v>173</v>
      </c>
      <c r="C13" s="145"/>
      <c r="D13" s="141">
        <v>0</v>
      </c>
      <c r="E13" s="141">
        <v>0</v>
      </c>
      <c r="F13" s="141">
        <v>176</v>
      </c>
      <c r="G13" s="137">
        <v>0</v>
      </c>
      <c r="H13" s="137">
        <v>0</v>
      </c>
      <c r="I13" s="36">
        <v>0</v>
      </c>
      <c r="J13" s="36">
        <v>0</v>
      </c>
      <c r="K13" s="37">
        <v>0</v>
      </c>
      <c r="L13" s="138">
        <v>0</v>
      </c>
      <c r="M13" s="138">
        <v>0</v>
      </c>
      <c r="N13" s="138">
        <v>0</v>
      </c>
      <c r="O13" s="138">
        <v>0</v>
      </c>
      <c r="P13" s="138">
        <v>0</v>
      </c>
      <c r="Q13" s="138">
        <v>0</v>
      </c>
      <c r="R13" s="138">
        <v>0</v>
      </c>
      <c r="S13" s="138">
        <v>0</v>
      </c>
      <c r="T13" s="138">
        <v>0</v>
      </c>
    </row>
    <row r="14" spans="1:20">
      <c r="A14" s="39">
        <v>10</v>
      </c>
      <c r="B14" s="144" t="s">
        <v>174</v>
      </c>
      <c r="C14" s="145"/>
      <c r="D14" s="141">
        <v>0</v>
      </c>
      <c r="E14" s="141">
        <v>0</v>
      </c>
      <c r="F14" s="141">
        <v>176</v>
      </c>
      <c r="G14" s="137">
        <v>0</v>
      </c>
      <c r="H14" s="137">
        <v>0</v>
      </c>
      <c r="I14" s="36">
        <v>0</v>
      </c>
      <c r="J14" s="36">
        <v>0</v>
      </c>
      <c r="K14" s="37">
        <v>0</v>
      </c>
      <c r="L14" s="138">
        <v>0</v>
      </c>
      <c r="M14" s="138">
        <v>0</v>
      </c>
      <c r="N14" s="138">
        <v>0</v>
      </c>
      <c r="O14" s="138">
        <v>0</v>
      </c>
      <c r="P14" s="138">
        <v>0</v>
      </c>
      <c r="Q14" s="138">
        <v>0</v>
      </c>
      <c r="R14" s="138">
        <v>0</v>
      </c>
      <c r="S14" s="138">
        <v>0</v>
      </c>
      <c r="T14" s="138">
        <v>0</v>
      </c>
    </row>
    <row r="15" spans="1:20">
      <c r="A15" s="39">
        <v>11</v>
      </c>
      <c r="B15" s="144" t="s">
        <v>175</v>
      </c>
      <c r="C15" s="145"/>
      <c r="D15" s="141">
        <v>0</v>
      </c>
      <c r="E15" s="141">
        <v>0</v>
      </c>
      <c r="F15" s="141">
        <v>176</v>
      </c>
      <c r="G15" s="137">
        <v>0</v>
      </c>
      <c r="H15" s="137">
        <v>0</v>
      </c>
      <c r="I15" s="36">
        <v>0</v>
      </c>
      <c r="J15" s="36">
        <v>0</v>
      </c>
      <c r="K15" s="37">
        <v>0</v>
      </c>
      <c r="L15" s="138">
        <v>0</v>
      </c>
      <c r="M15" s="138">
        <v>0</v>
      </c>
      <c r="N15" s="138">
        <v>0</v>
      </c>
      <c r="O15" s="138">
        <v>0</v>
      </c>
      <c r="P15" s="138">
        <v>0</v>
      </c>
      <c r="Q15" s="138">
        <v>0</v>
      </c>
      <c r="R15" s="138">
        <v>0</v>
      </c>
      <c r="S15" s="138">
        <v>0</v>
      </c>
      <c r="T15" s="138">
        <v>0</v>
      </c>
    </row>
    <row r="16" spans="1:20">
      <c r="A16" s="39">
        <v>12</v>
      </c>
      <c r="B16" s="144" t="s">
        <v>176</v>
      </c>
      <c r="C16" s="145"/>
      <c r="D16" s="141">
        <v>0</v>
      </c>
      <c r="E16" s="141">
        <v>0</v>
      </c>
      <c r="F16" s="141">
        <v>176</v>
      </c>
      <c r="G16" s="137">
        <v>0</v>
      </c>
      <c r="H16" s="137">
        <v>0</v>
      </c>
      <c r="I16" s="36">
        <v>0</v>
      </c>
      <c r="J16" s="36">
        <v>0</v>
      </c>
      <c r="K16" s="37">
        <v>0</v>
      </c>
      <c r="L16" s="138">
        <v>0</v>
      </c>
      <c r="M16" s="138">
        <v>0</v>
      </c>
      <c r="N16" s="138">
        <v>0</v>
      </c>
      <c r="O16" s="138">
        <v>0</v>
      </c>
      <c r="P16" s="138">
        <v>0</v>
      </c>
      <c r="Q16" s="138">
        <v>0</v>
      </c>
      <c r="R16" s="138">
        <v>0</v>
      </c>
      <c r="S16" s="138">
        <v>0</v>
      </c>
      <c r="T16" s="138">
        <v>0</v>
      </c>
    </row>
    <row r="17" spans="1:20">
      <c r="A17" s="39">
        <v>13</v>
      </c>
      <c r="B17" s="144" t="s">
        <v>177</v>
      </c>
      <c r="C17" s="145"/>
      <c r="D17" s="141">
        <v>0</v>
      </c>
      <c r="E17" s="141">
        <v>0</v>
      </c>
      <c r="F17" s="141">
        <v>176</v>
      </c>
      <c r="G17" s="137">
        <v>0</v>
      </c>
      <c r="H17" s="137">
        <v>0</v>
      </c>
      <c r="I17" s="36">
        <v>0</v>
      </c>
      <c r="J17" s="36">
        <v>0</v>
      </c>
      <c r="K17" s="37">
        <v>0</v>
      </c>
      <c r="L17" s="138">
        <v>0</v>
      </c>
      <c r="M17" s="138">
        <v>0</v>
      </c>
      <c r="N17" s="138">
        <v>0</v>
      </c>
      <c r="O17" s="138">
        <v>0</v>
      </c>
      <c r="P17" s="138">
        <v>0</v>
      </c>
      <c r="Q17" s="138">
        <v>0</v>
      </c>
      <c r="R17" s="138">
        <v>0</v>
      </c>
      <c r="S17" s="138">
        <v>0</v>
      </c>
      <c r="T17" s="138">
        <v>0</v>
      </c>
    </row>
    <row r="18" spans="1:20">
      <c r="A18" s="39">
        <v>14</v>
      </c>
      <c r="B18" s="144" t="s">
        <v>178</v>
      </c>
      <c r="C18" s="145"/>
      <c r="D18" s="141">
        <v>44</v>
      </c>
      <c r="E18" s="141">
        <v>0</v>
      </c>
      <c r="F18" s="141">
        <v>220</v>
      </c>
      <c r="G18" s="137">
        <v>0</v>
      </c>
      <c r="H18" s="137">
        <v>0</v>
      </c>
      <c r="I18" s="36">
        <v>0</v>
      </c>
      <c r="J18" s="36">
        <v>0</v>
      </c>
      <c r="K18" s="37">
        <v>0</v>
      </c>
      <c r="L18" s="138">
        <v>0</v>
      </c>
      <c r="M18" s="138">
        <v>0</v>
      </c>
      <c r="N18" s="138">
        <v>0</v>
      </c>
      <c r="O18" s="138">
        <v>0</v>
      </c>
      <c r="P18" s="138">
        <v>0</v>
      </c>
      <c r="Q18" s="138">
        <v>0</v>
      </c>
      <c r="R18" s="138">
        <v>0</v>
      </c>
      <c r="S18" s="138">
        <v>0</v>
      </c>
      <c r="T18" s="138">
        <v>0</v>
      </c>
    </row>
    <row r="19" spans="1:20">
      <c r="A19" s="39">
        <v>15</v>
      </c>
      <c r="B19" s="144" t="s">
        <v>179</v>
      </c>
      <c r="C19" s="145"/>
      <c r="D19" s="141">
        <v>0</v>
      </c>
      <c r="E19" s="141">
        <v>0</v>
      </c>
      <c r="F19" s="141">
        <v>220</v>
      </c>
      <c r="G19" s="137">
        <v>0</v>
      </c>
      <c r="H19" s="137">
        <v>0</v>
      </c>
      <c r="I19" s="36">
        <v>0</v>
      </c>
      <c r="J19" s="36">
        <v>0</v>
      </c>
      <c r="K19" s="37">
        <v>0</v>
      </c>
      <c r="L19" s="138">
        <v>0</v>
      </c>
      <c r="M19" s="138">
        <v>0</v>
      </c>
      <c r="N19" s="138">
        <v>0</v>
      </c>
      <c r="O19" s="138">
        <v>0</v>
      </c>
      <c r="P19" s="138">
        <v>0</v>
      </c>
      <c r="Q19" s="138">
        <v>0</v>
      </c>
      <c r="R19" s="138">
        <v>0</v>
      </c>
      <c r="S19" s="138">
        <v>0</v>
      </c>
      <c r="T19" s="138">
        <v>0</v>
      </c>
    </row>
    <row r="20" spans="1:20">
      <c r="A20" s="39">
        <v>16</v>
      </c>
      <c r="B20" s="144" t="s">
        <v>180</v>
      </c>
      <c r="C20" s="145"/>
      <c r="D20" s="141">
        <v>0</v>
      </c>
      <c r="E20" s="141">
        <v>0</v>
      </c>
      <c r="F20" s="141">
        <v>220</v>
      </c>
      <c r="G20" s="137">
        <v>0</v>
      </c>
      <c r="H20" s="137">
        <v>0</v>
      </c>
      <c r="I20" s="36">
        <v>0</v>
      </c>
      <c r="J20" s="36">
        <v>0</v>
      </c>
      <c r="K20" s="37">
        <v>0</v>
      </c>
      <c r="L20" s="138">
        <v>0</v>
      </c>
      <c r="M20" s="138">
        <v>0</v>
      </c>
      <c r="N20" s="138">
        <v>0</v>
      </c>
      <c r="O20" s="138">
        <v>0</v>
      </c>
      <c r="P20" s="138">
        <v>0</v>
      </c>
      <c r="Q20" s="138">
        <v>0</v>
      </c>
      <c r="R20" s="138">
        <v>0</v>
      </c>
      <c r="S20" s="138">
        <v>0</v>
      </c>
      <c r="T20" s="138">
        <v>0</v>
      </c>
    </row>
    <row r="21" spans="1:20">
      <c r="A21" s="39">
        <v>17</v>
      </c>
      <c r="B21" s="144" t="s">
        <v>181</v>
      </c>
      <c r="C21" s="145"/>
      <c r="D21" s="141">
        <v>0</v>
      </c>
      <c r="E21" s="141">
        <v>0</v>
      </c>
      <c r="F21" s="141">
        <v>220</v>
      </c>
      <c r="G21" s="137">
        <v>0</v>
      </c>
      <c r="H21" s="137">
        <v>0</v>
      </c>
      <c r="I21" s="36">
        <v>0</v>
      </c>
      <c r="J21" s="36">
        <v>0</v>
      </c>
      <c r="K21" s="37">
        <v>0</v>
      </c>
      <c r="L21" s="138">
        <v>0</v>
      </c>
      <c r="M21" s="138">
        <v>0</v>
      </c>
      <c r="N21" s="138">
        <v>0</v>
      </c>
      <c r="O21" s="138">
        <v>0</v>
      </c>
      <c r="P21" s="138">
        <v>0</v>
      </c>
      <c r="Q21" s="138">
        <v>0</v>
      </c>
      <c r="R21" s="138">
        <v>0</v>
      </c>
      <c r="S21" s="138">
        <v>0</v>
      </c>
      <c r="T21" s="138">
        <v>0</v>
      </c>
    </row>
    <row r="22" spans="1:20">
      <c r="A22" s="39">
        <v>18</v>
      </c>
      <c r="B22" s="144" t="s">
        <v>182</v>
      </c>
      <c r="C22" s="145"/>
      <c r="D22" s="141">
        <v>0</v>
      </c>
      <c r="E22" s="141">
        <v>0</v>
      </c>
      <c r="F22" s="141">
        <v>220</v>
      </c>
      <c r="G22" s="137">
        <v>0</v>
      </c>
      <c r="H22" s="137">
        <v>0</v>
      </c>
      <c r="I22" s="36">
        <v>0</v>
      </c>
      <c r="J22" s="36">
        <v>0</v>
      </c>
      <c r="K22" s="37">
        <v>0</v>
      </c>
      <c r="L22" s="138">
        <v>0</v>
      </c>
      <c r="M22" s="138">
        <v>0</v>
      </c>
      <c r="N22" s="138">
        <v>0</v>
      </c>
      <c r="O22" s="138">
        <v>0</v>
      </c>
      <c r="P22" s="138">
        <v>0</v>
      </c>
      <c r="Q22" s="138">
        <v>0</v>
      </c>
      <c r="R22" s="138">
        <v>0</v>
      </c>
      <c r="S22" s="138">
        <v>0</v>
      </c>
      <c r="T22" s="138">
        <v>0</v>
      </c>
    </row>
    <row r="23" spans="1:20">
      <c r="A23" s="39">
        <v>19</v>
      </c>
      <c r="B23" s="144" t="s">
        <v>183</v>
      </c>
      <c r="C23" s="145"/>
      <c r="D23" s="141">
        <v>0</v>
      </c>
      <c r="E23" s="141">
        <v>0</v>
      </c>
      <c r="F23" s="141">
        <v>220</v>
      </c>
      <c r="G23" s="137">
        <v>0</v>
      </c>
      <c r="H23" s="137">
        <v>0</v>
      </c>
      <c r="I23" s="36">
        <v>0</v>
      </c>
      <c r="J23" s="36">
        <v>0</v>
      </c>
      <c r="K23" s="37">
        <v>0</v>
      </c>
      <c r="L23" s="138">
        <v>0</v>
      </c>
      <c r="M23" s="138">
        <v>0</v>
      </c>
      <c r="N23" s="138">
        <v>0</v>
      </c>
      <c r="O23" s="138">
        <v>0</v>
      </c>
      <c r="P23" s="138">
        <v>0</v>
      </c>
      <c r="Q23" s="138">
        <v>0</v>
      </c>
      <c r="R23" s="138">
        <v>0</v>
      </c>
      <c r="S23" s="138">
        <v>0</v>
      </c>
      <c r="T23" s="138">
        <v>0</v>
      </c>
    </row>
    <row r="24" spans="1:20">
      <c r="A24" s="39">
        <v>20</v>
      </c>
      <c r="B24" s="144" t="s">
        <v>184</v>
      </c>
      <c r="C24" s="145"/>
      <c r="D24" s="141">
        <v>0</v>
      </c>
      <c r="E24" s="141">
        <v>0</v>
      </c>
      <c r="F24" s="141">
        <v>220</v>
      </c>
      <c r="G24" s="137">
        <v>0</v>
      </c>
      <c r="H24" s="137">
        <v>0</v>
      </c>
      <c r="I24" s="36">
        <v>0</v>
      </c>
      <c r="J24" s="36">
        <v>0</v>
      </c>
      <c r="K24" s="37">
        <v>0</v>
      </c>
      <c r="L24" s="138">
        <v>0</v>
      </c>
      <c r="M24" s="138">
        <v>0</v>
      </c>
      <c r="N24" s="138">
        <v>0</v>
      </c>
      <c r="O24" s="138">
        <v>0</v>
      </c>
      <c r="P24" s="138">
        <v>0</v>
      </c>
      <c r="Q24" s="138">
        <v>0</v>
      </c>
      <c r="R24" s="138">
        <v>0</v>
      </c>
      <c r="S24" s="138">
        <v>0</v>
      </c>
      <c r="T24" s="138">
        <v>0</v>
      </c>
    </row>
    <row r="25" spans="1:20">
      <c r="A25" s="39">
        <v>21</v>
      </c>
      <c r="B25" s="144" t="s">
        <v>185</v>
      </c>
      <c r="C25" s="145"/>
      <c r="D25" s="141">
        <v>0</v>
      </c>
      <c r="E25" s="141">
        <v>0</v>
      </c>
      <c r="F25" s="141">
        <v>220</v>
      </c>
      <c r="G25" s="137">
        <v>0</v>
      </c>
      <c r="H25" s="137">
        <v>0</v>
      </c>
      <c r="I25" s="36">
        <v>0</v>
      </c>
      <c r="J25" s="36">
        <v>0</v>
      </c>
      <c r="K25" s="37">
        <v>0</v>
      </c>
      <c r="L25" s="138">
        <v>0</v>
      </c>
      <c r="M25" s="138">
        <v>0</v>
      </c>
      <c r="N25" s="138">
        <v>0</v>
      </c>
      <c r="O25" s="138">
        <v>0</v>
      </c>
      <c r="P25" s="138">
        <v>0</v>
      </c>
      <c r="Q25" s="138">
        <v>0</v>
      </c>
      <c r="R25" s="138">
        <v>0</v>
      </c>
      <c r="S25" s="138">
        <v>0</v>
      </c>
      <c r="T25" s="138">
        <v>0</v>
      </c>
    </row>
    <row r="26" spans="1:20">
      <c r="A26" s="39">
        <v>22</v>
      </c>
      <c r="B26" s="144" t="s">
        <v>186</v>
      </c>
      <c r="C26" s="145"/>
      <c r="D26" s="141">
        <v>0</v>
      </c>
      <c r="E26" s="141">
        <v>0</v>
      </c>
      <c r="F26" s="141">
        <v>220</v>
      </c>
      <c r="G26" s="137">
        <v>0</v>
      </c>
      <c r="H26" s="137">
        <v>0</v>
      </c>
      <c r="I26" s="36">
        <v>0</v>
      </c>
      <c r="J26" s="36">
        <v>0</v>
      </c>
      <c r="K26" s="37">
        <v>0</v>
      </c>
      <c r="L26" s="138">
        <v>0</v>
      </c>
      <c r="M26" s="138">
        <v>0</v>
      </c>
      <c r="N26" s="138">
        <v>0</v>
      </c>
      <c r="O26" s="138">
        <v>0</v>
      </c>
      <c r="P26" s="138">
        <v>0</v>
      </c>
      <c r="Q26" s="138">
        <v>0</v>
      </c>
      <c r="R26" s="138">
        <v>0</v>
      </c>
      <c r="S26" s="138">
        <v>0</v>
      </c>
      <c r="T26" s="138">
        <v>0</v>
      </c>
    </row>
    <row r="27" spans="1:20">
      <c r="A27" s="39">
        <v>23</v>
      </c>
      <c r="B27" s="144" t="s">
        <v>187</v>
      </c>
      <c r="C27" s="145"/>
      <c r="D27" s="141">
        <v>0</v>
      </c>
      <c r="E27" s="141">
        <v>66</v>
      </c>
      <c r="F27" s="141">
        <v>154</v>
      </c>
      <c r="G27" s="137">
        <v>0</v>
      </c>
      <c r="H27" s="137">
        <v>0</v>
      </c>
      <c r="I27" s="36">
        <v>0</v>
      </c>
      <c r="J27" s="36">
        <v>0</v>
      </c>
      <c r="K27" s="37">
        <v>0</v>
      </c>
      <c r="L27" s="138">
        <v>0</v>
      </c>
      <c r="M27" s="138">
        <v>0</v>
      </c>
      <c r="N27" s="138">
        <v>0</v>
      </c>
      <c r="O27" s="138">
        <v>0</v>
      </c>
      <c r="P27" s="138">
        <v>0</v>
      </c>
      <c r="Q27" s="138">
        <v>0</v>
      </c>
      <c r="R27" s="138">
        <v>0</v>
      </c>
      <c r="S27" s="138">
        <v>0</v>
      </c>
      <c r="T27" s="138">
        <v>0</v>
      </c>
    </row>
    <row r="28" spans="1:20">
      <c r="A28" s="39">
        <v>24</v>
      </c>
      <c r="B28" s="144" t="s">
        <v>188</v>
      </c>
      <c r="C28" s="145"/>
      <c r="D28" s="141">
        <v>0</v>
      </c>
      <c r="E28" s="141">
        <v>22</v>
      </c>
      <c r="F28" s="141">
        <v>132</v>
      </c>
      <c r="G28" s="137">
        <v>0</v>
      </c>
      <c r="H28" s="137">
        <v>0</v>
      </c>
      <c r="I28" s="36">
        <v>0</v>
      </c>
      <c r="J28" s="36">
        <v>0</v>
      </c>
      <c r="K28" s="37">
        <v>0</v>
      </c>
      <c r="L28" s="138">
        <v>0</v>
      </c>
      <c r="M28" s="138">
        <v>0</v>
      </c>
      <c r="N28" s="138">
        <v>0</v>
      </c>
      <c r="O28" s="138">
        <v>0</v>
      </c>
      <c r="P28" s="138">
        <v>0</v>
      </c>
      <c r="Q28" s="138">
        <v>0</v>
      </c>
      <c r="R28" s="138">
        <v>0</v>
      </c>
      <c r="S28" s="138">
        <v>0</v>
      </c>
      <c r="T28" s="138">
        <v>0</v>
      </c>
    </row>
    <row r="29" spans="1:20">
      <c r="A29" s="39">
        <v>25</v>
      </c>
      <c r="B29" s="144" t="s">
        <v>189</v>
      </c>
      <c r="C29" s="145"/>
      <c r="D29" s="141">
        <v>0</v>
      </c>
      <c r="E29" s="141">
        <v>22</v>
      </c>
      <c r="F29" s="141">
        <v>110</v>
      </c>
      <c r="G29" s="137">
        <v>0</v>
      </c>
      <c r="H29" s="137">
        <v>0</v>
      </c>
      <c r="I29" s="36">
        <v>0</v>
      </c>
      <c r="J29" s="36">
        <v>0</v>
      </c>
      <c r="K29" s="37">
        <v>0</v>
      </c>
      <c r="L29" s="138">
        <v>0</v>
      </c>
      <c r="M29" s="138">
        <v>0</v>
      </c>
      <c r="N29" s="138">
        <v>0</v>
      </c>
      <c r="O29" s="138">
        <v>0</v>
      </c>
      <c r="P29" s="138">
        <v>0</v>
      </c>
      <c r="Q29" s="138">
        <v>0</v>
      </c>
      <c r="R29" s="138">
        <v>0</v>
      </c>
      <c r="S29" s="138">
        <v>0</v>
      </c>
      <c r="T29" s="138">
        <v>0</v>
      </c>
    </row>
    <row r="30" spans="1:20">
      <c r="A30" s="39">
        <v>26</v>
      </c>
      <c r="B30" s="144" t="s">
        <v>190</v>
      </c>
      <c r="C30" s="145"/>
      <c r="D30" s="141">
        <v>0</v>
      </c>
      <c r="E30" s="141">
        <v>0</v>
      </c>
      <c r="F30" s="141">
        <v>110</v>
      </c>
      <c r="G30" s="137">
        <v>0</v>
      </c>
      <c r="H30" s="137">
        <v>0</v>
      </c>
      <c r="I30" s="36">
        <v>0</v>
      </c>
      <c r="J30" s="36">
        <v>0</v>
      </c>
      <c r="K30" s="37">
        <v>0</v>
      </c>
      <c r="L30" s="138">
        <v>0</v>
      </c>
      <c r="M30" s="138">
        <v>0</v>
      </c>
      <c r="N30" s="138">
        <v>0</v>
      </c>
      <c r="O30" s="138">
        <v>0</v>
      </c>
      <c r="P30" s="138">
        <v>0</v>
      </c>
      <c r="Q30" s="138">
        <v>0</v>
      </c>
      <c r="R30" s="138">
        <v>0</v>
      </c>
      <c r="S30" s="138">
        <v>0</v>
      </c>
      <c r="T30" s="138">
        <v>0</v>
      </c>
    </row>
    <row r="31" spans="1:20">
      <c r="A31" s="39">
        <v>27</v>
      </c>
      <c r="B31" s="144" t="s">
        <v>191</v>
      </c>
      <c r="C31" s="145"/>
      <c r="D31" s="141">
        <v>0</v>
      </c>
      <c r="E31" s="141">
        <v>88</v>
      </c>
      <c r="F31" s="141">
        <v>22</v>
      </c>
      <c r="G31" s="137">
        <v>0</v>
      </c>
      <c r="H31" s="137">
        <v>0</v>
      </c>
      <c r="I31" s="36">
        <v>0</v>
      </c>
      <c r="J31" s="36">
        <v>0</v>
      </c>
      <c r="K31" s="37">
        <v>0</v>
      </c>
      <c r="L31" s="138">
        <v>0</v>
      </c>
      <c r="M31" s="138">
        <v>0</v>
      </c>
      <c r="N31" s="138">
        <v>0</v>
      </c>
      <c r="O31" s="138">
        <v>0</v>
      </c>
      <c r="P31" s="138">
        <v>0</v>
      </c>
      <c r="Q31" s="138">
        <v>0</v>
      </c>
      <c r="R31" s="138">
        <v>0</v>
      </c>
      <c r="S31" s="138">
        <v>0</v>
      </c>
      <c r="T31" s="138">
        <v>0</v>
      </c>
    </row>
    <row r="32" spans="1:20">
      <c r="A32" s="39">
        <v>28</v>
      </c>
      <c r="B32" s="144" t="s">
        <v>192</v>
      </c>
      <c r="C32" s="145"/>
      <c r="D32" s="141">
        <v>0</v>
      </c>
      <c r="E32" s="141">
        <v>22</v>
      </c>
      <c r="F32" s="141">
        <v>0</v>
      </c>
      <c r="G32" s="137">
        <v>0</v>
      </c>
      <c r="H32" s="137">
        <v>0</v>
      </c>
      <c r="I32" s="36">
        <v>0</v>
      </c>
      <c r="J32" s="36">
        <v>0</v>
      </c>
      <c r="K32" s="37">
        <v>0</v>
      </c>
      <c r="L32" s="138">
        <v>0</v>
      </c>
      <c r="M32" s="138">
        <v>0</v>
      </c>
      <c r="N32" s="138">
        <v>0</v>
      </c>
      <c r="O32" s="138">
        <v>0</v>
      </c>
      <c r="P32" s="138">
        <v>0</v>
      </c>
      <c r="Q32" s="138">
        <v>0</v>
      </c>
      <c r="R32" s="138">
        <v>0</v>
      </c>
      <c r="S32" s="138">
        <v>0</v>
      </c>
      <c r="T32" s="138">
        <v>0</v>
      </c>
    </row>
    <row r="33" spans="1:20">
      <c r="A33" s="39">
        <v>29</v>
      </c>
      <c r="B33" s="144" t="s">
        <v>193</v>
      </c>
      <c r="C33" s="145"/>
      <c r="D33" s="141">
        <v>0</v>
      </c>
      <c r="E33" s="141">
        <v>0</v>
      </c>
      <c r="F33" s="141">
        <v>0</v>
      </c>
      <c r="G33" s="137">
        <v>0</v>
      </c>
      <c r="H33" s="137">
        <v>0</v>
      </c>
      <c r="I33" s="36">
        <v>0</v>
      </c>
      <c r="J33" s="36">
        <v>0</v>
      </c>
      <c r="K33" s="37">
        <v>0</v>
      </c>
      <c r="L33" s="138">
        <v>0</v>
      </c>
      <c r="M33" s="138">
        <v>0</v>
      </c>
      <c r="N33" s="138">
        <v>0</v>
      </c>
      <c r="O33" s="138">
        <v>0</v>
      </c>
      <c r="P33" s="138">
        <v>0</v>
      </c>
      <c r="Q33" s="138">
        <v>0</v>
      </c>
      <c r="R33" s="138">
        <v>0</v>
      </c>
      <c r="S33" s="138">
        <v>0</v>
      </c>
      <c r="T33" s="138">
        <v>0</v>
      </c>
    </row>
    <row r="34" spans="1:20">
      <c r="A34" s="39">
        <v>30</v>
      </c>
      <c r="B34" s="144" t="s">
        <v>194</v>
      </c>
      <c r="C34" s="145"/>
      <c r="D34" s="141">
        <v>0</v>
      </c>
      <c r="E34" s="141">
        <v>0</v>
      </c>
      <c r="F34" s="141">
        <v>0</v>
      </c>
      <c r="G34" s="137">
        <v>0</v>
      </c>
      <c r="H34" s="137">
        <v>0</v>
      </c>
      <c r="I34" s="36">
        <v>0</v>
      </c>
      <c r="J34" s="36">
        <v>0</v>
      </c>
      <c r="K34" s="37">
        <v>0</v>
      </c>
      <c r="L34" s="138">
        <v>0</v>
      </c>
      <c r="M34" s="138">
        <v>0</v>
      </c>
      <c r="N34" s="138">
        <v>0</v>
      </c>
      <c r="O34" s="138">
        <v>0</v>
      </c>
      <c r="P34" s="138">
        <v>0</v>
      </c>
      <c r="Q34" s="138">
        <v>0</v>
      </c>
      <c r="R34" s="138">
        <v>0</v>
      </c>
      <c r="S34" s="138">
        <v>0</v>
      </c>
      <c r="T34" s="138">
        <v>0</v>
      </c>
    </row>
    <row r="35" spans="1:20">
      <c r="A35" s="39">
        <v>31</v>
      </c>
      <c r="B35" s="144"/>
      <c r="C35" s="145"/>
      <c r="D35" s="141">
        <v>0</v>
      </c>
      <c r="E35" s="141">
        <v>0</v>
      </c>
      <c r="F35" s="141">
        <v>0</v>
      </c>
      <c r="G35" s="137">
        <v>0</v>
      </c>
      <c r="H35" s="137">
        <v>0</v>
      </c>
      <c r="I35" s="36">
        <v>0</v>
      </c>
      <c r="J35" s="36">
        <v>0</v>
      </c>
      <c r="K35" s="37">
        <v>0</v>
      </c>
      <c r="L35" s="138">
        <v>0</v>
      </c>
      <c r="M35" s="138">
        <v>0</v>
      </c>
      <c r="N35" s="138">
        <v>0</v>
      </c>
      <c r="O35" s="138">
        <v>0</v>
      </c>
      <c r="P35" s="138">
        <v>0</v>
      </c>
      <c r="Q35" s="138">
        <v>0</v>
      </c>
      <c r="R35" s="138">
        <v>0</v>
      </c>
      <c r="S35" s="138">
        <v>0</v>
      </c>
      <c r="T35" s="138">
        <v>0</v>
      </c>
    </row>
    <row r="36" spans="1:20">
      <c r="D36" s="43">
        <v>176</v>
      </c>
      <c r="E36" s="43">
        <v>308</v>
      </c>
      <c r="F36" s="43">
        <v>4180</v>
      </c>
      <c r="G36" s="43">
        <v>0</v>
      </c>
      <c r="H36" s="43">
        <v>0</v>
      </c>
      <c r="I36" s="43">
        <v>0</v>
      </c>
      <c r="J36" s="43">
        <v>0</v>
      </c>
      <c r="K36" s="43">
        <v>0</v>
      </c>
      <c r="L36" s="139">
        <v>0</v>
      </c>
      <c r="M36" s="139">
        <v>27969.49</v>
      </c>
      <c r="N36" s="139">
        <v>42992.9</v>
      </c>
      <c r="O36" s="139">
        <v>35980.870000000003</v>
      </c>
      <c r="P36" s="139">
        <v>0</v>
      </c>
      <c r="Q36" s="139">
        <v>0</v>
      </c>
      <c r="R36" s="139">
        <v>0</v>
      </c>
      <c r="S36" s="139">
        <v>0</v>
      </c>
      <c r="T36" s="139">
        <v>106943.26</v>
      </c>
    </row>
    <row r="37" spans="1:20">
      <c r="R37" s="46"/>
      <c r="S37" s="46"/>
      <c r="T37" s="140">
        <v>130470.78</v>
      </c>
    </row>
  </sheetData>
  <mergeCells count="50"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C678C-1B59-45AA-BD18-EC6220D6F964}">
  <sheetPr>
    <pageSetUpPr fitToPage="1"/>
  </sheetPr>
  <dimension ref="A1:T37"/>
  <sheetViews>
    <sheetView topLeftCell="D1" workbookViewId="0">
      <selection activeCell="I5" sqref="I5:K35"/>
    </sheetView>
  </sheetViews>
  <sheetFormatPr defaultRowHeight="15"/>
  <cols>
    <col min="1" max="3" width="9.140625" style="28"/>
    <col min="4" max="4" width="11.7109375" style="28" customWidth="1"/>
    <col min="5" max="5" width="12.140625" style="28" customWidth="1"/>
    <col min="6" max="6" width="13.28515625" style="28" customWidth="1"/>
    <col min="7" max="7" width="11.42578125" style="28" customWidth="1"/>
    <col min="8" max="8" width="10.42578125" style="28" customWidth="1"/>
    <col min="9" max="9" width="10.5703125" style="28" bestFit="1" customWidth="1"/>
    <col min="10" max="10" width="9.42578125" style="28" bestFit="1" customWidth="1"/>
    <col min="11" max="12" width="9.140625" style="28"/>
    <col min="13" max="13" width="15.140625" style="28" customWidth="1"/>
    <col min="14" max="14" width="13.5703125" style="28" customWidth="1"/>
    <col min="15" max="15" width="14.5703125" style="28" customWidth="1"/>
    <col min="16" max="16" width="14.5703125" style="28" bestFit="1" customWidth="1"/>
    <col min="17" max="17" width="15" style="28" customWidth="1"/>
    <col min="18" max="18" width="13.28515625" style="28" customWidth="1"/>
    <col min="19" max="19" width="11.7109375" style="28" customWidth="1"/>
    <col min="20" max="20" width="24.28515625" style="28" customWidth="1"/>
    <col min="21" max="16384" width="9.140625" style="28"/>
  </cols>
  <sheetData>
    <row r="1" spans="1:20">
      <c r="I1" s="29"/>
    </row>
    <row r="2" spans="1:20" ht="28.9" customHeight="1">
      <c r="A2" s="149" t="s">
        <v>202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</row>
    <row r="3" spans="1:20" ht="28.9" customHeight="1">
      <c r="A3" s="146" t="s">
        <v>0</v>
      </c>
      <c r="B3" s="150" t="s">
        <v>1</v>
      </c>
      <c r="C3" s="151"/>
      <c r="D3" s="146" t="s">
        <v>2</v>
      </c>
      <c r="E3" s="146" t="s">
        <v>3</v>
      </c>
      <c r="F3" s="30" t="s">
        <v>4</v>
      </c>
      <c r="G3" s="146" t="s">
        <v>156</v>
      </c>
      <c r="H3" s="146" t="s">
        <v>157</v>
      </c>
      <c r="I3" s="146" t="s">
        <v>7</v>
      </c>
      <c r="J3" s="146" t="s">
        <v>8</v>
      </c>
      <c r="K3" s="146" t="s">
        <v>158</v>
      </c>
      <c r="L3" s="146" t="s">
        <v>159</v>
      </c>
      <c r="M3" s="146" t="s">
        <v>160</v>
      </c>
      <c r="N3" s="146" t="s">
        <v>161</v>
      </c>
      <c r="O3" s="146" t="s">
        <v>162</v>
      </c>
      <c r="P3" s="146" t="s">
        <v>163</v>
      </c>
      <c r="Q3" s="146" t="s">
        <v>164</v>
      </c>
      <c r="R3" s="146" t="s">
        <v>16</v>
      </c>
      <c r="S3" s="146" t="s">
        <v>17</v>
      </c>
      <c r="T3" s="146" t="s">
        <v>18</v>
      </c>
    </row>
    <row r="4" spans="1:20" ht="27" customHeight="1">
      <c r="A4" s="147"/>
      <c r="B4" s="152"/>
      <c r="C4" s="153"/>
      <c r="D4" s="147"/>
      <c r="E4" s="147"/>
      <c r="F4" s="31"/>
      <c r="G4" s="147"/>
      <c r="H4" s="147"/>
      <c r="I4" s="147"/>
      <c r="J4" s="147"/>
      <c r="K4" s="148"/>
      <c r="L4" s="148"/>
      <c r="M4" s="147"/>
      <c r="N4" s="147"/>
      <c r="O4" s="147"/>
      <c r="P4" s="147"/>
      <c r="Q4" s="147"/>
      <c r="R4" s="147"/>
      <c r="S4" s="147"/>
      <c r="T4" s="147"/>
    </row>
    <row r="5" spans="1:20">
      <c r="A5" s="39">
        <v>1</v>
      </c>
      <c r="B5" s="144" t="s">
        <v>165</v>
      </c>
      <c r="C5" s="145"/>
      <c r="D5" s="141">
        <v>0</v>
      </c>
      <c r="E5" s="141">
        <v>44</v>
      </c>
      <c r="F5" s="141">
        <v>769</v>
      </c>
      <c r="G5" s="137">
        <v>0</v>
      </c>
      <c r="H5" s="137">
        <v>0</v>
      </c>
      <c r="I5" s="36">
        <v>0</v>
      </c>
      <c r="J5" s="36">
        <v>0</v>
      </c>
      <c r="K5" s="37">
        <v>0</v>
      </c>
      <c r="L5" s="138">
        <v>0</v>
      </c>
      <c r="M5" s="138">
        <v>0</v>
      </c>
      <c r="N5" s="138">
        <v>0</v>
      </c>
      <c r="O5" s="138">
        <v>0</v>
      </c>
      <c r="P5" s="138">
        <v>0</v>
      </c>
      <c r="Q5" s="138">
        <v>0</v>
      </c>
      <c r="R5" s="138">
        <v>0</v>
      </c>
      <c r="S5" s="138">
        <v>0</v>
      </c>
      <c r="T5" s="138">
        <v>0</v>
      </c>
    </row>
    <row r="6" spans="1:20">
      <c r="A6" s="39">
        <v>2</v>
      </c>
      <c r="B6" s="144" t="s">
        <v>166</v>
      </c>
      <c r="C6" s="145"/>
      <c r="D6" s="141">
        <v>64.5</v>
      </c>
      <c r="E6" s="141">
        <v>22</v>
      </c>
      <c r="F6" s="141">
        <v>811.5</v>
      </c>
      <c r="G6" s="137">
        <v>0</v>
      </c>
      <c r="H6" s="137">
        <v>0</v>
      </c>
      <c r="I6" s="36">
        <v>0</v>
      </c>
      <c r="J6" s="36">
        <v>0</v>
      </c>
      <c r="K6" s="37">
        <v>0</v>
      </c>
      <c r="L6" s="138">
        <v>0</v>
      </c>
      <c r="M6" s="138">
        <v>0</v>
      </c>
      <c r="N6" s="138">
        <v>0</v>
      </c>
      <c r="O6" s="138">
        <v>0</v>
      </c>
      <c r="P6" s="138">
        <v>0</v>
      </c>
      <c r="Q6" s="138">
        <v>0</v>
      </c>
      <c r="R6" s="138">
        <v>0</v>
      </c>
      <c r="S6" s="138">
        <v>0</v>
      </c>
      <c r="T6" s="138">
        <v>0</v>
      </c>
    </row>
    <row r="7" spans="1:20">
      <c r="A7" s="39">
        <v>3</v>
      </c>
      <c r="B7" s="144" t="s">
        <v>167</v>
      </c>
      <c r="C7" s="145"/>
      <c r="D7" s="141">
        <v>109.25</v>
      </c>
      <c r="E7" s="141">
        <v>0</v>
      </c>
      <c r="F7" s="141">
        <v>920.75</v>
      </c>
      <c r="G7" s="137">
        <v>0</v>
      </c>
      <c r="H7" s="137">
        <v>0</v>
      </c>
      <c r="I7" s="36">
        <v>0</v>
      </c>
      <c r="J7" s="36">
        <v>0</v>
      </c>
      <c r="K7" s="37">
        <v>0</v>
      </c>
      <c r="L7" s="138">
        <v>0</v>
      </c>
      <c r="M7" s="138">
        <v>0</v>
      </c>
      <c r="N7" s="138">
        <v>0</v>
      </c>
      <c r="O7" s="138">
        <v>0</v>
      </c>
      <c r="P7" s="138">
        <v>0</v>
      </c>
      <c r="Q7" s="138">
        <v>0</v>
      </c>
      <c r="R7" s="138">
        <v>0</v>
      </c>
      <c r="S7" s="138">
        <v>0</v>
      </c>
      <c r="T7" s="138">
        <v>0</v>
      </c>
    </row>
    <row r="8" spans="1:20">
      <c r="A8" s="39">
        <v>4</v>
      </c>
      <c r="B8" s="144" t="s">
        <v>168</v>
      </c>
      <c r="C8" s="145"/>
      <c r="D8" s="141">
        <v>66</v>
      </c>
      <c r="E8" s="141">
        <v>66</v>
      </c>
      <c r="F8" s="141">
        <v>920.75</v>
      </c>
      <c r="G8" s="137">
        <v>0</v>
      </c>
      <c r="H8" s="137">
        <v>0</v>
      </c>
      <c r="I8" s="36">
        <v>0</v>
      </c>
      <c r="J8" s="36">
        <v>0</v>
      </c>
      <c r="K8" s="37">
        <v>0</v>
      </c>
      <c r="L8" s="138">
        <v>0</v>
      </c>
      <c r="M8" s="138">
        <v>0</v>
      </c>
      <c r="N8" s="138">
        <v>0</v>
      </c>
      <c r="O8" s="138">
        <v>0</v>
      </c>
      <c r="P8" s="138">
        <v>0</v>
      </c>
      <c r="Q8" s="138">
        <v>0</v>
      </c>
      <c r="R8" s="138">
        <v>0</v>
      </c>
      <c r="S8" s="138">
        <v>0</v>
      </c>
      <c r="T8" s="138">
        <v>0</v>
      </c>
    </row>
    <row r="9" spans="1:20">
      <c r="A9" s="39">
        <v>5</v>
      </c>
      <c r="B9" s="144" t="s">
        <v>169</v>
      </c>
      <c r="C9" s="145"/>
      <c r="D9" s="141">
        <v>0</v>
      </c>
      <c r="E9" s="141">
        <v>44</v>
      </c>
      <c r="F9" s="141">
        <v>876.75</v>
      </c>
      <c r="G9" s="137">
        <v>0</v>
      </c>
      <c r="H9" s="137">
        <v>0</v>
      </c>
      <c r="I9" s="36">
        <v>0</v>
      </c>
      <c r="J9" s="36">
        <v>0</v>
      </c>
      <c r="K9" s="37">
        <v>0</v>
      </c>
      <c r="L9" s="138">
        <v>0</v>
      </c>
      <c r="M9" s="138">
        <v>0</v>
      </c>
      <c r="N9" s="138">
        <v>0</v>
      </c>
      <c r="O9" s="138">
        <v>0</v>
      </c>
      <c r="P9" s="138">
        <v>0</v>
      </c>
      <c r="Q9" s="138">
        <v>0</v>
      </c>
      <c r="R9" s="138">
        <v>0</v>
      </c>
      <c r="S9" s="138">
        <v>0</v>
      </c>
      <c r="T9" s="138">
        <v>0</v>
      </c>
    </row>
    <row r="10" spans="1:20">
      <c r="A10" s="39">
        <v>6</v>
      </c>
      <c r="B10" s="144" t="s">
        <v>170</v>
      </c>
      <c r="C10" s="145"/>
      <c r="D10" s="141">
        <v>0</v>
      </c>
      <c r="E10" s="141">
        <v>61.25</v>
      </c>
      <c r="F10" s="141">
        <v>815.5</v>
      </c>
      <c r="G10" s="137">
        <v>0</v>
      </c>
      <c r="H10" s="137">
        <v>0</v>
      </c>
      <c r="I10" s="36">
        <v>0</v>
      </c>
      <c r="J10" s="36">
        <v>0</v>
      </c>
      <c r="K10" s="37">
        <v>0</v>
      </c>
      <c r="L10" s="138">
        <v>0</v>
      </c>
      <c r="M10" s="138">
        <v>0</v>
      </c>
      <c r="N10" s="138">
        <v>0</v>
      </c>
      <c r="O10" s="138">
        <v>0</v>
      </c>
      <c r="P10" s="138">
        <v>0</v>
      </c>
      <c r="Q10" s="138">
        <v>0</v>
      </c>
      <c r="R10" s="138">
        <v>0</v>
      </c>
      <c r="S10" s="138">
        <v>0</v>
      </c>
      <c r="T10" s="138">
        <v>0</v>
      </c>
    </row>
    <row r="11" spans="1:20">
      <c r="A11" s="39">
        <v>7</v>
      </c>
      <c r="B11" s="144" t="s">
        <v>171</v>
      </c>
      <c r="C11" s="145"/>
      <c r="D11" s="141">
        <v>132</v>
      </c>
      <c r="E11" s="141">
        <v>43.75</v>
      </c>
      <c r="F11" s="141">
        <v>903.75</v>
      </c>
      <c r="G11" s="137">
        <v>0</v>
      </c>
      <c r="H11" s="137">
        <v>0</v>
      </c>
      <c r="I11" s="36">
        <v>0</v>
      </c>
      <c r="J11" s="36">
        <v>0</v>
      </c>
      <c r="K11" s="37">
        <v>0</v>
      </c>
      <c r="L11" s="138">
        <v>0</v>
      </c>
      <c r="M11" s="138">
        <v>0</v>
      </c>
      <c r="N11" s="138">
        <v>0</v>
      </c>
      <c r="O11" s="138">
        <v>0</v>
      </c>
      <c r="P11" s="138">
        <v>0</v>
      </c>
      <c r="Q11" s="138">
        <v>0</v>
      </c>
      <c r="R11" s="138">
        <v>0</v>
      </c>
      <c r="S11" s="138">
        <v>0</v>
      </c>
      <c r="T11" s="138">
        <v>0</v>
      </c>
    </row>
    <row r="12" spans="1:20">
      <c r="A12" s="39">
        <v>8</v>
      </c>
      <c r="B12" s="144" t="s">
        <v>172</v>
      </c>
      <c r="C12" s="145"/>
      <c r="D12" s="141">
        <v>0</v>
      </c>
      <c r="E12" s="141">
        <v>22</v>
      </c>
      <c r="F12" s="141">
        <v>881.75</v>
      </c>
      <c r="G12" s="137">
        <v>0</v>
      </c>
      <c r="H12" s="137">
        <v>0</v>
      </c>
      <c r="I12" s="36">
        <v>0</v>
      </c>
      <c r="J12" s="36">
        <v>0</v>
      </c>
      <c r="K12" s="37">
        <v>0</v>
      </c>
      <c r="L12" s="138">
        <v>0</v>
      </c>
      <c r="M12" s="138">
        <v>0</v>
      </c>
      <c r="N12" s="138">
        <v>0</v>
      </c>
      <c r="O12" s="138">
        <v>0</v>
      </c>
      <c r="P12" s="138">
        <v>0</v>
      </c>
      <c r="Q12" s="138">
        <v>0</v>
      </c>
      <c r="R12" s="138">
        <v>0</v>
      </c>
      <c r="S12" s="138">
        <v>0</v>
      </c>
      <c r="T12" s="138">
        <v>0</v>
      </c>
    </row>
    <row r="13" spans="1:20">
      <c r="A13" s="39">
        <v>9</v>
      </c>
      <c r="B13" s="144" t="s">
        <v>173</v>
      </c>
      <c r="C13" s="145"/>
      <c r="D13" s="141">
        <v>0</v>
      </c>
      <c r="E13" s="141">
        <v>0</v>
      </c>
      <c r="F13" s="141">
        <v>881.75</v>
      </c>
      <c r="G13" s="137">
        <v>0</v>
      </c>
      <c r="H13" s="137">
        <v>0</v>
      </c>
      <c r="I13" s="36">
        <v>0</v>
      </c>
      <c r="J13" s="36">
        <v>0</v>
      </c>
      <c r="K13" s="37">
        <v>0</v>
      </c>
      <c r="L13" s="138">
        <v>0</v>
      </c>
      <c r="M13" s="138">
        <v>0</v>
      </c>
      <c r="N13" s="138">
        <v>0</v>
      </c>
      <c r="O13" s="138">
        <v>0</v>
      </c>
      <c r="P13" s="138">
        <v>0</v>
      </c>
      <c r="Q13" s="138">
        <v>0</v>
      </c>
      <c r="R13" s="138">
        <v>0</v>
      </c>
      <c r="S13" s="138">
        <v>0</v>
      </c>
      <c r="T13" s="138">
        <v>0</v>
      </c>
    </row>
    <row r="14" spans="1:20">
      <c r="A14" s="39">
        <v>10</v>
      </c>
      <c r="B14" s="144" t="s">
        <v>174</v>
      </c>
      <c r="C14" s="145"/>
      <c r="D14" s="141">
        <v>43.25</v>
      </c>
      <c r="E14" s="141">
        <v>0</v>
      </c>
      <c r="F14" s="141">
        <v>925</v>
      </c>
      <c r="G14" s="137">
        <v>0</v>
      </c>
      <c r="H14" s="137">
        <v>0</v>
      </c>
      <c r="I14" s="36">
        <v>0</v>
      </c>
      <c r="J14" s="36">
        <v>0</v>
      </c>
      <c r="K14" s="37">
        <v>0</v>
      </c>
      <c r="L14" s="138">
        <v>0</v>
      </c>
      <c r="M14" s="138">
        <v>0</v>
      </c>
      <c r="N14" s="138">
        <v>0</v>
      </c>
      <c r="O14" s="138">
        <v>0</v>
      </c>
      <c r="P14" s="138">
        <v>0</v>
      </c>
      <c r="Q14" s="138">
        <v>0</v>
      </c>
      <c r="R14" s="138">
        <v>0</v>
      </c>
      <c r="S14" s="138">
        <v>0</v>
      </c>
      <c r="T14" s="138">
        <v>0</v>
      </c>
    </row>
    <row r="15" spans="1:20">
      <c r="A15" s="39">
        <v>11</v>
      </c>
      <c r="B15" s="144" t="s">
        <v>175</v>
      </c>
      <c r="C15" s="145"/>
      <c r="D15" s="141">
        <v>21.25</v>
      </c>
      <c r="E15" s="141">
        <v>43.25</v>
      </c>
      <c r="F15" s="141">
        <v>903</v>
      </c>
      <c r="G15" s="137">
        <v>0</v>
      </c>
      <c r="H15" s="137">
        <v>0</v>
      </c>
      <c r="I15" s="36">
        <v>0</v>
      </c>
      <c r="J15" s="36">
        <v>0</v>
      </c>
      <c r="K15" s="37">
        <v>0</v>
      </c>
      <c r="L15" s="138">
        <v>0</v>
      </c>
      <c r="M15" s="138">
        <v>0</v>
      </c>
      <c r="N15" s="138">
        <v>0</v>
      </c>
      <c r="O15" s="138">
        <v>0</v>
      </c>
      <c r="P15" s="138">
        <v>0</v>
      </c>
      <c r="Q15" s="138">
        <v>0</v>
      </c>
      <c r="R15" s="138">
        <v>0</v>
      </c>
      <c r="S15" s="138">
        <v>0</v>
      </c>
      <c r="T15" s="138">
        <v>0</v>
      </c>
    </row>
    <row r="16" spans="1:20">
      <c r="A16" s="39">
        <v>12</v>
      </c>
      <c r="B16" s="144" t="s">
        <v>176</v>
      </c>
      <c r="C16" s="145"/>
      <c r="D16" s="141">
        <v>0</v>
      </c>
      <c r="E16" s="141">
        <v>44.5</v>
      </c>
      <c r="F16" s="141">
        <v>858.5</v>
      </c>
      <c r="G16" s="137">
        <v>0</v>
      </c>
      <c r="H16" s="137">
        <v>0</v>
      </c>
      <c r="I16" s="36">
        <v>0</v>
      </c>
      <c r="J16" s="36">
        <v>0</v>
      </c>
      <c r="K16" s="37">
        <v>0</v>
      </c>
      <c r="L16" s="138">
        <v>0</v>
      </c>
      <c r="M16" s="138">
        <v>0</v>
      </c>
      <c r="N16" s="138">
        <v>0</v>
      </c>
      <c r="O16" s="138">
        <v>0</v>
      </c>
      <c r="P16" s="138">
        <v>0</v>
      </c>
      <c r="Q16" s="138">
        <v>0</v>
      </c>
      <c r="R16" s="138">
        <v>0</v>
      </c>
      <c r="S16" s="138">
        <v>0</v>
      </c>
      <c r="T16" s="138">
        <v>0</v>
      </c>
    </row>
    <row r="17" spans="1:20">
      <c r="A17" s="39">
        <v>13</v>
      </c>
      <c r="B17" s="144" t="s">
        <v>177</v>
      </c>
      <c r="C17" s="145"/>
      <c r="D17" s="141">
        <v>0</v>
      </c>
      <c r="E17" s="141">
        <v>44.5</v>
      </c>
      <c r="F17" s="141">
        <v>814</v>
      </c>
      <c r="G17" s="137">
        <v>0</v>
      </c>
      <c r="H17" s="137">
        <v>0</v>
      </c>
      <c r="I17" s="36">
        <v>0</v>
      </c>
      <c r="J17" s="36">
        <v>0</v>
      </c>
      <c r="K17" s="37">
        <v>0</v>
      </c>
      <c r="L17" s="138">
        <v>0</v>
      </c>
      <c r="M17" s="138">
        <v>0</v>
      </c>
      <c r="N17" s="138">
        <v>0</v>
      </c>
      <c r="O17" s="138">
        <v>0</v>
      </c>
      <c r="P17" s="138">
        <v>0</v>
      </c>
      <c r="Q17" s="138">
        <v>0</v>
      </c>
      <c r="R17" s="138">
        <v>0</v>
      </c>
      <c r="S17" s="138">
        <v>0</v>
      </c>
      <c r="T17" s="138">
        <v>0</v>
      </c>
    </row>
    <row r="18" spans="1:20">
      <c r="A18" s="39">
        <v>14</v>
      </c>
      <c r="B18" s="144" t="s">
        <v>178</v>
      </c>
      <c r="C18" s="145"/>
      <c r="D18" s="141">
        <v>66</v>
      </c>
      <c r="E18" s="141">
        <v>66</v>
      </c>
      <c r="F18" s="141">
        <v>814</v>
      </c>
      <c r="G18" s="137">
        <v>0</v>
      </c>
      <c r="H18" s="137">
        <v>0</v>
      </c>
      <c r="I18" s="36">
        <v>0</v>
      </c>
      <c r="J18" s="36">
        <v>0</v>
      </c>
      <c r="K18" s="37">
        <v>0</v>
      </c>
      <c r="L18" s="138">
        <v>0</v>
      </c>
      <c r="M18" s="138">
        <v>0</v>
      </c>
      <c r="N18" s="138">
        <v>0</v>
      </c>
      <c r="O18" s="138">
        <v>0</v>
      </c>
      <c r="P18" s="138">
        <v>0</v>
      </c>
      <c r="Q18" s="138">
        <v>0</v>
      </c>
      <c r="R18" s="138">
        <v>0</v>
      </c>
      <c r="S18" s="138">
        <v>0</v>
      </c>
      <c r="T18" s="138">
        <v>0</v>
      </c>
    </row>
    <row r="19" spans="1:20">
      <c r="A19" s="39">
        <v>15</v>
      </c>
      <c r="B19" s="144" t="s">
        <v>179</v>
      </c>
      <c r="C19" s="145"/>
      <c r="D19" s="141">
        <v>42.5</v>
      </c>
      <c r="E19" s="141">
        <v>65.25</v>
      </c>
      <c r="F19" s="141">
        <v>791.25</v>
      </c>
      <c r="G19" s="137">
        <v>0</v>
      </c>
      <c r="H19" s="137">
        <v>0</v>
      </c>
      <c r="I19" s="36">
        <v>0</v>
      </c>
      <c r="J19" s="36">
        <v>0</v>
      </c>
      <c r="K19" s="37">
        <v>0</v>
      </c>
      <c r="L19" s="138">
        <v>0</v>
      </c>
      <c r="M19" s="138">
        <v>0</v>
      </c>
      <c r="N19" s="138">
        <v>0</v>
      </c>
      <c r="O19" s="138">
        <v>0</v>
      </c>
      <c r="P19" s="138">
        <v>0</v>
      </c>
      <c r="Q19" s="138">
        <v>0</v>
      </c>
      <c r="R19" s="138">
        <v>0</v>
      </c>
      <c r="S19" s="138">
        <v>0</v>
      </c>
      <c r="T19" s="138">
        <v>0</v>
      </c>
    </row>
    <row r="20" spans="1:20">
      <c r="A20" s="39">
        <v>16</v>
      </c>
      <c r="B20" s="144" t="s">
        <v>180</v>
      </c>
      <c r="C20" s="145"/>
      <c r="D20" s="141">
        <v>0</v>
      </c>
      <c r="E20" s="141">
        <v>44</v>
      </c>
      <c r="F20" s="141">
        <v>747.25</v>
      </c>
      <c r="G20" s="137">
        <v>0</v>
      </c>
      <c r="H20" s="137">
        <v>0</v>
      </c>
      <c r="I20" s="36">
        <v>0</v>
      </c>
      <c r="J20" s="36">
        <v>0</v>
      </c>
      <c r="K20" s="37">
        <v>0</v>
      </c>
      <c r="L20" s="138">
        <v>0</v>
      </c>
      <c r="M20" s="138">
        <v>0</v>
      </c>
      <c r="N20" s="138">
        <v>0</v>
      </c>
      <c r="O20" s="138">
        <v>0</v>
      </c>
      <c r="P20" s="138">
        <v>0</v>
      </c>
      <c r="Q20" s="138">
        <v>0</v>
      </c>
      <c r="R20" s="138">
        <v>0</v>
      </c>
      <c r="S20" s="138">
        <v>0</v>
      </c>
      <c r="T20" s="138">
        <v>0</v>
      </c>
    </row>
    <row r="21" spans="1:20">
      <c r="A21" s="39">
        <v>17</v>
      </c>
      <c r="B21" s="144" t="s">
        <v>181</v>
      </c>
      <c r="C21" s="145"/>
      <c r="D21" s="141">
        <v>67.5</v>
      </c>
      <c r="E21" s="141">
        <v>44</v>
      </c>
      <c r="F21" s="141">
        <v>770.75</v>
      </c>
      <c r="G21" s="137">
        <v>0</v>
      </c>
      <c r="H21" s="137">
        <v>0</v>
      </c>
      <c r="I21" s="36">
        <v>0</v>
      </c>
      <c r="J21" s="36">
        <v>0</v>
      </c>
      <c r="K21" s="37">
        <v>0</v>
      </c>
      <c r="L21" s="138">
        <v>0</v>
      </c>
      <c r="M21" s="138">
        <v>0</v>
      </c>
      <c r="N21" s="138">
        <v>0</v>
      </c>
      <c r="O21" s="138">
        <v>0</v>
      </c>
      <c r="P21" s="138">
        <v>0</v>
      </c>
      <c r="Q21" s="138">
        <v>0</v>
      </c>
      <c r="R21" s="138">
        <v>0</v>
      </c>
      <c r="S21" s="138">
        <v>0</v>
      </c>
      <c r="T21" s="138">
        <v>0</v>
      </c>
    </row>
    <row r="22" spans="1:20">
      <c r="A22" s="39">
        <v>18</v>
      </c>
      <c r="B22" s="144" t="s">
        <v>182</v>
      </c>
      <c r="C22" s="145"/>
      <c r="D22" s="141">
        <v>88</v>
      </c>
      <c r="E22" s="141">
        <v>44</v>
      </c>
      <c r="F22" s="141">
        <v>814.75</v>
      </c>
      <c r="G22" s="137">
        <v>0</v>
      </c>
      <c r="H22" s="137">
        <v>0</v>
      </c>
      <c r="I22" s="36">
        <v>0</v>
      </c>
      <c r="J22" s="36">
        <v>0</v>
      </c>
      <c r="K22" s="37">
        <v>0</v>
      </c>
      <c r="L22" s="138">
        <v>0</v>
      </c>
      <c r="M22" s="138">
        <v>0</v>
      </c>
      <c r="N22" s="138">
        <v>0</v>
      </c>
      <c r="O22" s="138">
        <v>0</v>
      </c>
      <c r="P22" s="138">
        <v>0</v>
      </c>
      <c r="Q22" s="138">
        <v>0</v>
      </c>
      <c r="R22" s="138">
        <v>0</v>
      </c>
      <c r="S22" s="138">
        <v>0</v>
      </c>
      <c r="T22" s="138">
        <v>0</v>
      </c>
    </row>
    <row r="23" spans="1:20">
      <c r="A23" s="39">
        <v>19</v>
      </c>
      <c r="B23" s="144" t="s">
        <v>183</v>
      </c>
      <c r="C23" s="145"/>
      <c r="D23" s="141">
        <v>221.5</v>
      </c>
      <c r="E23" s="141">
        <v>66.5</v>
      </c>
      <c r="F23" s="141">
        <v>969.75</v>
      </c>
      <c r="G23" s="137">
        <v>0</v>
      </c>
      <c r="H23" s="137">
        <v>0</v>
      </c>
      <c r="I23" s="36">
        <v>0</v>
      </c>
      <c r="J23" s="36">
        <v>0</v>
      </c>
      <c r="K23" s="37">
        <v>0</v>
      </c>
      <c r="L23" s="138">
        <v>0</v>
      </c>
      <c r="M23" s="138">
        <v>0</v>
      </c>
      <c r="N23" s="138">
        <v>0</v>
      </c>
      <c r="O23" s="138">
        <v>0</v>
      </c>
      <c r="P23" s="138">
        <v>0</v>
      </c>
      <c r="Q23" s="138">
        <v>0</v>
      </c>
      <c r="R23" s="138">
        <v>0</v>
      </c>
      <c r="S23" s="138">
        <v>0</v>
      </c>
      <c r="T23" s="138">
        <v>0</v>
      </c>
    </row>
    <row r="24" spans="1:20">
      <c r="A24" s="39">
        <v>20</v>
      </c>
      <c r="B24" s="144" t="s">
        <v>184</v>
      </c>
      <c r="C24" s="145"/>
      <c r="D24" s="141">
        <v>89</v>
      </c>
      <c r="E24" s="141">
        <v>43.75</v>
      </c>
      <c r="F24" s="141">
        <v>1015</v>
      </c>
      <c r="G24" s="137">
        <v>0</v>
      </c>
      <c r="H24" s="137">
        <v>0</v>
      </c>
      <c r="I24" s="36">
        <v>0</v>
      </c>
      <c r="J24" s="36">
        <v>0</v>
      </c>
      <c r="K24" s="37">
        <v>0</v>
      </c>
      <c r="L24" s="138">
        <v>0</v>
      </c>
      <c r="M24" s="138">
        <v>0</v>
      </c>
      <c r="N24" s="138">
        <v>0</v>
      </c>
      <c r="O24" s="138">
        <v>0</v>
      </c>
      <c r="P24" s="138">
        <v>0</v>
      </c>
      <c r="Q24" s="138">
        <v>0</v>
      </c>
      <c r="R24" s="138">
        <v>0</v>
      </c>
      <c r="S24" s="138">
        <v>0</v>
      </c>
      <c r="T24" s="138">
        <v>0</v>
      </c>
    </row>
    <row r="25" spans="1:20">
      <c r="A25" s="39">
        <v>21</v>
      </c>
      <c r="B25" s="144" t="s">
        <v>185</v>
      </c>
      <c r="C25" s="145"/>
      <c r="D25" s="141">
        <v>0</v>
      </c>
      <c r="E25" s="141">
        <v>22</v>
      </c>
      <c r="F25" s="141">
        <v>993</v>
      </c>
      <c r="G25" s="137">
        <v>0</v>
      </c>
      <c r="H25" s="137">
        <v>0</v>
      </c>
      <c r="I25" s="36">
        <v>0</v>
      </c>
      <c r="J25" s="36">
        <v>0</v>
      </c>
      <c r="K25" s="37">
        <v>0</v>
      </c>
      <c r="L25" s="138">
        <v>0</v>
      </c>
      <c r="M25" s="138">
        <v>0</v>
      </c>
      <c r="N25" s="138">
        <v>0</v>
      </c>
      <c r="O25" s="138">
        <v>0</v>
      </c>
      <c r="P25" s="138">
        <v>0</v>
      </c>
      <c r="Q25" s="138">
        <v>0</v>
      </c>
      <c r="R25" s="138">
        <v>0</v>
      </c>
      <c r="S25" s="138">
        <v>0</v>
      </c>
      <c r="T25" s="138">
        <v>0</v>
      </c>
    </row>
    <row r="26" spans="1:20">
      <c r="A26" s="39">
        <v>22</v>
      </c>
      <c r="B26" s="144" t="s">
        <v>186</v>
      </c>
      <c r="C26" s="145"/>
      <c r="D26" s="141">
        <v>0</v>
      </c>
      <c r="E26" s="141">
        <v>66</v>
      </c>
      <c r="F26" s="141">
        <v>927</v>
      </c>
      <c r="G26" s="137">
        <v>0</v>
      </c>
      <c r="H26" s="137">
        <v>0</v>
      </c>
      <c r="I26" s="36">
        <v>0</v>
      </c>
      <c r="J26" s="36">
        <v>0</v>
      </c>
      <c r="K26" s="37">
        <v>0</v>
      </c>
      <c r="L26" s="138">
        <v>0</v>
      </c>
      <c r="M26" s="138">
        <v>0</v>
      </c>
      <c r="N26" s="138">
        <v>0</v>
      </c>
      <c r="O26" s="138">
        <v>0</v>
      </c>
      <c r="P26" s="138">
        <v>0</v>
      </c>
      <c r="Q26" s="138">
        <v>0</v>
      </c>
      <c r="R26" s="138">
        <v>0</v>
      </c>
      <c r="S26" s="138">
        <v>0</v>
      </c>
      <c r="T26" s="138">
        <v>0</v>
      </c>
    </row>
    <row r="27" spans="1:20">
      <c r="A27" s="39">
        <v>23</v>
      </c>
      <c r="B27" s="144" t="s">
        <v>187</v>
      </c>
      <c r="C27" s="145"/>
      <c r="D27" s="141">
        <v>44</v>
      </c>
      <c r="E27" s="141">
        <v>44</v>
      </c>
      <c r="F27" s="141">
        <v>927</v>
      </c>
      <c r="G27" s="137">
        <v>0</v>
      </c>
      <c r="H27" s="137">
        <v>0</v>
      </c>
      <c r="I27" s="36">
        <v>0</v>
      </c>
      <c r="J27" s="36">
        <v>0</v>
      </c>
      <c r="K27" s="37">
        <v>0</v>
      </c>
      <c r="L27" s="138">
        <v>0</v>
      </c>
      <c r="M27" s="138">
        <v>0</v>
      </c>
      <c r="N27" s="138">
        <v>0</v>
      </c>
      <c r="O27" s="138">
        <v>0</v>
      </c>
      <c r="P27" s="138">
        <v>0</v>
      </c>
      <c r="Q27" s="138">
        <v>0</v>
      </c>
      <c r="R27" s="138">
        <v>0</v>
      </c>
      <c r="S27" s="138">
        <v>0</v>
      </c>
      <c r="T27" s="138">
        <v>0</v>
      </c>
    </row>
    <row r="28" spans="1:20">
      <c r="A28" s="39">
        <v>24</v>
      </c>
      <c r="B28" s="144" t="s">
        <v>188</v>
      </c>
      <c r="C28" s="145"/>
      <c r="D28" s="141">
        <v>44</v>
      </c>
      <c r="E28" s="141">
        <v>66</v>
      </c>
      <c r="F28" s="141">
        <v>905</v>
      </c>
      <c r="G28" s="137">
        <v>0</v>
      </c>
      <c r="H28" s="137">
        <v>0</v>
      </c>
      <c r="I28" s="36">
        <v>0</v>
      </c>
      <c r="J28" s="36">
        <v>0</v>
      </c>
      <c r="K28" s="37">
        <v>0</v>
      </c>
      <c r="L28" s="138">
        <v>0</v>
      </c>
      <c r="M28" s="138">
        <v>0</v>
      </c>
      <c r="N28" s="138">
        <v>0</v>
      </c>
      <c r="O28" s="138">
        <v>0</v>
      </c>
      <c r="P28" s="138">
        <v>0</v>
      </c>
      <c r="Q28" s="138">
        <v>0</v>
      </c>
      <c r="R28" s="138">
        <v>0</v>
      </c>
      <c r="S28" s="138">
        <v>0</v>
      </c>
      <c r="T28" s="138">
        <v>0</v>
      </c>
    </row>
    <row r="29" spans="1:20">
      <c r="A29" s="39">
        <v>25</v>
      </c>
      <c r="B29" s="144" t="s">
        <v>189</v>
      </c>
      <c r="C29" s="145"/>
      <c r="D29" s="141">
        <v>0</v>
      </c>
      <c r="E29" s="141">
        <v>0</v>
      </c>
      <c r="F29" s="141">
        <v>905</v>
      </c>
      <c r="G29" s="137">
        <v>0</v>
      </c>
      <c r="H29" s="137">
        <v>0</v>
      </c>
      <c r="I29" s="36">
        <v>0</v>
      </c>
      <c r="J29" s="36">
        <v>0</v>
      </c>
      <c r="K29" s="37">
        <v>0</v>
      </c>
      <c r="L29" s="138">
        <v>0</v>
      </c>
      <c r="M29" s="138">
        <v>0</v>
      </c>
      <c r="N29" s="138">
        <v>0</v>
      </c>
      <c r="O29" s="138">
        <v>0</v>
      </c>
      <c r="P29" s="138">
        <v>0</v>
      </c>
      <c r="Q29" s="138">
        <v>0</v>
      </c>
      <c r="R29" s="138">
        <v>0</v>
      </c>
      <c r="S29" s="138">
        <v>0</v>
      </c>
      <c r="T29" s="138">
        <v>0</v>
      </c>
    </row>
    <row r="30" spans="1:20">
      <c r="A30" s="39">
        <v>26</v>
      </c>
      <c r="B30" s="144" t="s">
        <v>190</v>
      </c>
      <c r="C30" s="145"/>
      <c r="D30" s="141">
        <v>88</v>
      </c>
      <c r="E30" s="141">
        <v>43.25</v>
      </c>
      <c r="F30" s="141">
        <v>949.75</v>
      </c>
      <c r="G30" s="137">
        <v>0</v>
      </c>
      <c r="H30" s="137">
        <v>0</v>
      </c>
      <c r="I30" s="36">
        <v>0</v>
      </c>
      <c r="J30" s="36">
        <v>0</v>
      </c>
      <c r="K30" s="37">
        <v>0</v>
      </c>
      <c r="L30" s="138">
        <v>0</v>
      </c>
      <c r="M30" s="138">
        <v>0</v>
      </c>
      <c r="N30" s="138">
        <v>0</v>
      </c>
      <c r="O30" s="138">
        <v>0</v>
      </c>
      <c r="P30" s="138">
        <v>0</v>
      </c>
      <c r="Q30" s="138">
        <v>0</v>
      </c>
      <c r="R30" s="138">
        <v>0</v>
      </c>
      <c r="S30" s="138">
        <v>0</v>
      </c>
      <c r="T30" s="138">
        <v>0</v>
      </c>
    </row>
    <row r="31" spans="1:20">
      <c r="A31" s="39">
        <v>27</v>
      </c>
      <c r="B31" s="144" t="s">
        <v>191</v>
      </c>
      <c r="C31" s="145"/>
      <c r="D31" s="141">
        <v>22</v>
      </c>
      <c r="E31" s="141">
        <v>65.25</v>
      </c>
      <c r="F31" s="141">
        <v>906.5</v>
      </c>
      <c r="G31" s="137">
        <v>0</v>
      </c>
      <c r="H31" s="137">
        <v>0</v>
      </c>
      <c r="I31" s="36">
        <v>0</v>
      </c>
      <c r="J31" s="36">
        <v>0</v>
      </c>
      <c r="K31" s="37">
        <v>0</v>
      </c>
      <c r="L31" s="138">
        <v>0</v>
      </c>
      <c r="M31" s="138">
        <v>0</v>
      </c>
      <c r="N31" s="138">
        <v>0</v>
      </c>
      <c r="O31" s="138">
        <v>0</v>
      </c>
      <c r="P31" s="138">
        <v>0</v>
      </c>
      <c r="Q31" s="138">
        <v>0</v>
      </c>
      <c r="R31" s="138">
        <v>0</v>
      </c>
      <c r="S31" s="138">
        <v>0</v>
      </c>
      <c r="T31" s="138">
        <v>0</v>
      </c>
    </row>
    <row r="32" spans="1:20">
      <c r="A32" s="39">
        <v>28</v>
      </c>
      <c r="B32" s="144" t="s">
        <v>192</v>
      </c>
      <c r="C32" s="145"/>
      <c r="D32" s="141">
        <v>0</v>
      </c>
      <c r="E32" s="141">
        <v>44</v>
      </c>
      <c r="F32" s="141">
        <v>862.5</v>
      </c>
      <c r="G32" s="137">
        <v>0</v>
      </c>
      <c r="H32" s="137">
        <v>0</v>
      </c>
      <c r="I32" s="36">
        <v>0</v>
      </c>
      <c r="J32" s="36">
        <v>0</v>
      </c>
      <c r="K32" s="37">
        <v>0</v>
      </c>
      <c r="L32" s="138">
        <v>0</v>
      </c>
      <c r="M32" s="138">
        <v>0</v>
      </c>
      <c r="N32" s="138">
        <v>0</v>
      </c>
      <c r="O32" s="138">
        <v>0</v>
      </c>
      <c r="P32" s="138">
        <v>0</v>
      </c>
      <c r="Q32" s="138">
        <v>0</v>
      </c>
      <c r="R32" s="138">
        <v>0</v>
      </c>
      <c r="S32" s="138">
        <v>0</v>
      </c>
      <c r="T32" s="138">
        <v>0</v>
      </c>
    </row>
    <row r="33" spans="1:20">
      <c r="A33" s="39">
        <v>29</v>
      </c>
      <c r="B33" s="144" t="s">
        <v>193</v>
      </c>
      <c r="C33" s="145"/>
      <c r="D33" s="141">
        <v>0</v>
      </c>
      <c r="E33" s="141">
        <v>0</v>
      </c>
      <c r="F33" s="141">
        <v>862.5</v>
      </c>
      <c r="G33" s="137">
        <v>0</v>
      </c>
      <c r="H33" s="137">
        <v>0</v>
      </c>
      <c r="I33" s="36">
        <v>0</v>
      </c>
      <c r="J33" s="36">
        <v>0</v>
      </c>
      <c r="K33" s="37">
        <v>0</v>
      </c>
      <c r="L33" s="138">
        <v>0</v>
      </c>
      <c r="M33" s="138">
        <v>0</v>
      </c>
      <c r="N33" s="138">
        <v>0</v>
      </c>
      <c r="O33" s="138">
        <v>0</v>
      </c>
      <c r="P33" s="138">
        <v>0</v>
      </c>
      <c r="Q33" s="138">
        <v>0</v>
      </c>
      <c r="R33" s="138">
        <v>0</v>
      </c>
      <c r="S33" s="138">
        <v>0</v>
      </c>
      <c r="T33" s="138">
        <v>0</v>
      </c>
    </row>
    <row r="34" spans="1:20">
      <c r="A34" s="39">
        <v>30</v>
      </c>
      <c r="B34" s="144" t="s">
        <v>194</v>
      </c>
      <c r="C34" s="145"/>
      <c r="D34" s="141">
        <v>63.75</v>
      </c>
      <c r="E34" s="141">
        <v>44</v>
      </c>
      <c r="F34" s="141">
        <v>882.25</v>
      </c>
      <c r="G34" s="137">
        <v>0</v>
      </c>
      <c r="H34" s="137">
        <v>0</v>
      </c>
      <c r="I34" s="36">
        <v>0</v>
      </c>
      <c r="J34" s="36">
        <v>0</v>
      </c>
      <c r="K34" s="37">
        <v>0</v>
      </c>
      <c r="L34" s="138">
        <v>0</v>
      </c>
      <c r="M34" s="138">
        <v>0</v>
      </c>
      <c r="N34" s="138">
        <v>0</v>
      </c>
      <c r="O34" s="138">
        <v>0</v>
      </c>
      <c r="P34" s="138">
        <v>0</v>
      </c>
      <c r="Q34" s="138">
        <v>0</v>
      </c>
      <c r="R34" s="138">
        <v>0</v>
      </c>
      <c r="S34" s="138">
        <v>0</v>
      </c>
      <c r="T34" s="138">
        <v>0</v>
      </c>
    </row>
    <row r="35" spans="1:20">
      <c r="A35" s="39">
        <v>31</v>
      </c>
      <c r="B35" s="144"/>
      <c r="C35" s="145"/>
      <c r="D35" s="141">
        <v>0</v>
      </c>
      <c r="E35" s="141">
        <v>0</v>
      </c>
      <c r="F35" s="141">
        <v>0</v>
      </c>
      <c r="G35" s="137">
        <v>0</v>
      </c>
      <c r="H35" s="137">
        <v>0</v>
      </c>
      <c r="I35" s="36">
        <v>0</v>
      </c>
      <c r="J35" s="36">
        <v>0</v>
      </c>
      <c r="K35" s="37">
        <v>0</v>
      </c>
      <c r="L35" s="138">
        <v>0</v>
      </c>
      <c r="M35" s="138">
        <v>0</v>
      </c>
      <c r="N35" s="138">
        <v>0</v>
      </c>
      <c r="O35" s="138">
        <v>0</v>
      </c>
      <c r="P35" s="138">
        <v>0</v>
      </c>
      <c r="Q35" s="138">
        <v>0</v>
      </c>
      <c r="R35" s="138">
        <v>0</v>
      </c>
      <c r="S35" s="138">
        <v>0</v>
      </c>
      <c r="T35" s="138">
        <v>0</v>
      </c>
    </row>
    <row r="36" spans="1:20">
      <c r="D36" s="43">
        <v>1272.5</v>
      </c>
      <c r="E36" s="43">
        <v>1203.25</v>
      </c>
      <c r="F36" s="43">
        <v>26325.25</v>
      </c>
      <c r="G36" s="43">
        <v>0</v>
      </c>
      <c r="H36" s="43">
        <v>0</v>
      </c>
      <c r="I36" s="43">
        <v>0</v>
      </c>
      <c r="J36" s="43">
        <v>0</v>
      </c>
      <c r="K36" s="43">
        <v>0</v>
      </c>
      <c r="L36" s="139">
        <v>0</v>
      </c>
      <c r="M36" s="139">
        <v>202222.61</v>
      </c>
      <c r="N36" s="139">
        <v>167958.45</v>
      </c>
      <c r="O36" s="139">
        <v>226604.18</v>
      </c>
      <c r="P36" s="139">
        <v>0</v>
      </c>
      <c r="Q36" s="139">
        <v>0</v>
      </c>
      <c r="R36" s="139">
        <v>0</v>
      </c>
      <c r="S36" s="139">
        <v>0</v>
      </c>
      <c r="T36" s="139">
        <v>596785.24</v>
      </c>
    </row>
    <row r="37" spans="1:20">
      <c r="R37" s="46"/>
      <c r="S37" s="46"/>
      <c r="T37" s="140">
        <v>728077.99</v>
      </c>
    </row>
  </sheetData>
  <mergeCells count="50"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AE25B-1805-4191-972B-83D609D6D059}">
  <sheetPr>
    <pageSetUpPr fitToPage="1"/>
  </sheetPr>
  <dimension ref="A1:T37"/>
  <sheetViews>
    <sheetView topLeftCell="D1" workbookViewId="0">
      <selection activeCell="I5" sqref="I5:K35"/>
    </sheetView>
  </sheetViews>
  <sheetFormatPr defaultRowHeight="15"/>
  <cols>
    <col min="1" max="3" width="9.140625" style="28"/>
    <col min="4" max="4" width="11.7109375" style="28" customWidth="1"/>
    <col min="5" max="5" width="12.140625" style="28" customWidth="1"/>
    <col min="6" max="6" width="13.28515625" style="28" customWidth="1"/>
    <col min="7" max="7" width="11.42578125" style="28" customWidth="1"/>
    <col min="8" max="8" width="10.42578125" style="28" customWidth="1"/>
    <col min="9" max="9" width="10.5703125" style="28" bestFit="1" customWidth="1"/>
    <col min="10" max="10" width="9.42578125" style="28" bestFit="1" customWidth="1"/>
    <col min="11" max="12" width="9.140625" style="28"/>
    <col min="13" max="13" width="15.140625" style="28" customWidth="1"/>
    <col min="14" max="14" width="13.5703125" style="28" customWidth="1"/>
    <col min="15" max="15" width="14.5703125" style="28" customWidth="1"/>
    <col min="16" max="16" width="14.5703125" style="28" bestFit="1" customWidth="1"/>
    <col min="17" max="17" width="15" style="28" customWidth="1"/>
    <col min="18" max="18" width="13.28515625" style="28" customWidth="1"/>
    <col min="19" max="19" width="11.7109375" style="28" customWidth="1"/>
    <col min="20" max="20" width="24.28515625" style="28" customWidth="1"/>
    <col min="21" max="16384" width="9.140625" style="28"/>
  </cols>
  <sheetData>
    <row r="1" spans="1:20">
      <c r="I1" s="29"/>
    </row>
    <row r="2" spans="1:20" ht="28.9" customHeight="1">
      <c r="A2" s="149" t="s">
        <v>203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</row>
    <row r="3" spans="1:20" ht="28.9" customHeight="1">
      <c r="A3" s="146" t="s">
        <v>0</v>
      </c>
      <c r="B3" s="150" t="s">
        <v>1</v>
      </c>
      <c r="C3" s="151"/>
      <c r="D3" s="146" t="s">
        <v>2</v>
      </c>
      <c r="E3" s="146" t="s">
        <v>3</v>
      </c>
      <c r="F3" s="30" t="s">
        <v>4</v>
      </c>
      <c r="G3" s="146" t="s">
        <v>156</v>
      </c>
      <c r="H3" s="146" t="s">
        <v>157</v>
      </c>
      <c r="I3" s="146" t="s">
        <v>7</v>
      </c>
      <c r="J3" s="146" t="s">
        <v>8</v>
      </c>
      <c r="K3" s="146" t="s">
        <v>158</v>
      </c>
      <c r="L3" s="146" t="s">
        <v>159</v>
      </c>
      <c r="M3" s="146" t="s">
        <v>160</v>
      </c>
      <c r="N3" s="146" t="s">
        <v>161</v>
      </c>
      <c r="O3" s="146" t="s">
        <v>162</v>
      </c>
      <c r="P3" s="146" t="s">
        <v>163</v>
      </c>
      <c r="Q3" s="146" t="s">
        <v>164</v>
      </c>
      <c r="R3" s="146" t="s">
        <v>16</v>
      </c>
      <c r="S3" s="146" t="s">
        <v>17</v>
      </c>
      <c r="T3" s="146" t="s">
        <v>18</v>
      </c>
    </row>
    <row r="4" spans="1:20" ht="27" customHeight="1">
      <c r="A4" s="147"/>
      <c r="B4" s="152"/>
      <c r="C4" s="153"/>
      <c r="D4" s="147"/>
      <c r="E4" s="147"/>
      <c r="F4" s="31"/>
      <c r="G4" s="147"/>
      <c r="H4" s="147"/>
      <c r="I4" s="147"/>
      <c r="J4" s="147"/>
      <c r="K4" s="148"/>
      <c r="L4" s="148"/>
      <c r="M4" s="147"/>
      <c r="N4" s="147"/>
      <c r="O4" s="147"/>
      <c r="P4" s="147"/>
      <c r="Q4" s="147"/>
      <c r="R4" s="147"/>
      <c r="S4" s="147"/>
      <c r="T4" s="147"/>
    </row>
    <row r="5" spans="1:20">
      <c r="A5" s="39">
        <v>1</v>
      </c>
      <c r="B5" s="144" t="s">
        <v>165</v>
      </c>
      <c r="C5" s="145"/>
      <c r="D5" s="141">
        <v>220.5</v>
      </c>
      <c r="E5" s="141">
        <v>152.125</v>
      </c>
      <c r="F5" s="141">
        <v>11501.384</v>
      </c>
      <c r="G5" s="137">
        <v>0</v>
      </c>
      <c r="H5" s="137">
        <v>0</v>
      </c>
      <c r="I5" s="36">
        <v>0</v>
      </c>
      <c r="J5" s="36">
        <v>0</v>
      </c>
      <c r="K5" s="37">
        <v>0</v>
      </c>
      <c r="L5" s="138">
        <v>0</v>
      </c>
      <c r="M5" s="138">
        <v>0</v>
      </c>
      <c r="N5" s="138">
        <v>0</v>
      </c>
      <c r="O5" s="138">
        <v>0</v>
      </c>
      <c r="P5" s="138">
        <v>0</v>
      </c>
      <c r="Q5" s="138">
        <v>0</v>
      </c>
      <c r="R5" s="138">
        <v>0</v>
      </c>
      <c r="S5" s="138">
        <v>0</v>
      </c>
      <c r="T5" s="138">
        <v>0</v>
      </c>
    </row>
    <row r="6" spans="1:20">
      <c r="A6" s="39">
        <v>2</v>
      </c>
      <c r="B6" s="144" t="s">
        <v>166</v>
      </c>
      <c r="C6" s="145"/>
      <c r="D6" s="141">
        <v>308.5</v>
      </c>
      <c r="E6" s="141">
        <v>130.125</v>
      </c>
      <c r="F6" s="141">
        <v>11679.759</v>
      </c>
      <c r="G6" s="137">
        <v>0</v>
      </c>
      <c r="H6" s="137">
        <v>0</v>
      </c>
      <c r="I6" s="36">
        <v>0</v>
      </c>
      <c r="J6" s="36">
        <v>0</v>
      </c>
      <c r="K6" s="37">
        <v>0</v>
      </c>
      <c r="L6" s="138">
        <v>0</v>
      </c>
      <c r="M6" s="138">
        <v>0</v>
      </c>
      <c r="N6" s="138">
        <v>0</v>
      </c>
      <c r="O6" s="138">
        <v>0</v>
      </c>
      <c r="P6" s="138">
        <v>0</v>
      </c>
      <c r="Q6" s="138">
        <v>0</v>
      </c>
      <c r="R6" s="138">
        <v>0</v>
      </c>
      <c r="S6" s="138">
        <v>0</v>
      </c>
      <c r="T6" s="138">
        <v>0</v>
      </c>
    </row>
    <row r="7" spans="1:20">
      <c r="A7" s="39">
        <v>3</v>
      </c>
      <c r="B7" s="144" t="s">
        <v>167</v>
      </c>
      <c r="C7" s="145"/>
      <c r="D7" s="141">
        <v>289.5</v>
      </c>
      <c r="E7" s="141">
        <v>151.30000000000001</v>
      </c>
      <c r="F7" s="141">
        <v>11817.959000000001</v>
      </c>
      <c r="G7" s="137">
        <v>0</v>
      </c>
      <c r="H7" s="137">
        <v>0</v>
      </c>
      <c r="I7" s="36">
        <v>0</v>
      </c>
      <c r="J7" s="36">
        <v>0</v>
      </c>
      <c r="K7" s="37">
        <v>0</v>
      </c>
      <c r="L7" s="138">
        <v>0</v>
      </c>
      <c r="M7" s="138">
        <v>0</v>
      </c>
      <c r="N7" s="138">
        <v>0</v>
      </c>
      <c r="O7" s="138">
        <v>0</v>
      </c>
      <c r="P7" s="138">
        <v>0</v>
      </c>
      <c r="Q7" s="138">
        <v>0</v>
      </c>
      <c r="R7" s="138">
        <v>0</v>
      </c>
      <c r="S7" s="138">
        <v>0</v>
      </c>
      <c r="T7" s="138">
        <v>0</v>
      </c>
    </row>
    <row r="8" spans="1:20">
      <c r="A8" s="39">
        <v>4</v>
      </c>
      <c r="B8" s="144" t="s">
        <v>168</v>
      </c>
      <c r="C8" s="145"/>
      <c r="D8" s="141">
        <v>420.375</v>
      </c>
      <c r="E8" s="141">
        <v>132.5</v>
      </c>
      <c r="F8" s="141">
        <v>12105.834000000001</v>
      </c>
      <c r="G8" s="137">
        <v>0</v>
      </c>
      <c r="H8" s="137">
        <v>0</v>
      </c>
      <c r="I8" s="36">
        <v>0</v>
      </c>
      <c r="J8" s="36">
        <v>0</v>
      </c>
      <c r="K8" s="37">
        <v>0</v>
      </c>
      <c r="L8" s="138">
        <v>0</v>
      </c>
      <c r="M8" s="138">
        <v>0</v>
      </c>
      <c r="N8" s="138">
        <v>0</v>
      </c>
      <c r="O8" s="138">
        <v>0</v>
      </c>
      <c r="P8" s="138">
        <v>0</v>
      </c>
      <c r="Q8" s="138">
        <v>0</v>
      </c>
      <c r="R8" s="138">
        <v>0</v>
      </c>
      <c r="S8" s="138">
        <v>0</v>
      </c>
      <c r="T8" s="138">
        <v>0</v>
      </c>
    </row>
    <row r="9" spans="1:20">
      <c r="A9" s="39">
        <v>5</v>
      </c>
      <c r="B9" s="144" t="s">
        <v>169</v>
      </c>
      <c r="C9" s="145"/>
      <c r="D9" s="141">
        <v>290</v>
      </c>
      <c r="E9" s="141">
        <v>165</v>
      </c>
      <c r="F9" s="141">
        <v>12230.834000000001</v>
      </c>
      <c r="G9" s="137">
        <v>0</v>
      </c>
      <c r="H9" s="137">
        <v>0</v>
      </c>
      <c r="I9" s="36">
        <v>0</v>
      </c>
      <c r="J9" s="36">
        <v>0</v>
      </c>
      <c r="K9" s="37">
        <v>0</v>
      </c>
      <c r="L9" s="138">
        <v>0</v>
      </c>
      <c r="M9" s="138">
        <v>0</v>
      </c>
      <c r="N9" s="138">
        <v>0</v>
      </c>
      <c r="O9" s="138">
        <v>0</v>
      </c>
      <c r="P9" s="138">
        <v>0</v>
      </c>
      <c r="Q9" s="138">
        <v>0</v>
      </c>
      <c r="R9" s="138">
        <v>0</v>
      </c>
      <c r="S9" s="138">
        <v>0</v>
      </c>
      <c r="T9" s="138">
        <v>0</v>
      </c>
    </row>
    <row r="10" spans="1:20">
      <c r="A10" s="39">
        <v>6</v>
      </c>
      <c r="B10" s="144" t="s">
        <v>170</v>
      </c>
      <c r="C10" s="145"/>
      <c r="D10" s="141">
        <v>172</v>
      </c>
      <c r="E10" s="141">
        <v>244.625</v>
      </c>
      <c r="F10" s="141">
        <v>12158.209000000001</v>
      </c>
      <c r="G10" s="137">
        <v>0</v>
      </c>
      <c r="H10" s="137">
        <v>0</v>
      </c>
      <c r="I10" s="36">
        <v>0</v>
      </c>
      <c r="J10" s="36">
        <v>0</v>
      </c>
      <c r="K10" s="37">
        <v>0</v>
      </c>
      <c r="L10" s="138">
        <v>0</v>
      </c>
      <c r="M10" s="138">
        <v>0</v>
      </c>
      <c r="N10" s="138">
        <v>0</v>
      </c>
      <c r="O10" s="138">
        <v>0</v>
      </c>
      <c r="P10" s="138">
        <v>0</v>
      </c>
      <c r="Q10" s="138">
        <v>0</v>
      </c>
      <c r="R10" s="138">
        <v>0</v>
      </c>
      <c r="S10" s="138">
        <v>0</v>
      </c>
      <c r="T10" s="138">
        <v>0</v>
      </c>
    </row>
    <row r="11" spans="1:20">
      <c r="A11" s="39">
        <v>7</v>
      </c>
      <c r="B11" s="144" t="s">
        <v>171</v>
      </c>
      <c r="C11" s="145"/>
      <c r="D11" s="141">
        <v>332</v>
      </c>
      <c r="E11" s="141">
        <v>252.875</v>
      </c>
      <c r="F11" s="141">
        <v>12237.334000000001</v>
      </c>
      <c r="G11" s="137">
        <v>0</v>
      </c>
      <c r="H11" s="137">
        <v>0</v>
      </c>
      <c r="I11" s="36">
        <v>0</v>
      </c>
      <c r="J11" s="36">
        <v>0</v>
      </c>
      <c r="K11" s="37">
        <v>0</v>
      </c>
      <c r="L11" s="138">
        <v>0</v>
      </c>
      <c r="M11" s="138">
        <v>0</v>
      </c>
      <c r="N11" s="138">
        <v>0</v>
      </c>
      <c r="O11" s="138">
        <v>0</v>
      </c>
      <c r="P11" s="138">
        <v>0</v>
      </c>
      <c r="Q11" s="138">
        <v>0</v>
      </c>
      <c r="R11" s="138">
        <v>0</v>
      </c>
      <c r="S11" s="138">
        <v>0</v>
      </c>
      <c r="T11" s="138">
        <v>0</v>
      </c>
    </row>
    <row r="12" spans="1:20">
      <c r="A12" s="39">
        <v>8</v>
      </c>
      <c r="B12" s="144" t="s">
        <v>172</v>
      </c>
      <c r="C12" s="145"/>
      <c r="D12" s="141">
        <v>402.5</v>
      </c>
      <c r="E12" s="141">
        <v>283.375</v>
      </c>
      <c r="F12" s="141">
        <v>12356.459000000001</v>
      </c>
      <c r="G12" s="137">
        <v>0</v>
      </c>
      <c r="H12" s="137">
        <v>0</v>
      </c>
      <c r="I12" s="36">
        <v>42.625</v>
      </c>
      <c r="J12" s="36">
        <v>42.625</v>
      </c>
      <c r="K12" s="37">
        <v>0</v>
      </c>
      <c r="L12" s="138">
        <v>0</v>
      </c>
      <c r="M12" s="138">
        <v>0</v>
      </c>
      <c r="N12" s="138">
        <v>0</v>
      </c>
      <c r="O12" s="138">
        <v>0</v>
      </c>
      <c r="P12" s="138">
        <v>0</v>
      </c>
      <c r="Q12" s="138">
        <v>0</v>
      </c>
      <c r="R12" s="138">
        <v>40493.75</v>
      </c>
      <c r="S12" s="138">
        <v>5115</v>
      </c>
      <c r="T12" s="138">
        <v>45608.75</v>
      </c>
    </row>
    <row r="13" spans="1:20">
      <c r="A13" s="39">
        <v>9</v>
      </c>
      <c r="B13" s="144" t="s">
        <v>173</v>
      </c>
      <c r="C13" s="145"/>
      <c r="D13" s="141">
        <v>401</v>
      </c>
      <c r="E13" s="141">
        <v>307.625</v>
      </c>
      <c r="F13" s="141">
        <v>12449.834000000001</v>
      </c>
      <c r="G13" s="137">
        <v>0</v>
      </c>
      <c r="H13" s="137">
        <v>0</v>
      </c>
      <c r="I13" s="36">
        <v>10.5</v>
      </c>
      <c r="J13" s="36">
        <v>10.5</v>
      </c>
      <c r="K13" s="37">
        <v>0</v>
      </c>
      <c r="L13" s="138">
        <v>0</v>
      </c>
      <c r="M13" s="138">
        <v>0</v>
      </c>
      <c r="N13" s="138">
        <v>0</v>
      </c>
      <c r="O13" s="138">
        <v>0</v>
      </c>
      <c r="P13" s="138">
        <v>0</v>
      </c>
      <c r="Q13" s="138">
        <v>0</v>
      </c>
      <c r="R13" s="138">
        <v>9975</v>
      </c>
      <c r="S13" s="138">
        <v>1260</v>
      </c>
      <c r="T13" s="138">
        <v>11235</v>
      </c>
    </row>
    <row r="14" spans="1:20">
      <c r="A14" s="39">
        <v>10</v>
      </c>
      <c r="B14" s="144" t="s">
        <v>174</v>
      </c>
      <c r="C14" s="145"/>
      <c r="D14" s="141">
        <v>288</v>
      </c>
      <c r="E14" s="141">
        <v>231.5</v>
      </c>
      <c r="F14" s="141">
        <v>12506.334000000001</v>
      </c>
      <c r="G14" s="137">
        <v>0</v>
      </c>
      <c r="H14" s="137">
        <v>0</v>
      </c>
      <c r="I14" s="36">
        <v>22</v>
      </c>
      <c r="J14" s="36">
        <v>22</v>
      </c>
      <c r="K14" s="37">
        <v>0</v>
      </c>
      <c r="L14" s="138">
        <v>0</v>
      </c>
      <c r="M14" s="138">
        <v>0</v>
      </c>
      <c r="N14" s="138">
        <v>0</v>
      </c>
      <c r="O14" s="138">
        <v>0</v>
      </c>
      <c r="P14" s="138">
        <v>0</v>
      </c>
      <c r="Q14" s="138">
        <v>0</v>
      </c>
      <c r="R14" s="138">
        <v>20900</v>
      </c>
      <c r="S14" s="138">
        <v>2640</v>
      </c>
      <c r="T14" s="138">
        <v>23540</v>
      </c>
    </row>
    <row r="15" spans="1:20">
      <c r="A15" s="39">
        <v>11</v>
      </c>
      <c r="B15" s="144" t="s">
        <v>175</v>
      </c>
      <c r="C15" s="145"/>
      <c r="D15" s="141">
        <v>155</v>
      </c>
      <c r="E15" s="141">
        <v>176.5</v>
      </c>
      <c r="F15" s="141">
        <v>12484.834000000001</v>
      </c>
      <c r="G15" s="137">
        <v>0</v>
      </c>
      <c r="H15" s="137">
        <v>0</v>
      </c>
      <c r="I15" s="36">
        <v>0</v>
      </c>
      <c r="J15" s="36">
        <v>0</v>
      </c>
      <c r="K15" s="37">
        <v>0</v>
      </c>
      <c r="L15" s="138">
        <v>0</v>
      </c>
      <c r="M15" s="138">
        <v>0</v>
      </c>
      <c r="N15" s="138">
        <v>0</v>
      </c>
      <c r="O15" s="138">
        <v>0</v>
      </c>
      <c r="P15" s="138">
        <v>0</v>
      </c>
      <c r="Q15" s="138">
        <v>0</v>
      </c>
      <c r="R15" s="138">
        <v>0</v>
      </c>
      <c r="S15" s="138">
        <v>0</v>
      </c>
      <c r="T15" s="138">
        <v>0</v>
      </c>
    </row>
    <row r="16" spans="1:20">
      <c r="A16" s="39">
        <v>12</v>
      </c>
      <c r="B16" s="144" t="s">
        <v>176</v>
      </c>
      <c r="C16" s="145"/>
      <c r="D16" s="141">
        <v>262.17500000000001</v>
      </c>
      <c r="E16" s="141">
        <v>298</v>
      </c>
      <c r="F16" s="141">
        <v>12449.009</v>
      </c>
      <c r="G16" s="137">
        <v>0</v>
      </c>
      <c r="H16" s="137">
        <v>0</v>
      </c>
      <c r="I16" s="36">
        <v>0</v>
      </c>
      <c r="J16" s="36">
        <v>0</v>
      </c>
      <c r="K16" s="37">
        <v>0</v>
      </c>
      <c r="L16" s="138">
        <v>0</v>
      </c>
      <c r="M16" s="138">
        <v>0</v>
      </c>
      <c r="N16" s="138">
        <v>0</v>
      </c>
      <c r="O16" s="138">
        <v>0</v>
      </c>
      <c r="P16" s="138">
        <v>0</v>
      </c>
      <c r="Q16" s="138">
        <v>0</v>
      </c>
      <c r="R16" s="138">
        <v>0</v>
      </c>
      <c r="S16" s="138">
        <v>0</v>
      </c>
      <c r="T16" s="138">
        <v>0</v>
      </c>
    </row>
    <row r="17" spans="1:20">
      <c r="A17" s="39">
        <v>13</v>
      </c>
      <c r="B17" s="144" t="s">
        <v>177</v>
      </c>
      <c r="C17" s="145"/>
      <c r="D17" s="141">
        <v>331.5</v>
      </c>
      <c r="E17" s="141">
        <v>253.375</v>
      </c>
      <c r="F17" s="141">
        <v>12527.134</v>
      </c>
      <c r="G17" s="137">
        <v>0</v>
      </c>
      <c r="H17" s="137">
        <v>0</v>
      </c>
      <c r="I17" s="36">
        <v>0</v>
      </c>
      <c r="J17" s="36">
        <v>0</v>
      </c>
      <c r="K17" s="37">
        <v>0</v>
      </c>
      <c r="L17" s="138">
        <v>0</v>
      </c>
      <c r="M17" s="138">
        <v>0</v>
      </c>
      <c r="N17" s="138">
        <v>0</v>
      </c>
      <c r="O17" s="138">
        <v>0</v>
      </c>
      <c r="P17" s="138">
        <v>0</v>
      </c>
      <c r="Q17" s="138">
        <v>0</v>
      </c>
      <c r="R17" s="138">
        <v>0</v>
      </c>
      <c r="S17" s="138">
        <v>0</v>
      </c>
      <c r="T17" s="138">
        <v>0</v>
      </c>
    </row>
    <row r="18" spans="1:20">
      <c r="A18" s="39">
        <v>14</v>
      </c>
      <c r="B18" s="144" t="s">
        <v>178</v>
      </c>
      <c r="C18" s="145"/>
      <c r="D18" s="141">
        <v>354</v>
      </c>
      <c r="E18" s="141">
        <v>201.92500000000001</v>
      </c>
      <c r="F18" s="141">
        <v>12679.209000000001</v>
      </c>
      <c r="G18" s="137">
        <v>0</v>
      </c>
      <c r="H18" s="137">
        <v>0</v>
      </c>
      <c r="I18" s="36">
        <v>0</v>
      </c>
      <c r="J18" s="36">
        <v>0</v>
      </c>
      <c r="K18" s="37">
        <v>0</v>
      </c>
      <c r="L18" s="138">
        <v>0</v>
      </c>
      <c r="M18" s="138">
        <v>0</v>
      </c>
      <c r="N18" s="138">
        <v>0</v>
      </c>
      <c r="O18" s="138">
        <v>0</v>
      </c>
      <c r="P18" s="138">
        <v>0</v>
      </c>
      <c r="Q18" s="138">
        <v>0</v>
      </c>
      <c r="R18" s="138">
        <v>0</v>
      </c>
      <c r="S18" s="138">
        <v>0</v>
      </c>
      <c r="T18" s="138">
        <v>0</v>
      </c>
    </row>
    <row r="19" spans="1:20">
      <c r="A19" s="39">
        <v>15</v>
      </c>
      <c r="B19" s="144" t="s">
        <v>179</v>
      </c>
      <c r="C19" s="145"/>
      <c r="D19" s="141">
        <v>176</v>
      </c>
      <c r="E19" s="141">
        <v>332</v>
      </c>
      <c r="F19" s="141">
        <v>12523.209000000001</v>
      </c>
      <c r="G19" s="137">
        <v>0</v>
      </c>
      <c r="H19" s="137">
        <v>0</v>
      </c>
      <c r="I19" s="36">
        <v>0</v>
      </c>
      <c r="J19" s="36">
        <v>0</v>
      </c>
      <c r="K19" s="37">
        <v>0</v>
      </c>
      <c r="L19" s="138">
        <v>0</v>
      </c>
      <c r="M19" s="138">
        <v>0</v>
      </c>
      <c r="N19" s="138">
        <v>0</v>
      </c>
      <c r="O19" s="138">
        <v>0</v>
      </c>
      <c r="P19" s="138">
        <v>0</v>
      </c>
      <c r="Q19" s="138">
        <v>0</v>
      </c>
      <c r="R19" s="138">
        <v>0</v>
      </c>
      <c r="S19" s="138">
        <v>0</v>
      </c>
      <c r="T19" s="138">
        <v>0</v>
      </c>
    </row>
    <row r="20" spans="1:20">
      <c r="A20" s="39">
        <v>16</v>
      </c>
      <c r="B20" s="144" t="s">
        <v>180</v>
      </c>
      <c r="C20" s="145"/>
      <c r="D20" s="141">
        <v>66</v>
      </c>
      <c r="E20" s="141">
        <v>179.57499999999999</v>
      </c>
      <c r="F20" s="141">
        <v>12409.634</v>
      </c>
      <c r="G20" s="137">
        <v>0</v>
      </c>
      <c r="H20" s="137">
        <v>0</v>
      </c>
      <c r="I20" s="36">
        <v>0</v>
      </c>
      <c r="J20" s="36">
        <v>0</v>
      </c>
      <c r="K20" s="37">
        <v>0</v>
      </c>
      <c r="L20" s="138">
        <v>0</v>
      </c>
      <c r="M20" s="138">
        <v>0</v>
      </c>
      <c r="N20" s="138">
        <v>0</v>
      </c>
      <c r="O20" s="138">
        <v>0</v>
      </c>
      <c r="P20" s="138">
        <v>0</v>
      </c>
      <c r="Q20" s="138">
        <v>0</v>
      </c>
      <c r="R20" s="138">
        <v>0</v>
      </c>
      <c r="S20" s="138">
        <v>0</v>
      </c>
      <c r="T20" s="138">
        <v>0</v>
      </c>
    </row>
    <row r="21" spans="1:20">
      <c r="A21" s="39">
        <v>17</v>
      </c>
      <c r="B21" s="144" t="s">
        <v>181</v>
      </c>
      <c r="C21" s="145"/>
      <c r="D21" s="141">
        <v>220</v>
      </c>
      <c r="E21" s="141">
        <v>223.375</v>
      </c>
      <c r="F21" s="141">
        <v>12406.259</v>
      </c>
      <c r="G21" s="137">
        <v>0</v>
      </c>
      <c r="H21" s="137">
        <v>0</v>
      </c>
      <c r="I21" s="36">
        <v>0</v>
      </c>
      <c r="J21" s="36">
        <v>0</v>
      </c>
      <c r="K21" s="37">
        <v>0</v>
      </c>
      <c r="L21" s="138">
        <v>0</v>
      </c>
      <c r="M21" s="138">
        <v>0</v>
      </c>
      <c r="N21" s="138">
        <v>0</v>
      </c>
      <c r="O21" s="138">
        <v>0</v>
      </c>
      <c r="P21" s="138">
        <v>0</v>
      </c>
      <c r="Q21" s="138">
        <v>0</v>
      </c>
      <c r="R21" s="138">
        <v>0</v>
      </c>
      <c r="S21" s="138">
        <v>0</v>
      </c>
      <c r="T21" s="138">
        <v>0</v>
      </c>
    </row>
    <row r="22" spans="1:20">
      <c r="A22" s="39">
        <v>18</v>
      </c>
      <c r="B22" s="144" t="s">
        <v>182</v>
      </c>
      <c r="C22" s="145"/>
      <c r="D22" s="141">
        <v>0</v>
      </c>
      <c r="E22" s="141">
        <v>336.25</v>
      </c>
      <c r="F22" s="141">
        <v>12070.009</v>
      </c>
      <c r="G22" s="137">
        <v>0</v>
      </c>
      <c r="H22" s="137">
        <v>0</v>
      </c>
      <c r="I22" s="36">
        <v>0</v>
      </c>
      <c r="J22" s="36">
        <v>0</v>
      </c>
      <c r="K22" s="37">
        <v>0</v>
      </c>
      <c r="L22" s="138">
        <v>0</v>
      </c>
      <c r="M22" s="138">
        <v>0</v>
      </c>
      <c r="N22" s="138">
        <v>0</v>
      </c>
      <c r="O22" s="138">
        <v>0</v>
      </c>
      <c r="P22" s="138">
        <v>0</v>
      </c>
      <c r="Q22" s="138">
        <v>0</v>
      </c>
      <c r="R22" s="138">
        <v>0</v>
      </c>
      <c r="S22" s="138">
        <v>0</v>
      </c>
      <c r="T22" s="138">
        <v>0</v>
      </c>
    </row>
    <row r="23" spans="1:20">
      <c r="A23" s="39">
        <v>19</v>
      </c>
      <c r="B23" s="144" t="s">
        <v>183</v>
      </c>
      <c r="C23" s="145"/>
      <c r="D23" s="141">
        <v>22</v>
      </c>
      <c r="E23" s="141">
        <v>110</v>
      </c>
      <c r="F23" s="141">
        <v>11982.009</v>
      </c>
      <c r="G23" s="137">
        <v>0</v>
      </c>
      <c r="H23" s="137">
        <v>0</v>
      </c>
      <c r="I23" s="36">
        <v>0</v>
      </c>
      <c r="J23" s="36">
        <v>0</v>
      </c>
      <c r="K23" s="37">
        <v>0</v>
      </c>
      <c r="L23" s="138">
        <v>0</v>
      </c>
      <c r="M23" s="138">
        <v>0</v>
      </c>
      <c r="N23" s="138">
        <v>0</v>
      </c>
      <c r="O23" s="138">
        <v>0</v>
      </c>
      <c r="P23" s="138">
        <v>0</v>
      </c>
      <c r="Q23" s="138">
        <v>0</v>
      </c>
      <c r="R23" s="138">
        <v>0</v>
      </c>
      <c r="S23" s="138">
        <v>0</v>
      </c>
      <c r="T23" s="138">
        <v>0</v>
      </c>
    </row>
    <row r="24" spans="1:20">
      <c r="A24" s="39">
        <v>20</v>
      </c>
      <c r="B24" s="144" t="s">
        <v>184</v>
      </c>
      <c r="C24" s="145"/>
      <c r="D24" s="141">
        <v>154</v>
      </c>
      <c r="E24" s="141">
        <v>136.125</v>
      </c>
      <c r="F24" s="141">
        <v>11999.884</v>
      </c>
      <c r="G24" s="137">
        <v>0</v>
      </c>
      <c r="H24" s="137">
        <v>0</v>
      </c>
      <c r="I24" s="36">
        <v>0</v>
      </c>
      <c r="J24" s="36">
        <v>0</v>
      </c>
      <c r="K24" s="37">
        <v>0</v>
      </c>
      <c r="L24" s="138">
        <v>0</v>
      </c>
      <c r="M24" s="138">
        <v>0</v>
      </c>
      <c r="N24" s="138">
        <v>0</v>
      </c>
      <c r="O24" s="138">
        <v>0</v>
      </c>
      <c r="P24" s="138">
        <v>0</v>
      </c>
      <c r="Q24" s="138">
        <v>0</v>
      </c>
      <c r="R24" s="138">
        <v>0</v>
      </c>
      <c r="S24" s="138">
        <v>0</v>
      </c>
      <c r="T24" s="138">
        <v>0</v>
      </c>
    </row>
    <row r="25" spans="1:20">
      <c r="A25" s="39">
        <v>21</v>
      </c>
      <c r="B25" s="144" t="s">
        <v>185</v>
      </c>
      <c r="C25" s="145"/>
      <c r="D25" s="141">
        <v>198</v>
      </c>
      <c r="E25" s="141">
        <v>165.77500000000001</v>
      </c>
      <c r="F25" s="141">
        <v>12032.109</v>
      </c>
      <c r="G25" s="137">
        <v>0</v>
      </c>
      <c r="H25" s="137">
        <v>0</v>
      </c>
      <c r="I25" s="36">
        <v>0</v>
      </c>
      <c r="J25" s="36">
        <v>0</v>
      </c>
      <c r="K25" s="37">
        <v>0</v>
      </c>
      <c r="L25" s="138">
        <v>0</v>
      </c>
      <c r="M25" s="138">
        <v>0</v>
      </c>
      <c r="N25" s="138">
        <v>0</v>
      </c>
      <c r="O25" s="138">
        <v>0</v>
      </c>
      <c r="P25" s="138">
        <v>0</v>
      </c>
      <c r="Q25" s="138">
        <v>0</v>
      </c>
      <c r="R25" s="138">
        <v>0</v>
      </c>
      <c r="S25" s="138">
        <v>0</v>
      </c>
      <c r="T25" s="138">
        <v>0</v>
      </c>
    </row>
    <row r="26" spans="1:20">
      <c r="A26" s="39">
        <v>22</v>
      </c>
      <c r="B26" s="144" t="s">
        <v>186</v>
      </c>
      <c r="C26" s="145"/>
      <c r="D26" s="141">
        <v>110</v>
      </c>
      <c r="E26" s="141">
        <v>216.5</v>
      </c>
      <c r="F26" s="141">
        <v>11925.609</v>
      </c>
      <c r="G26" s="137">
        <v>0</v>
      </c>
      <c r="H26" s="137">
        <v>0</v>
      </c>
      <c r="I26" s="36">
        <v>22</v>
      </c>
      <c r="J26" s="36">
        <v>22</v>
      </c>
      <c r="K26" s="37">
        <v>0</v>
      </c>
      <c r="L26" s="138">
        <v>0</v>
      </c>
      <c r="M26" s="138">
        <v>0</v>
      </c>
      <c r="N26" s="138">
        <v>0</v>
      </c>
      <c r="O26" s="138">
        <v>0</v>
      </c>
      <c r="P26" s="138">
        <v>0</v>
      </c>
      <c r="Q26" s="138">
        <v>0</v>
      </c>
      <c r="R26" s="138">
        <v>20900</v>
      </c>
      <c r="S26" s="138">
        <v>2640</v>
      </c>
      <c r="T26" s="138">
        <v>23540</v>
      </c>
    </row>
    <row r="27" spans="1:20">
      <c r="A27" s="39">
        <v>23</v>
      </c>
      <c r="B27" s="144" t="s">
        <v>187</v>
      </c>
      <c r="C27" s="145"/>
      <c r="D27" s="141">
        <v>88</v>
      </c>
      <c r="E27" s="141">
        <v>379.97500000000002</v>
      </c>
      <c r="F27" s="141">
        <v>11633.634</v>
      </c>
      <c r="G27" s="137">
        <v>0</v>
      </c>
      <c r="H27" s="137">
        <v>0</v>
      </c>
      <c r="I27" s="36">
        <v>0</v>
      </c>
      <c r="J27" s="36">
        <v>0</v>
      </c>
      <c r="K27" s="37">
        <v>0</v>
      </c>
      <c r="L27" s="138">
        <v>0</v>
      </c>
      <c r="M27" s="138">
        <v>0</v>
      </c>
      <c r="N27" s="138">
        <v>0</v>
      </c>
      <c r="O27" s="138">
        <v>0</v>
      </c>
      <c r="P27" s="138">
        <v>0</v>
      </c>
      <c r="Q27" s="138">
        <v>0</v>
      </c>
      <c r="R27" s="138">
        <v>0</v>
      </c>
      <c r="S27" s="138">
        <v>0</v>
      </c>
      <c r="T27" s="138">
        <v>0</v>
      </c>
    </row>
    <row r="28" spans="1:20">
      <c r="A28" s="39">
        <v>24</v>
      </c>
      <c r="B28" s="144" t="s">
        <v>188</v>
      </c>
      <c r="C28" s="145"/>
      <c r="D28" s="141">
        <v>66</v>
      </c>
      <c r="E28" s="141">
        <v>187</v>
      </c>
      <c r="F28" s="141">
        <v>11512.634</v>
      </c>
      <c r="G28" s="137">
        <v>0</v>
      </c>
      <c r="H28" s="137">
        <v>0</v>
      </c>
      <c r="I28" s="36">
        <v>0</v>
      </c>
      <c r="J28" s="36">
        <v>0</v>
      </c>
      <c r="K28" s="37">
        <v>0</v>
      </c>
      <c r="L28" s="138">
        <v>0</v>
      </c>
      <c r="M28" s="138">
        <v>0</v>
      </c>
      <c r="N28" s="138">
        <v>0</v>
      </c>
      <c r="O28" s="138">
        <v>0</v>
      </c>
      <c r="P28" s="138">
        <v>0</v>
      </c>
      <c r="Q28" s="138">
        <v>0</v>
      </c>
      <c r="R28" s="138">
        <v>0</v>
      </c>
      <c r="S28" s="138">
        <v>0</v>
      </c>
      <c r="T28" s="138">
        <v>0</v>
      </c>
    </row>
    <row r="29" spans="1:20">
      <c r="A29" s="39">
        <v>25</v>
      </c>
      <c r="B29" s="144" t="s">
        <v>189</v>
      </c>
      <c r="C29" s="145"/>
      <c r="D29" s="141">
        <v>132.375</v>
      </c>
      <c r="E29" s="141">
        <v>276.75</v>
      </c>
      <c r="F29" s="141">
        <v>11368.259</v>
      </c>
      <c r="G29" s="137">
        <v>0</v>
      </c>
      <c r="H29" s="137">
        <v>0</v>
      </c>
      <c r="I29" s="36">
        <v>0</v>
      </c>
      <c r="J29" s="36">
        <v>0</v>
      </c>
      <c r="K29" s="37">
        <v>0</v>
      </c>
      <c r="L29" s="138">
        <v>0</v>
      </c>
      <c r="M29" s="138">
        <v>0</v>
      </c>
      <c r="N29" s="138">
        <v>0</v>
      </c>
      <c r="O29" s="138">
        <v>0</v>
      </c>
      <c r="P29" s="138">
        <v>0</v>
      </c>
      <c r="Q29" s="138">
        <v>0</v>
      </c>
      <c r="R29" s="138">
        <v>0</v>
      </c>
      <c r="S29" s="138">
        <v>0</v>
      </c>
      <c r="T29" s="138">
        <v>0</v>
      </c>
    </row>
    <row r="30" spans="1:20">
      <c r="A30" s="39">
        <v>26</v>
      </c>
      <c r="B30" s="144" t="s">
        <v>190</v>
      </c>
      <c r="C30" s="145"/>
      <c r="D30" s="141">
        <v>0</v>
      </c>
      <c r="E30" s="141">
        <v>243.5</v>
      </c>
      <c r="F30" s="141">
        <v>11124.759</v>
      </c>
      <c r="G30" s="137">
        <v>0</v>
      </c>
      <c r="H30" s="137">
        <v>0</v>
      </c>
      <c r="I30" s="36">
        <v>0</v>
      </c>
      <c r="J30" s="36">
        <v>0</v>
      </c>
      <c r="K30" s="37">
        <v>0</v>
      </c>
      <c r="L30" s="138">
        <v>0</v>
      </c>
      <c r="M30" s="138">
        <v>0</v>
      </c>
      <c r="N30" s="138">
        <v>0</v>
      </c>
      <c r="O30" s="138">
        <v>0</v>
      </c>
      <c r="P30" s="138">
        <v>0</v>
      </c>
      <c r="Q30" s="138">
        <v>0</v>
      </c>
      <c r="R30" s="138">
        <v>0</v>
      </c>
      <c r="S30" s="138">
        <v>0</v>
      </c>
      <c r="T30" s="138">
        <v>0</v>
      </c>
    </row>
    <row r="31" spans="1:20">
      <c r="A31" s="39">
        <v>27</v>
      </c>
      <c r="B31" s="144" t="s">
        <v>191</v>
      </c>
      <c r="C31" s="145"/>
      <c r="D31" s="141">
        <v>176.5</v>
      </c>
      <c r="E31" s="141">
        <v>363.625</v>
      </c>
      <c r="F31" s="141">
        <v>10937.634</v>
      </c>
      <c r="G31" s="137">
        <v>0</v>
      </c>
      <c r="H31" s="137">
        <v>0</v>
      </c>
      <c r="I31" s="36">
        <v>0</v>
      </c>
      <c r="J31" s="36">
        <v>0</v>
      </c>
      <c r="K31" s="37">
        <v>0</v>
      </c>
      <c r="L31" s="138">
        <v>0</v>
      </c>
      <c r="M31" s="138">
        <v>0</v>
      </c>
      <c r="N31" s="138">
        <v>0</v>
      </c>
      <c r="O31" s="138">
        <v>0</v>
      </c>
      <c r="P31" s="138">
        <v>0</v>
      </c>
      <c r="Q31" s="138">
        <v>0</v>
      </c>
      <c r="R31" s="138">
        <v>0</v>
      </c>
      <c r="S31" s="138">
        <v>0</v>
      </c>
      <c r="T31" s="138">
        <v>0</v>
      </c>
    </row>
    <row r="32" spans="1:20">
      <c r="A32" s="39">
        <v>28</v>
      </c>
      <c r="B32" s="144" t="s">
        <v>192</v>
      </c>
      <c r="C32" s="145"/>
      <c r="D32" s="141">
        <v>248.82499999999999</v>
      </c>
      <c r="E32" s="141">
        <v>358.25</v>
      </c>
      <c r="F32" s="141">
        <v>10828.209000000001</v>
      </c>
      <c r="G32" s="137">
        <v>0</v>
      </c>
      <c r="H32" s="137">
        <v>0</v>
      </c>
      <c r="I32" s="36">
        <v>0</v>
      </c>
      <c r="J32" s="36">
        <v>0</v>
      </c>
      <c r="K32" s="37">
        <v>0</v>
      </c>
      <c r="L32" s="138">
        <v>0</v>
      </c>
      <c r="M32" s="138">
        <v>0</v>
      </c>
      <c r="N32" s="138">
        <v>0</v>
      </c>
      <c r="O32" s="138">
        <v>0</v>
      </c>
      <c r="P32" s="138">
        <v>0</v>
      </c>
      <c r="Q32" s="138">
        <v>0</v>
      </c>
      <c r="R32" s="138">
        <v>0</v>
      </c>
      <c r="S32" s="138">
        <v>0</v>
      </c>
      <c r="T32" s="138">
        <v>0</v>
      </c>
    </row>
    <row r="33" spans="1:20">
      <c r="A33" s="39">
        <v>29</v>
      </c>
      <c r="B33" s="144" t="s">
        <v>193</v>
      </c>
      <c r="C33" s="145"/>
      <c r="D33" s="141">
        <v>112.5</v>
      </c>
      <c r="E33" s="141">
        <v>411.8</v>
      </c>
      <c r="F33" s="141">
        <v>10528.909</v>
      </c>
      <c r="G33" s="137">
        <v>0</v>
      </c>
      <c r="H33" s="137">
        <v>0</v>
      </c>
      <c r="I33" s="36">
        <v>0</v>
      </c>
      <c r="J33" s="36">
        <v>0</v>
      </c>
      <c r="K33" s="37">
        <v>0</v>
      </c>
      <c r="L33" s="138">
        <v>0</v>
      </c>
      <c r="M33" s="138">
        <v>0</v>
      </c>
      <c r="N33" s="138">
        <v>0</v>
      </c>
      <c r="O33" s="138">
        <v>0</v>
      </c>
      <c r="P33" s="138">
        <v>0</v>
      </c>
      <c r="Q33" s="138">
        <v>0</v>
      </c>
      <c r="R33" s="138">
        <v>0</v>
      </c>
      <c r="S33" s="138">
        <v>0</v>
      </c>
      <c r="T33" s="138">
        <v>0</v>
      </c>
    </row>
    <row r="34" spans="1:20">
      <c r="A34" s="39">
        <v>30</v>
      </c>
      <c r="B34" s="144" t="s">
        <v>194</v>
      </c>
      <c r="C34" s="145"/>
      <c r="D34" s="141">
        <v>0</v>
      </c>
      <c r="E34" s="141">
        <v>171.875</v>
      </c>
      <c r="F34" s="141">
        <v>10357.034</v>
      </c>
      <c r="G34" s="137">
        <v>0</v>
      </c>
      <c r="H34" s="137">
        <v>0</v>
      </c>
      <c r="I34" s="36">
        <v>0</v>
      </c>
      <c r="J34" s="36">
        <v>0</v>
      </c>
      <c r="K34" s="37">
        <v>0</v>
      </c>
      <c r="L34" s="138">
        <v>0</v>
      </c>
      <c r="M34" s="138">
        <v>0</v>
      </c>
      <c r="N34" s="138">
        <v>0</v>
      </c>
      <c r="O34" s="138">
        <v>0</v>
      </c>
      <c r="P34" s="138">
        <v>0</v>
      </c>
      <c r="Q34" s="138">
        <v>0</v>
      </c>
      <c r="R34" s="138">
        <v>0</v>
      </c>
      <c r="S34" s="138">
        <v>0</v>
      </c>
      <c r="T34" s="138">
        <v>0</v>
      </c>
    </row>
    <row r="35" spans="1:20">
      <c r="A35" s="39">
        <v>31</v>
      </c>
      <c r="B35" s="144"/>
      <c r="C35" s="145"/>
      <c r="D35" s="141">
        <v>0</v>
      </c>
      <c r="E35" s="141">
        <v>0</v>
      </c>
      <c r="F35" s="141">
        <v>0</v>
      </c>
      <c r="G35" s="137">
        <v>0</v>
      </c>
      <c r="H35" s="137">
        <v>0</v>
      </c>
      <c r="I35" s="36">
        <v>0</v>
      </c>
      <c r="J35" s="36">
        <v>0</v>
      </c>
      <c r="K35" s="37">
        <v>0</v>
      </c>
      <c r="L35" s="138">
        <v>0</v>
      </c>
      <c r="M35" s="138">
        <v>0</v>
      </c>
      <c r="N35" s="138">
        <v>0</v>
      </c>
      <c r="O35" s="138">
        <v>0</v>
      </c>
      <c r="P35" s="138">
        <v>0</v>
      </c>
      <c r="Q35" s="138">
        <v>0</v>
      </c>
      <c r="R35" s="138">
        <v>0</v>
      </c>
      <c r="S35" s="138">
        <v>0</v>
      </c>
      <c r="T35" s="138">
        <v>0</v>
      </c>
    </row>
    <row r="36" spans="1:20">
      <c r="D36" s="43">
        <v>5997.25</v>
      </c>
      <c r="E36" s="43">
        <v>7073.2250000000004</v>
      </c>
      <c r="F36" s="43">
        <v>356823.92</v>
      </c>
      <c r="G36" s="43">
        <v>0</v>
      </c>
      <c r="H36" s="43">
        <v>0</v>
      </c>
      <c r="I36" s="43">
        <v>97.125</v>
      </c>
      <c r="J36" s="43">
        <v>97.125</v>
      </c>
      <c r="K36" s="43">
        <v>0</v>
      </c>
      <c r="L36" s="139">
        <v>0</v>
      </c>
      <c r="M36" s="139">
        <v>925098.9</v>
      </c>
      <c r="N36" s="139">
        <v>944339.66</v>
      </c>
      <c r="O36" s="139">
        <v>3035510.95</v>
      </c>
      <c r="P36" s="139">
        <v>1077467.52</v>
      </c>
      <c r="Q36" s="139">
        <v>0</v>
      </c>
      <c r="R36" s="139">
        <v>92268.75</v>
      </c>
      <c r="S36" s="139">
        <v>11655</v>
      </c>
      <c r="T36" s="139">
        <v>6086340.7800000003</v>
      </c>
    </row>
    <row r="37" spans="1:20">
      <c r="R37" s="46"/>
      <c r="S37" s="46"/>
      <c r="T37" s="140">
        <v>7425335.75</v>
      </c>
    </row>
  </sheetData>
  <mergeCells count="50"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CF54C-D933-44E9-84AE-86AD27D19E3A}">
  <sheetPr>
    <pageSetUpPr fitToPage="1"/>
  </sheetPr>
  <dimension ref="A1:T37"/>
  <sheetViews>
    <sheetView topLeftCell="A12" workbookViewId="0">
      <selection activeCell="N37" sqref="N37"/>
    </sheetView>
  </sheetViews>
  <sheetFormatPr defaultRowHeight="15"/>
  <cols>
    <col min="1" max="3" width="9.140625" style="28"/>
    <col min="4" max="5" width="9.42578125" style="28" bestFit="1" customWidth="1"/>
    <col min="6" max="6" width="12.42578125" style="28" customWidth="1"/>
    <col min="7" max="7" width="10.5703125" style="28" bestFit="1" customWidth="1"/>
    <col min="8" max="8" width="9.5703125" style="28" bestFit="1" customWidth="1"/>
    <col min="9" max="9" width="10.5703125" style="28" bestFit="1" customWidth="1"/>
    <col min="10" max="12" width="9.140625" style="28"/>
    <col min="13" max="13" width="14.140625" style="28" customWidth="1"/>
    <col min="14" max="14" width="13.5703125" style="28" customWidth="1"/>
    <col min="15" max="15" width="17.5703125" style="28" customWidth="1"/>
    <col min="16" max="16" width="15.85546875" style="28" customWidth="1"/>
    <col min="17" max="17" width="15" style="28" customWidth="1"/>
    <col min="18" max="18" width="13.28515625" style="28" customWidth="1"/>
    <col min="19" max="19" width="11.7109375" style="28" customWidth="1"/>
    <col min="20" max="20" width="24.28515625" style="28" customWidth="1"/>
    <col min="21" max="16384" width="9.140625" style="28"/>
  </cols>
  <sheetData>
    <row r="1" spans="1:20">
      <c r="I1" s="29"/>
    </row>
    <row r="2" spans="1:20" ht="28.9" customHeight="1">
      <c r="A2" s="149" t="s">
        <v>204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</row>
    <row r="3" spans="1:20" ht="28.9" customHeight="1">
      <c r="A3" s="146" t="s">
        <v>0</v>
      </c>
      <c r="B3" s="150" t="s">
        <v>1</v>
      </c>
      <c r="C3" s="151"/>
      <c r="D3" s="146" t="s">
        <v>2</v>
      </c>
      <c r="E3" s="146" t="s">
        <v>3</v>
      </c>
      <c r="F3" s="30" t="s">
        <v>4</v>
      </c>
      <c r="G3" s="146" t="s">
        <v>205</v>
      </c>
      <c r="H3" s="146" t="s">
        <v>6</v>
      </c>
      <c r="I3" s="146" t="s">
        <v>7</v>
      </c>
      <c r="J3" s="146" t="s">
        <v>8</v>
      </c>
      <c r="K3" s="146" t="s">
        <v>9</v>
      </c>
      <c r="L3" s="146" t="s">
        <v>10</v>
      </c>
      <c r="M3" s="146" t="s">
        <v>160</v>
      </c>
      <c r="N3" s="146" t="s">
        <v>161</v>
      </c>
      <c r="O3" s="146" t="s">
        <v>206</v>
      </c>
      <c r="P3" s="146" t="s">
        <v>14</v>
      </c>
      <c r="Q3" s="146" t="s">
        <v>15</v>
      </c>
      <c r="R3" s="146" t="s">
        <v>16</v>
      </c>
      <c r="S3" s="146" t="s">
        <v>17</v>
      </c>
      <c r="T3" s="146" t="s">
        <v>18</v>
      </c>
    </row>
    <row r="4" spans="1:20">
      <c r="A4" s="147"/>
      <c r="B4" s="152"/>
      <c r="C4" s="153"/>
      <c r="D4" s="147"/>
      <c r="E4" s="147"/>
      <c r="F4" s="31"/>
      <c r="G4" s="147"/>
      <c r="H4" s="147"/>
      <c r="I4" s="147"/>
      <c r="J4" s="147"/>
      <c r="K4" s="148"/>
      <c r="L4" s="148"/>
      <c r="M4" s="147"/>
      <c r="N4" s="147"/>
      <c r="O4" s="147"/>
      <c r="P4" s="147"/>
      <c r="Q4" s="147"/>
      <c r="R4" s="147"/>
      <c r="S4" s="147"/>
      <c r="T4" s="147"/>
    </row>
    <row r="5" spans="1:20">
      <c r="A5" s="39">
        <v>1</v>
      </c>
      <c r="B5" s="144" t="s">
        <v>165</v>
      </c>
      <c r="C5" s="145"/>
      <c r="D5" s="141">
        <v>374</v>
      </c>
      <c r="E5" s="141">
        <v>0</v>
      </c>
      <c r="F5" s="141">
        <v>13355.236999999999</v>
      </c>
      <c r="G5" s="137">
        <v>0</v>
      </c>
      <c r="H5" s="137">
        <v>0</v>
      </c>
      <c r="I5" s="36">
        <v>0</v>
      </c>
      <c r="J5" s="37">
        <v>0</v>
      </c>
      <c r="K5" s="37"/>
      <c r="L5" s="138">
        <v>0</v>
      </c>
      <c r="M5" s="138">
        <v>0</v>
      </c>
      <c r="N5" s="138">
        <v>0</v>
      </c>
      <c r="O5" s="138">
        <v>0</v>
      </c>
      <c r="P5" s="138">
        <v>0</v>
      </c>
      <c r="Q5" s="138">
        <v>0</v>
      </c>
      <c r="R5" s="138">
        <v>0</v>
      </c>
      <c r="S5" s="138">
        <v>0</v>
      </c>
      <c r="T5" s="138">
        <v>0</v>
      </c>
    </row>
    <row r="6" spans="1:20">
      <c r="A6" s="39">
        <v>2</v>
      </c>
      <c r="B6" s="144" t="s">
        <v>166</v>
      </c>
      <c r="C6" s="145"/>
      <c r="D6" s="141">
        <v>440</v>
      </c>
      <c r="E6" s="141">
        <v>33.25</v>
      </c>
      <c r="F6" s="141">
        <v>13761.986999999999</v>
      </c>
      <c r="G6" s="137">
        <v>0</v>
      </c>
      <c r="H6" s="137">
        <v>0</v>
      </c>
      <c r="I6" s="36">
        <v>0</v>
      </c>
      <c r="J6" s="37">
        <v>0</v>
      </c>
      <c r="K6" s="37"/>
      <c r="L6" s="138">
        <v>0</v>
      </c>
      <c r="M6" s="138">
        <v>0</v>
      </c>
      <c r="N6" s="138">
        <v>0</v>
      </c>
      <c r="O6" s="138">
        <v>0</v>
      </c>
      <c r="P6" s="138">
        <v>0</v>
      </c>
      <c r="Q6" s="138">
        <v>0</v>
      </c>
      <c r="R6" s="138">
        <v>0</v>
      </c>
      <c r="S6" s="138">
        <v>0</v>
      </c>
      <c r="T6" s="138">
        <v>0</v>
      </c>
    </row>
    <row r="7" spans="1:20">
      <c r="A7" s="39">
        <v>3</v>
      </c>
      <c r="B7" s="144" t="s">
        <v>167</v>
      </c>
      <c r="C7" s="145"/>
      <c r="D7" s="141">
        <v>44</v>
      </c>
      <c r="E7" s="141">
        <v>176</v>
      </c>
      <c r="F7" s="141">
        <v>13629.986999999999</v>
      </c>
      <c r="G7" s="137">
        <v>0</v>
      </c>
      <c r="H7" s="137">
        <v>0</v>
      </c>
      <c r="I7" s="36">
        <v>0</v>
      </c>
      <c r="J7" s="37">
        <v>0</v>
      </c>
      <c r="K7" s="37"/>
      <c r="L7" s="138">
        <v>0</v>
      </c>
      <c r="M7" s="138">
        <v>0</v>
      </c>
      <c r="N7" s="138">
        <v>0</v>
      </c>
      <c r="O7" s="138">
        <v>0</v>
      </c>
      <c r="P7" s="138">
        <v>0</v>
      </c>
      <c r="Q7" s="138">
        <v>0</v>
      </c>
      <c r="R7" s="138">
        <v>0</v>
      </c>
      <c r="S7" s="138">
        <v>0</v>
      </c>
      <c r="T7" s="138">
        <v>0</v>
      </c>
    </row>
    <row r="8" spans="1:20">
      <c r="A8" s="39">
        <v>4</v>
      </c>
      <c r="B8" s="144" t="s">
        <v>168</v>
      </c>
      <c r="C8" s="145"/>
      <c r="D8" s="141">
        <v>0</v>
      </c>
      <c r="E8" s="141">
        <v>165</v>
      </c>
      <c r="F8" s="141">
        <v>13464.986999999999</v>
      </c>
      <c r="G8" s="137">
        <v>0</v>
      </c>
      <c r="H8" s="137">
        <v>0</v>
      </c>
      <c r="I8" s="36">
        <v>0</v>
      </c>
      <c r="J8" s="37">
        <v>0</v>
      </c>
      <c r="K8" s="37"/>
      <c r="L8" s="138">
        <v>0</v>
      </c>
      <c r="M8" s="138">
        <v>0</v>
      </c>
      <c r="N8" s="138">
        <v>0</v>
      </c>
      <c r="O8" s="138">
        <v>0</v>
      </c>
      <c r="P8" s="138">
        <v>0</v>
      </c>
      <c r="Q8" s="138">
        <v>0</v>
      </c>
      <c r="R8" s="138">
        <v>0</v>
      </c>
      <c r="S8" s="138">
        <v>0</v>
      </c>
      <c r="T8" s="138">
        <v>0</v>
      </c>
    </row>
    <row r="9" spans="1:20">
      <c r="A9" s="39">
        <v>5</v>
      </c>
      <c r="B9" s="144" t="s">
        <v>169</v>
      </c>
      <c r="C9" s="145"/>
      <c r="D9" s="141">
        <v>0</v>
      </c>
      <c r="E9" s="141">
        <v>66</v>
      </c>
      <c r="F9" s="141">
        <v>13398.986999999999</v>
      </c>
      <c r="G9" s="137">
        <v>0</v>
      </c>
      <c r="H9" s="137">
        <v>0</v>
      </c>
      <c r="I9" s="36">
        <v>0</v>
      </c>
      <c r="J9" s="37">
        <v>0</v>
      </c>
      <c r="K9" s="37"/>
      <c r="L9" s="138">
        <v>0</v>
      </c>
      <c r="M9" s="138">
        <v>0</v>
      </c>
      <c r="N9" s="138">
        <v>0</v>
      </c>
      <c r="O9" s="138">
        <v>0</v>
      </c>
      <c r="P9" s="138">
        <v>0</v>
      </c>
      <c r="Q9" s="138">
        <v>0</v>
      </c>
      <c r="R9" s="138">
        <v>0</v>
      </c>
      <c r="S9" s="138">
        <v>0</v>
      </c>
      <c r="T9" s="138">
        <v>0</v>
      </c>
    </row>
    <row r="10" spans="1:20">
      <c r="A10" s="39">
        <v>6</v>
      </c>
      <c r="B10" s="144" t="s">
        <v>170</v>
      </c>
      <c r="C10" s="145"/>
      <c r="D10" s="141">
        <v>110</v>
      </c>
      <c r="E10" s="141">
        <v>114.125</v>
      </c>
      <c r="F10" s="141">
        <v>13394.861999999999</v>
      </c>
      <c r="G10" s="137">
        <v>0</v>
      </c>
      <c r="H10" s="137">
        <v>0</v>
      </c>
      <c r="I10" s="36">
        <v>0</v>
      </c>
      <c r="J10" s="37">
        <v>0</v>
      </c>
      <c r="K10" s="37"/>
      <c r="L10" s="138">
        <v>0</v>
      </c>
      <c r="M10" s="138">
        <v>0</v>
      </c>
      <c r="N10" s="138">
        <v>0</v>
      </c>
      <c r="O10" s="138">
        <v>0</v>
      </c>
      <c r="P10" s="138">
        <v>0</v>
      </c>
      <c r="Q10" s="138">
        <v>0</v>
      </c>
      <c r="R10" s="138">
        <v>0</v>
      </c>
      <c r="S10" s="138">
        <v>0</v>
      </c>
      <c r="T10" s="138">
        <v>0</v>
      </c>
    </row>
    <row r="11" spans="1:20">
      <c r="A11" s="39">
        <v>7</v>
      </c>
      <c r="B11" s="144" t="s">
        <v>171</v>
      </c>
      <c r="C11" s="145"/>
      <c r="D11" s="141">
        <v>0</v>
      </c>
      <c r="E11" s="141">
        <v>120.375</v>
      </c>
      <c r="F11" s="141">
        <v>13274.486999999999</v>
      </c>
      <c r="G11" s="137">
        <v>0</v>
      </c>
      <c r="H11" s="137">
        <v>0</v>
      </c>
      <c r="I11" s="36">
        <v>0</v>
      </c>
      <c r="J11" s="37">
        <v>0</v>
      </c>
      <c r="K11" s="37"/>
      <c r="L11" s="138">
        <v>0</v>
      </c>
      <c r="M11" s="138">
        <v>0</v>
      </c>
      <c r="N11" s="138">
        <v>0</v>
      </c>
      <c r="O11" s="138">
        <v>0</v>
      </c>
      <c r="P11" s="138">
        <v>0</v>
      </c>
      <c r="Q11" s="138">
        <v>0</v>
      </c>
      <c r="R11" s="138">
        <v>0</v>
      </c>
      <c r="S11" s="138">
        <v>0</v>
      </c>
      <c r="T11" s="138">
        <v>0</v>
      </c>
    </row>
    <row r="12" spans="1:20">
      <c r="A12" s="39">
        <v>8</v>
      </c>
      <c r="B12" s="144" t="s">
        <v>172</v>
      </c>
      <c r="C12" s="145"/>
      <c r="D12" s="141">
        <v>198</v>
      </c>
      <c r="E12" s="141">
        <v>165</v>
      </c>
      <c r="F12" s="141">
        <v>13307.486999999999</v>
      </c>
      <c r="G12" s="137">
        <v>0</v>
      </c>
      <c r="H12" s="137">
        <v>0</v>
      </c>
      <c r="I12" s="36">
        <v>0</v>
      </c>
      <c r="J12" s="37">
        <v>0</v>
      </c>
      <c r="K12" s="37"/>
      <c r="L12" s="138">
        <v>0</v>
      </c>
      <c r="M12" s="138">
        <v>0</v>
      </c>
      <c r="N12" s="138">
        <v>0</v>
      </c>
      <c r="O12" s="138">
        <v>0</v>
      </c>
      <c r="P12" s="138">
        <v>0</v>
      </c>
      <c r="Q12" s="138">
        <v>0</v>
      </c>
      <c r="R12" s="138">
        <v>0</v>
      </c>
      <c r="S12" s="138">
        <v>0</v>
      </c>
      <c r="T12" s="138">
        <v>0</v>
      </c>
    </row>
    <row r="13" spans="1:20">
      <c r="A13" s="39">
        <v>9</v>
      </c>
      <c r="B13" s="144" t="s">
        <v>173</v>
      </c>
      <c r="C13" s="145"/>
      <c r="D13" s="141">
        <v>220</v>
      </c>
      <c r="E13" s="141">
        <v>154</v>
      </c>
      <c r="F13" s="141">
        <v>13373.486999999999</v>
      </c>
      <c r="G13" s="137">
        <v>0</v>
      </c>
      <c r="H13" s="137">
        <v>0</v>
      </c>
      <c r="I13" s="36">
        <v>0</v>
      </c>
      <c r="J13" s="37">
        <v>0</v>
      </c>
      <c r="K13" s="37"/>
      <c r="L13" s="138">
        <v>0</v>
      </c>
      <c r="M13" s="138">
        <v>0</v>
      </c>
      <c r="N13" s="138">
        <v>0</v>
      </c>
      <c r="O13" s="138">
        <v>0</v>
      </c>
      <c r="P13" s="138">
        <v>0</v>
      </c>
      <c r="Q13" s="138">
        <v>0</v>
      </c>
      <c r="R13" s="138">
        <v>0</v>
      </c>
      <c r="S13" s="138">
        <v>0</v>
      </c>
      <c r="T13" s="138">
        <v>0</v>
      </c>
    </row>
    <row r="14" spans="1:20">
      <c r="A14" s="39">
        <v>10</v>
      </c>
      <c r="B14" s="144" t="s">
        <v>174</v>
      </c>
      <c r="C14" s="145"/>
      <c r="D14" s="141">
        <v>198</v>
      </c>
      <c r="E14" s="141">
        <v>227.375</v>
      </c>
      <c r="F14" s="141">
        <v>13344.111999999999</v>
      </c>
      <c r="G14" s="137">
        <v>0</v>
      </c>
      <c r="H14" s="137">
        <v>0</v>
      </c>
      <c r="I14" s="36">
        <v>0</v>
      </c>
      <c r="J14" s="37">
        <v>0</v>
      </c>
      <c r="K14" s="37"/>
      <c r="L14" s="138">
        <v>0</v>
      </c>
      <c r="M14" s="138">
        <v>0</v>
      </c>
      <c r="N14" s="138">
        <v>0</v>
      </c>
      <c r="O14" s="138">
        <v>0</v>
      </c>
      <c r="P14" s="138">
        <v>0</v>
      </c>
      <c r="Q14" s="138">
        <v>0</v>
      </c>
      <c r="R14" s="138">
        <v>0</v>
      </c>
      <c r="S14" s="138">
        <v>0</v>
      </c>
      <c r="T14" s="138">
        <v>0</v>
      </c>
    </row>
    <row r="15" spans="1:20">
      <c r="A15" s="39">
        <v>11</v>
      </c>
      <c r="B15" s="144" t="s">
        <v>175</v>
      </c>
      <c r="C15" s="145"/>
      <c r="D15" s="141">
        <v>308</v>
      </c>
      <c r="E15" s="141">
        <v>77</v>
      </c>
      <c r="F15" s="141">
        <v>13575.111999999999</v>
      </c>
      <c r="G15" s="137">
        <v>0</v>
      </c>
      <c r="H15" s="137">
        <v>0</v>
      </c>
      <c r="I15" s="36">
        <v>0</v>
      </c>
      <c r="J15" s="37">
        <v>0</v>
      </c>
      <c r="K15" s="37"/>
      <c r="L15" s="138">
        <v>0</v>
      </c>
      <c r="M15" s="138">
        <v>0</v>
      </c>
      <c r="N15" s="138">
        <v>0</v>
      </c>
      <c r="O15" s="138">
        <v>0</v>
      </c>
      <c r="P15" s="138">
        <v>0</v>
      </c>
      <c r="Q15" s="138">
        <v>0</v>
      </c>
      <c r="R15" s="138">
        <v>0</v>
      </c>
      <c r="S15" s="138">
        <v>0</v>
      </c>
      <c r="T15" s="138">
        <v>0</v>
      </c>
    </row>
    <row r="16" spans="1:20">
      <c r="A16" s="39">
        <v>12</v>
      </c>
      <c r="B16" s="144" t="s">
        <v>176</v>
      </c>
      <c r="C16" s="145"/>
      <c r="D16" s="141">
        <v>286</v>
      </c>
      <c r="E16" s="141">
        <v>55</v>
      </c>
      <c r="F16" s="141">
        <v>13806.111999999999</v>
      </c>
      <c r="G16" s="137">
        <v>0</v>
      </c>
      <c r="H16" s="137">
        <v>0</v>
      </c>
      <c r="I16" s="36">
        <v>0</v>
      </c>
      <c r="J16" s="37">
        <v>0</v>
      </c>
      <c r="K16" s="42"/>
      <c r="L16" s="138">
        <v>0</v>
      </c>
      <c r="M16" s="138">
        <v>0</v>
      </c>
      <c r="N16" s="138">
        <v>0</v>
      </c>
      <c r="O16" s="138">
        <v>0</v>
      </c>
      <c r="P16" s="138">
        <v>0</v>
      </c>
      <c r="Q16" s="138">
        <v>0</v>
      </c>
      <c r="R16" s="138">
        <v>0</v>
      </c>
      <c r="S16" s="138">
        <v>0</v>
      </c>
      <c r="T16" s="138">
        <v>0</v>
      </c>
    </row>
    <row r="17" spans="1:20">
      <c r="A17" s="39">
        <v>13</v>
      </c>
      <c r="B17" s="144" t="s">
        <v>177</v>
      </c>
      <c r="C17" s="145"/>
      <c r="D17" s="141">
        <v>132</v>
      </c>
      <c r="E17" s="141">
        <v>132</v>
      </c>
      <c r="F17" s="141">
        <v>13806.111999999999</v>
      </c>
      <c r="G17" s="137">
        <v>0</v>
      </c>
      <c r="H17" s="137">
        <v>0</v>
      </c>
      <c r="I17" s="36">
        <v>0</v>
      </c>
      <c r="J17" s="37">
        <v>0</v>
      </c>
      <c r="K17" s="37"/>
      <c r="L17" s="138">
        <v>0</v>
      </c>
      <c r="M17" s="138">
        <v>0</v>
      </c>
      <c r="N17" s="138">
        <v>0</v>
      </c>
      <c r="O17" s="138">
        <v>0</v>
      </c>
      <c r="P17" s="138">
        <v>0</v>
      </c>
      <c r="Q17" s="138">
        <v>0</v>
      </c>
      <c r="R17" s="138">
        <v>0</v>
      </c>
      <c r="S17" s="138">
        <v>0</v>
      </c>
      <c r="T17" s="138">
        <v>0</v>
      </c>
    </row>
    <row r="18" spans="1:20">
      <c r="A18" s="39">
        <v>14</v>
      </c>
      <c r="B18" s="144" t="s">
        <v>178</v>
      </c>
      <c r="C18" s="145"/>
      <c r="D18" s="141">
        <v>264</v>
      </c>
      <c r="E18" s="141">
        <v>224.15</v>
      </c>
      <c r="F18" s="141">
        <v>13845.962</v>
      </c>
      <c r="G18" s="137">
        <v>0</v>
      </c>
      <c r="H18" s="137">
        <v>0</v>
      </c>
      <c r="I18" s="36">
        <v>0</v>
      </c>
      <c r="J18" s="37">
        <v>0</v>
      </c>
      <c r="K18" s="37"/>
      <c r="L18" s="138">
        <v>0</v>
      </c>
      <c r="M18" s="138">
        <v>0</v>
      </c>
      <c r="N18" s="138">
        <v>0</v>
      </c>
      <c r="O18" s="138">
        <v>0</v>
      </c>
      <c r="P18" s="138">
        <v>0</v>
      </c>
      <c r="Q18" s="138">
        <v>0</v>
      </c>
      <c r="R18" s="138">
        <v>0</v>
      </c>
      <c r="S18" s="138">
        <v>0</v>
      </c>
      <c r="T18" s="138">
        <v>0</v>
      </c>
    </row>
    <row r="19" spans="1:20">
      <c r="A19" s="39">
        <v>15</v>
      </c>
      <c r="B19" s="144" t="s">
        <v>179</v>
      </c>
      <c r="C19" s="145"/>
      <c r="D19" s="141">
        <v>264</v>
      </c>
      <c r="E19" s="141">
        <v>69.25</v>
      </c>
      <c r="F19" s="141">
        <v>14040.712</v>
      </c>
      <c r="G19" s="137">
        <v>0</v>
      </c>
      <c r="H19" s="137">
        <v>0</v>
      </c>
      <c r="I19" s="36">
        <v>0</v>
      </c>
      <c r="J19" s="37">
        <v>0</v>
      </c>
      <c r="K19" s="37"/>
      <c r="L19" s="138">
        <v>0</v>
      </c>
      <c r="M19" s="138">
        <v>0</v>
      </c>
      <c r="N19" s="138">
        <v>0</v>
      </c>
      <c r="O19" s="138">
        <v>0</v>
      </c>
      <c r="P19" s="138">
        <v>0</v>
      </c>
      <c r="Q19" s="138">
        <v>0</v>
      </c>
      <c r="R19" s="138">
        <v>0</v>
      </c>
      <c r="S19" s="138">
        <v>0</v>
      </c>
      <c r="T19" s="138">
        <v>0</v>
      </c>
    </row>
    <row r="20" spans="1:20">
      <c r="A20" s="39">
        <v>16</v>
      </c>
      <c r="B20" s="144" t="s">
        <v>180</v>
      </c>
      <c r="C20" s="145"/>
      <c r="D20" s="141">
        <v>176</v>
      </c>
      <c r="E20" s="141">
        <v>55</v>
      </c>
      <c r="F20" s="141">
        <v>14161.712</v>
      </c>
      <c r="G20" s="137">
        <v>0</v>
      </c>
      <c r="H20" s="137">
        <v>0</v>
      </c>
      <c r="I20" s="36">
        <v>0</v>
      </c>
      <c r="J20" s="37">
        <v>0</v>
      </c>
      <c r="K20" s="37"/>
      <c r="L20" s="138">
        <v>0</v>
      </c>
      <c r="M20" s="138">
        <v>0</v>
      </c>
      <c r="N20" s="138">
        <v>0</v>
      </c>
      <c r="O20" s="138">
        <v>0</v>
      </c>
      <c r="P20" s="138">
        <v>0</v>
      </c>
      <c r="Q20" s="138">
        <v>0</v>
      </c>
      <c r="R20" s="138">
        <v>0</v>
      </c>
      <c r="S20" s="138">
        <v>0</v>
      </c>
      <c r="T20" s="138">
        <v>0</v>
      </c>
    </row>
    <row r="21" spans="1:20">
      <c r="A21" s="39">
        <v>17</v>
      </c>
      <c r="B21" s="144" t="s">
        <v>181</v>
      </c>
      <c r="C21" s="145"/>
      <c r="D21" s="141">
        <v>22</v>
      </c>
      <c r="E21" s="141">
        <v>132</v>
      </c>
      <c r="F21" s="141">
        <v>14051.712</v>
      </c>
      <c r="G21" s="137">
        <v>0</v>
      </c>
      <c r="H21" s="137">
        <v>0</v>
      </c>
      <c r="I21" s="36">
        <v>0</v>
      </c>
      <c r="J21" s="37">
        <v>0</v>
      </c>
      <c r="K21" s="37"/>
      <c r="L21" s="138">
        <v>0</v>
      </c>
      <c r="M21" s="138">
        <v>0</v>
      </c>
      <c r="N21" s="138">
        <v>0</v>
      </c>
      <c r="O21" s="138">
        <v>0</v>
      </c>
      <c r="P21" s="138">
        <v>0</v>
      </c>
      <c r="Q21" s="138">
        <v>0</v>
      </c>
      <c r="R21" s="138">
        <v>0</v>
      </c>
      <c r="S21" s="138">
        <v>0</v>
      </c>
      <c r="T21" s="138">
        <v>0</v>
      </c>
    </row>
    <row r="22" spans="1:20">
      <c r="A22" s="39">
        <v>18</v>
      </c>
      <c r="B22" s="144" t="s">
        <v>182</v>
      </c>
      <c r="C22" s="145"/>
      <c r="D22" s="141">
        <v>0</v>
      </c>
      <c r="E22" s="141">
        <v>59.125</v>
      </c>
      <c r="F22" s="141">
        <v>13992.587</v>
      </c>
      <c r="G22" s="137">
        <v>0</v>
      </c>
      <c r="H22" s="137">
        <v>0</v>
      </c>
      <c r="I22" s="36">
        <v>0</v>
      </c>
      <c r="J22" s="37">
        <v>0</v>
      </c>
      <c r="K22" s="37"/>
      <c r="L22" s="138">
        <v>0</v>
      </c>
      <c r="M22" s="138">
        <v>0</v>
      </c>
      <c r="N22" s="138">
        <v>0</v>
      </c>
      <c r="O22" s="138">
        <v>0</v>
      </c>
      <c r="P22" s="138">
        <v>0</v>
      </c>
      <c r="Q22" s="138">
        <v>0</v>
      </c>
      <c r="R22" s="138">
        <v>0</v>
      </c>
      <c r="S22" s="138">
        <v>0</v>
      </c>
      <c r="T22" s="138">
        <v>0</v>
      </c>
    </row>
    <row r="23" spans="1:20">
      <c r="A23" s="39">
        <v>19</v>
      </c>
      <c r="B23" s="144" t="s">
        <v>183</v>
      </c>
      <c r="C23" s="145"/>
      <c r="D23" s="141">
        <v>0</v>
      </c>
      <c r="E23" s="141">
        <v>223.17500000000001</v>
      </c>
      <c r="F23" s="141">
        <v>13769.412</v>
      </c>
      <c r="G23" s="137">
        <v>0</v>
      </c>
      <c r="H23" s="137">
        <v>0</v>
      </c>
      <c r="I23" s="36">
        <v>0</v>
      </c>
      <c r="J23" s="37">
        <v>0</v>
      </c>
      <c r="K23" s="37"/>
      <c r="L23" s="138">
        <v>0</v>
      </c>
      <c r="M23" s="138">
        <v>0</v>
      </c>
      <c r="N23" s="138">
        <v>0</v>
      </c>
      <c r="O23" s="138">
        <v>0</v>
      </c>
      <c r="P23" s="138">
        <v>0</v>
      </c>
      <c r="Q23" s="138">
        <v>0</v>
      </c>
      <c r="R23" s="138">
        <v>0</v>
      </c>
      <c r="S23" s="138">
        <v>0</v>
      </c>
      <c r="T23" s="138">
        <v>0</v>
      </c>
    </row>
    <row r="24" spans="1:20">
      <c r="A24" s="39">
        <v>20</v>
      </c>
      <c r="B24" s="144" t="s">
        <v>184</v>
      </c>
      <c r="C24" s="145"/>
      <c r="D24" s="141">
        <v>0</v>
      </c>
      <c r="E24" s="141">
        <v>111.375</v>
      </c>
      <c r="F24" s="141">
        <v>13658.037</v>
      </c>
      <c r="G24" s="137">
        <v>0</v>
      </c>
      <c r="H24" s="137">
        <v>0</v>
      </c>
      <c r="I24" s="36">
        <v>0</v>
      </c>
      <c r="J24" s="37">
        <v>0</v>
      </c>
      <c r="K24" s="37"/>
      <c r="L24" s="138">
        <v>0</v>
      </c>
      <c r="M24" s="138">
        <v>0</v>
      </c>
      <c r="N24" s="138">
        <v>0</v>
      </c>
      <c r="O24" s="138">
        <v>0</v>
      </c>
      <c r="P24" s="138">
        <v>0</v>
      </c>
      <c r="Q24" s="138">
        <v>0</v>
      </c>
      <c r="R24" s="138">
        <v>0</v>
      </c>
      <c r="S24" s="138">
        <v>0</v>
      </c>
      <c r="T24" s="138">
        <v>0</v>
      </c>
    </row>
    <row r="25" spans="1:20">
      <c r="A25" s="39">
        <v>21</v>
      </c>
      <c r="B25" s="144" t="s">
        <v>185</v>
      </c>
      <c r="C25" s="145"/>
      <c r="D25" s="141">
        <v>0</v>
      </c>
      <c r="E25" s="141">
        <v>103.125</v>
      </c>
      <c r="F25" s="141">
        <v>13554.912</v>
      </c>
      <c r="G25" s="137">
        <v>0</v>
      </c>
      <c r="H25" s="137">
        <v>0</v>
      </c>
      <c r="I25" s="36">
        <v>0</v>
      </c>
      <c r="J25" s="37">
        <v>0</v>
      </c>
      <c r="K25" s="37"/>
      <c r="L25" s="138">
        <v>0</v>
      </c>
      <c r="M25" s="138">
        <v>0</v>
      </c>
      <c r="N25" s="138">
        <v>0</v>
      </c>
      <c r="O25" s="138">
        <v>0</v>
      </c>
      <c r="P25" s="138">
        <v>0</v>
      </c>
      <c r="Q25" s="138">
        <v>0</v>
      </c>
      <c r="R25" s="138">
        <v>0</v>
      </c>
      <c r="S25" s="138">
        <v>0</v>
      </c>
      <c r="T25" s="138">
        <v>0</v>
      </c>
    </row>
    <row r="26" spans="1:20">
      <c r="A26" s="39">
        <v>22</v>
      </c>
      <c r="B26" s="144" t="s">
        <v>186</v>
      </c>
      <c r="C26" s="145"/>
      <c r="D26" s="141">
        <v>0</v>
      </c>
      <c r="E26" s="141">
        <v>130.625</v>
      </c>
      <c r="F26" s="141">
        <v>13424.287</v>
      </c>
      <c r="G26" s="137">
        <v>0</v>
      </c>
      <c r="H26" s="137">
        <v>0</v>
      </c>
      <c r="I26" s="36">
        <v>0</v>
      </c>
      <c r="J26" s="37">
        <v>0</v>
      </c>
      <c r="K26" s="37"/>
      <c r="L26" s="138">
        <v>0</v>
      </c>
      <c r="M26" s="138">
        <v>0</v>
      </c>
      <c r="N26" s="138">
        <v>0</v>
      </c>
      <c r="O26" s="138">
        <v>0</v>
      </c>
      <c r="P26" s="138">
        <v>0</v>
      </c>
      <c r="Q26" s="138">
        <v>0</v>
      </c>
      <c r="R26" s="138">
        <v>0</v>
      </c>
      <c r="S26" s="138">
        <v>0</v>
      </c>
      <c r="T26" s="138">
        <v>0</v>
      </c>
    </row>
    <row r="27" spans="1:20">
      <c r="A27" s="39">
        <v>23</v>
      </c>
      <c r="B27" s="144" t="s">
        <v>187</v>
      </c>
      <c r="C27" s="145"/>
      <c r="D27" s="141">
        <v>0</v>
      </c>
      <c r="E27" s="141">
        <v>169.125</v>
      </c>
      <c r="F27" s="141">
        <v>13255.162</v>
      </c>
      <c r="G27" s="137">
        <v>0</v>
      </c>
      <c r="H27" s="137">
        <v>0</v>
      </c>
      <c r="I27" s="36">
        <v>0</v>
      </c>
      <c r="J27" s="37">
        <v>0</v>
      </c>
      <c r="K27" s="37"/>
      <c r="L27" s="138">
        <v>0</v>
      </c>
      <c r="M27" s="138">
        <v>0</v>
      </c>
      <c r="N27" s="138">
        <v>0</v>
      </c>
      <c r="O27" s="138">
        <v>0</v>
      </c>
      <c r="P27" s="138">
        <v>0</v>
      </c>
      <c r="Q27" s="138">
        <v>0</v>
      </c>
      <c r="R27" s="138">
        <v>0</v>
      </c>
      <c r="S27" s="138">
        <v>0</v>
      </c>
      <c r="T27" s="138">
        <v>0</v>
      </c>
    </row>
    <row r="28" spans="1:20">
      <c r="A28" s="39">
        <v>24</v>
      </c>
      <c r="B28" s="144" t="s">
        <v>188</v>
      </c>
      <c r="C28" s="145"/>
      <c r="D28" s="141">
        <v>22</v>
      </c>
      <c r="E28" s="141">
        <v>243.375</v>
      </c>
      <c r="F28" s="141">
        <v>13033.787</v>
      </c>
      <c r="G28" s="137">
        <v>0</v>
      </c>
      <c r="H28" s="137">
        <v>0</v>
      </c>
      <c r="I28" s="36">
        <v>0</v>
      </c>
      <c r="J28" s="37">
        <v>0</v>
      </c>
      <c r="K28" s="37"/>
      <c r="L28" s="138">
        <v>0</v>
      </c>
      <c r="M28" s="138">
        <v>0</v>
      </c>
      <c r="N28" s="138">
        <v>0</v>
      </c>
      <c r="O28" s="138">
        <v>0</v>
      </c>
      <c r="P28" s="138">
        <v>0</v>
      </c>
      <c r="Q28" s="138">
        <v>0</v>
      </c>
      <c r="R28" s="138">
        <v>0</v>
      </c>
      <c r="S28" s="138">
        <v>0</v>
      </c>
      <c r="T28" s="138">
        <v>0</v>
      </c>
    </row>
    <row r="29" spans="1:20">
      <c r="A29" s="39">
        <v>25</v>
      </c>
      <c r="B29" s="144" t="s">
        <v>189</v>
      </c>
      <c r="C29" s="145"/>
      <c r="D29" s="141">
        <v>110</v>
      </c>
      <c r="E29" s="141">
        <v>152.25</v>
      </c>
      <c r="F29" s="141">
        <v>12991.537</v>
      </c>
      <c r="G29" s="137">
        <v>0</v>
      </c>
      <c r="H29" s="137">
        <v>0</v>
      </c>
      <c r="I29" s="36">
        <v>0</v>
      </c>
      <c r="J29" s="37">
        <v>0</v>
      </c>
      <c r="K29" s="37"/>
      <c r="L29" s="138">
        <v>0</v>
      </c>
      <c r="M29" s="138">
        <v>0</v>
      </c>
      <c r="N29" s="138">
        <v>0</v>
      </c>
      <c r="O29" s="138">
        <v>0</v>
      </c>
      <c r="P29" s="138">
        <v>0</v>
      </c>
      <c r="Q29" s="138">
        <v>0</v>
      </c>
      <c r="R29" s="138">
        <v>0</v>
      </c>
      <c r="S29" s="138">
        <v>0</v>
      </c>
      <c r="T29" s="138">
        <v>0</v>
      </c>
    </row>
    <row r="30" spans="1:20">
      <c r="A30" s="39">
        <v>26</v>
      </c>
      <c r="B30" s="144" t="s">
        <v>190</v>
      </c>
      <c r="C30" s="145"/>
      <c r="D30" s="141">
        <v>110</v>
      </c>
      <c r="E30" s="141">
        <v>0</v>
      </c>
      <c r="F30" s="141">
        <v>13101.537</v>
      </c>
      <c r="G30" s="137">
        <v>0</v>
      </c>
      <c r="H30" s="137">
        <v>0</v>
      </c>
      <c r="I30" s="36">
        <v>0</v>
      </c>
      <c r="J30" s="37">
        <v>0</v>
      </c>
      <c r="K30" s="37"/>
      <c r="L30" s="138">
        <v>0</v>
      </c>
      <c r="M30" s="138">
        <v>0</v>
      </c>
      <c r="N30" s="138">
        <v>0</v>
      </c>
      <c r="O30" s="138">
        <v>0</v>
      </c>
      <c r="P30" s="138">
        <v>0</v>
      </c>
      <c r="Q30" s="138">
        <v>0</v>
      </c>
      <c r="R30" s="138">
        <v>0</v>
      </c>
      <c r="S30" s="138">
        <v>0</v>
      </c>
      <c r="T30" s="138">
        <v>0</v>
      </c>
    </row>
    <row r="31" spans="1:20">
      <c r="A31" s="39">
        <v>27</v>
      </c>
      <c r="B31" s="144" t="s">
        <v>191</v>
      </c>
      <c r="C31" s="145"/>
      <c r="D31" s="141">
        <v>88</v>
      </c>
      <c r="E31" s="141">
        <v>192.5</v>
      </c>
      <c r="F31" s="141">
        <v>12997.037</v>
      </c>
      <c r="G31" s="137">
        <v>0</v>
      </c>
      <c r="H31" s="137">
        <v>0</v>
      </c>
      <c r="I31" s="36">
        <v>0</v>
      </c>
      <c r="J31" s="37">
        <v>0</v>
      </c>
      <c r="K31" s="37"/>
      <c r="L31" s="138">
        <v>0</v>
      </c>
      <c r="M31" s="138">
        <v>0</v>
      </c>
      <c r="N31" s="138">
        <v>0</v>
      </c>
      <c r="O31" s="138">
        <v>0</v>
      </c>
      <c r="P31" s="138">
        <v>0</v>
      </c>
      <c r="Q31" s="138">
        <v>0</v>
      </c>
      <c r="R31" s="138">
        <v>0</v>
      </c>
      <c r="S31" s="138">
        <v>0</v>
      </c>
      <c r="T31" s="138">
        <v>0</v>
      </c>
    </row>
    <row r="32" spans="1:20">
      <c r="A32" s="39">
        <v>28</v>
      </c>
      <c r="B32" s="144" t="s">
        <v>192</v>
      </c>
      <c r="C32" s="145"/>
      <c r="D32" s="141">
        <v>88</v>
      </c>
      <c r="E32" s="141">
        <v>205.27500000000001</v>
      </c>
      <c r="F32" s="141">
        <v>12879.762000000001</v>
      </c>
      <c r="G32" s="137">
        <v>0</v>
      </c>
      <c r="H32" s="137">
        <v>0</v>
      </c>
      <c r="I32" s="36">
        <v>0</v>
      </c>
      <c r="J32" s="37">
        <v>0</v>
      </c>
      <c r="K32" s="37"/>
      <c r="L32" s="138">
        <v>0</v>
      </c>
      <c r="M32" s="138">
        <v>0</v>
      </c>
      <c r="N32" s="138">
        <v>0</v>
      </c>
      <c r="O32" s="138">
        <v>0</v>
      </c>
      <c r="P32" s="138">
        <v>0</v>
      </c>
      <c r="Q32" s="138">
        <v>0</v>
      </c>
      <c r="R32" s="138">
        <v>0</v>
      </c>
      <c r="S32" s="138">
        <v>0</v>
      </c>
      <c r="T32" s="138">
        <v>0</v>
      </c>
    </row>
    <row r="33" spans="1:20">
      <c r="A33" s="39">
        <v>29</v>
      </c>
      <c r="B33" s="144" t="s">
        <v>193</v>
      </c>
      <c r="C33" s="145"/>
      <c r="D33" s="141">
        <v>43.024999999999999</v>
      </c>
      <c r="E33" s="141">
        <v>475.75</v>
      </c>
      <c r="F33" s="141">
        <v>12447.037</v>
      </c>
      <c r="G33" s="137">
        <v>0</v>
      </c>
      <c r="H33" s="137">
        <v>0</v>
      </c>
      <c r="I33" s="36">
        <v>0</v>
      </c>
      <c r="J33" s="37">
        <v>0</v>
      </c>
      <c r="K33" s="37"/>
      <c r="L33" s="138">
        <v>0</v>
      </c>
      <c r="M33" s="138">
        <v>0</v>
      </c>
      <c r="N33" s="138">
        <v>0</v>
      </c>
      <c r="O33" s="138">
        <v>0</v>
      </c>
      <c r="P33" s="138">
        <v>0</v>
      </c>
      <c r="Q33" s="138">
        <v>0</v>
      </c>
      <c r="R33" s="138">
        <v>0</v>
      </c>
      <c r="S33" s="138">
        <v>0</v>
      </c>
      <c r="T33" s="138">
        <v>0</v>
      </c>
    </row>
    <row r="34" spans="1:20">
      <c r="A34" s="39">
        <v>30</v>
      </c>
      <c r="B34" s="144" t="s">
        <v>194</v>
      </c>
      <c r="C34" s="145"/>
      <c r="D34" s="141">
        <v>66</v>
      </c>
      <c r="E34" s="141">
        <v>276.375</v>
      </c>
      <c r="F34" s="141">
        <v>12236.662</v>
      </c>
      <c r="G34" s="137">
        <v>0</v>
      </c>
      <c r="H34" s="137">
        <v>0</v>
      </c>
      <c r="I34" s="36">
        <v>0</v>
      </c>
      <c r="J34" s="37">
        <v>0</v>
      </c>
      <c r="K34" s="37"/>
      <c r="L34" s="138">
        <v>0</v>
      </c>
      <c r="M34" s="138">
        <v>0</v>
      </c>
      <c r="N34" s="138">
        <v>0</v>
      </c>
      <c r="O34" s="138">
        <v>0</v>
      </c>
      <c r="P34" s="138">
        <v>0</v>
      </c>
      <c r="Q34" s="138">
        <v>0</v>
      </c>
      <c r="R34" s="138">
        <v>0</v>
      </c>
      <c r="S34" s="138">
        <v>0</v>
      </c>
      <c r="T34" s="138">
        <v>0</v>
      </c>
    </row>
    <row r="35" spans="1:20">
      <c r="A35" s="39">
        <v>31</v>
      </c>
      <c r="B35" s="144"/>
      <c r="C35" s="145"/>
      <c r="D35" s="141">
        <v>0</v>
      </c>
      <c r="E35" s="141">
        <v>0</v>
      </c>
      <c r="F35" s="141">
        <v>0</v>
      </c>
      <c r="G35" s="137">
        <v>0</v>
      </c>
      <c r="H35" s="137">
        <v>0</v>
      </c>
      <c r="I35" s="36">
        <v>0</v>
      </c>
      <c r="J35" s="37">
        <v>0</v>
      </c>
      <c r="K35" s="37"/>
      <c r="L35" s="138">
        <v>0</v>
      </c>
      <c r="M35" s="138">
        <v>0</v>
      </c>
      <c r="N35" s="138">
        <v>0</v>
      </c>
      <c r="O35" s="138">
        <v>0</v>
      </c>
      <c r="P35" s="138">
        <v>0</v>
      </c>
      <c r="Q35" s="138">
        <v>0</v>
      </c>
      <c r="R35" s="138">
        <v>0</v>
      </c>
      <c r="S35" s="138">
        <v>0</v>
      </c>
      <c r="T35" s="138">
        <v>0</v>
      </c>
    </row>
    <row r="36" spans="1:20">
      <c r="D36" s="43">
        <v>3563.0250000000001</v>
      </c>
      <c r="E36" s="43">
        <v>4307.6000000000004</v>
      </c>
      <c r="F36" s="43">
        <v>402934.81000000006</v>
      </c>
      <c r="G36" s="43">
        <v>0</v>
      </c>
      <c r="H36" s="43">
        <v>0</v>
      </c>
      <c r="I36" s="43">
        <v>0</v>
      </c>
      <c r="J36" s="44">
        <v>0</v>
      </c>
      <c r="K36" s="44">
        <v>0</v>
      </c>
      <c r="L36" s="139">
        <v>0</v>
      </c>
      <c r="M36" s="139">
        <v>1172376</v>
      </c>
      <c r="N36" s="139">
        <v>1172376</v>
      </c>
      <c r="O36" s="139">
        <v>12771695.550000001</v>
      </c>
      <c r="P36" s="139">
        <v>0</v>
      </c>
      <c r="Q36" s="139">
        <v>0</v>
      </c>
      <c r="R36" s="139">
        <v>0</v>
      </c>
      <c r="S36" s="139">
        <v>0</v>
      </c>
      <c r="T36" s="139">
        <v>15116447.550000001</v>
      </c>
    </row>
    <row r="37" spans="1:20">
      <c r="R37" s="46"/>
      <c r="S37" s="46"/>
      <c r="T37" s="140">
        <v>18442066.010000002</v>
      </c>
    </row>
  </sheetData>
  <mergeCells count="50"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E30B7-C4E7-4FA4-8AD3-239C78C07195}">
  <sheetPr>
    <pageSetUpPr fitToPage="1"/>
  </sheetPr>
  <dimension ref="A1:T37"/>
  <sheetViews>
    <sheetView topLeftCell="A12" workbookViewId="0">
      <selection activeCell="N37" sqref="N37"/>
    </sheetView>
  </sheetViews>
  <sheetFormatPr defaultRowHeight="15"/>
  <cols>
    <col min="1" max="3" width="9.140625" style="28"/>
    <col min="4" max="5" width="9.42578125" style="28" bestFit="1" customWidth="1"/>
    <col min="6" max="6" width="12.42578125" style="28" customWidth="1"/>
    <col min="7" max="7" width="10.5703125" style="28" bestFit="1" customWidth="1"/>
    <col min="8" max="8" width="9.5703125" style="28" bestFit="1" customWidth="1"/>
    <col min="9" max="9" width="10.5703125" style="28" bestFit="1" customWidth="1"/>
    <col min="10" max="12" width="9.140625" style="28"/>
    <col min="13" max="13" width="14.140625" style="28" customWidth="1"/>
    <col min="14" max="14" width="13.5703125" style="28" customWidth="1"/>
    <col min="15" max="15" width="17.5703125" style="28" customWidth="1"/>
    <col min="16" max="16" width="15.85546875" style="28" customWidth="1"/>
    <col min="17" max="17" width="15" style="28" customWidth="1"/>
    <col min="18" max="18" width="13.28515625" style="28" customWidth="1"/>
    <col min="19" max="19" width="11.7109375" style="28" customWidth="1"/>
    <col min="20" max="20" width="24.28515625" style="28" customWidth="1"/>
    <col min="21" max="16384" width="9.140625" style="28"/>
  </cols>
  <sheetData>
    <row r="1" spans="1:20">
      <c r="I1" s="29"/>
    </row>
    <row r="2" spans="1:20" ht="28.9" customHeight="1">
      <c r="A2" s="149" t="s">
        <v>207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</row>
    <row r="3" spans="1:20" ht="28.9" customHeight="1">
      <c r="A3" s="146" t="s">
        <v>0</v>
      </c>
      <c r="B3" s="150" t="s">
        <v>1</v>
      </c>
      <c r="C3" s="151"/>
      <c r="D3" s="146" t="s">
        <v>2</v>
      </c>
      <c r="E3" s="146" t="s">
        <v>3</v>
      </c>
      <c r="F3" s="30" t="s">
        <v>4</v>
      </c>
      <c r="G3" s="146" t="s">
        <v>205</v>
      </c>
      <c r="H3" s="146" t="s">
        <v>6</v>
      </c>
      <c r="I3" s="146" t="s">
        <v>7</v>
      </c>
      <c r="J3" s="146" t="s">
        <v>8</v>
      </c>
      <c r="K3" s="146" t="s">
        <v>9</v>
      </c>
      <c r="L3" s="146" t="s">
        <v>10</v>
      </c>
      <c r="M3" s="146" t="s">
        <v>160</v>
      </c>
      <c r="N3" s="146" t="s">
        <v>161</v>
      </c>
      <c r="O3" s="146" t="s">
        <v>206</v>
      </c>
      <c r="P3" s="146" t="s">
        <v>14</v>
      </c>
      <c r="Q3" s="146" t="s">
        <v>15</v>
      </c>
      <c r="R3" s="146" t="s">
        <v>16</v>
      </c>
      <c r="S3" s="146" t="s">
        <v>17</v>
      </c>
      <c r="T3" s="146" t="s">
        <v>18</v>
      </c>
    </row>
    <row r="4" spans="1:20">
      <c r="A4" s="147"/>
      <c r="B4" s="152"/>
      <c r="C4" s="153"/>
      <c r="D4" s="147"/>
      <c r="E4" s="147"/>
      <c r="F4" s="31"/>
      <c r="G4" s="147"/>
      <c r="H4" s="147"/>
      <c r="I4" s="147"/>
      <c r="J4" s="147"/>
      <c r="K4" s="148"/>
      <c r="L4" s="148"/>
      <c r="M4" s="147"/>
      <c r="N4" s="147"/>
      <c r="O4" s="147"/>
      <c r="P4" s="147"/>
      <c r="Q4" s="147"/>
      <c r="R4" s="147"/>
      <c r="S4" s="147"/>
      <c r="T4" s="147"/>
    </row>
    <row r="5" spans="1:20">
      <c r="A5" s="39">
        <v>1</v>
      </c>
      <c r="B5" s="144" t="s">
        <v>165</v>
      </c>
      <c r="C5" s="145"/>
      <c r="D5" s="141">
        <v>0</v>
      </c>
      <c r="E5" s="141">
        <v>0</v>
      </c>
      <c r="F5" s="141">
        <v>10.5</v>
      </c>
      <c r="G5" s="137">
        <v>0</v>
      </c>
      <c r="H5" s="137">
        <v>0</v>
      </c>
      <c r="I5" s="36">
        <v>0</v>
      </c>
      <c r="J5" s="37">
        <v>0</v>
      </c>
      <c r="K5" s="37"/>
      <c r="L5" s="138">
        <v>0</v>
      </c>
      <c r="M5" s="138">
        <v>0</v>
      </c>
      <c r="N5" s="138">
        <v>0</v>
      </c>
      <c r="O5" s="138">
        <v>0</v>
      </c>
      <c r="P5" s="138">
        <v>0</v>
      </c>
      <c r="Q5" s="138">
        <v>0</v>
      </c>
      <c r="R5" s="138">
        <v>0</v>
      </c>
      <c r="S5" s="138">
        <v>0</v>
      </c>
      <c r="T5" s="138">
        <v>0</v>
      </c>
    </row>
    <row r="6" spans="1:20">
      <c r="A6" s="39">
        <v>2</v>
      </c>
      <c r="B6" s="144" t="s">
        <v>166</v>
      </c>
      <c r="C6" s="145"/>
      <c r="D6" s="141">
        <v>0</v>
      </c>
      <c r="E6" s="141">
        <v>0</v>
      </c>
      <c r="F6" s="141">
        <v>10.5</v>
      </c>
      <c r="G6" s="137">
        <v>0</v>
      </c>
      <c r="H6" s="137">
        <v>0</v>
      </c>
      <c r="I6" s="36">
        <v>0</v>
      </c>
      <c r="J6" s="37">
        <v>0</v>
      </c>
      <c r="K6" s="37"/>
      <c r="L6" s="138">
        <v>0</v>
      </c>
      <c r="M6" s="138">
        <v>0</v>
      </c>
      <c r="N6" s="138">
        <v>0</v>
      </c>
      <c r="O6" s="138">
        <v>0</v>
      </c>
      <c r="P6" s="138">
        <v>0</v>
      </c>
      <c r="Q6" s="138">
        <v>0</v>
      </c>
      <c r="R6" s="138">
        <v>0</v>
      </c>
      <c r="S6" s="138">
        <v>0</v>
      </c>
      <c r="T6" s="138">
        <v>0</v>
      </c>
    </row>
    <row r="7" spans="1:20">
      <c r="A7" s="39">
        <v>3</v>
      </c>
      <c r="B7" s="144" t="s">
        <v>167</v>
      </c>
      <c r="C7" s="145"/>
      <c r="D7" s="141">
        <v>0</v>
      </c>
      <c r="E7" s="141">
        <v>0</v>
      </c>
      <c r="F7" s="141">
        <v>10.5</v>
      </c>
      <c r="G7" s="137">
        <v>0</v>
      </c>
      <c r="H7" s="137">
        <v>0</v>
      </c>
      <c r="I7" s="36">
        <v>0</v>
      </c>
      <c r="J7" s="37">
        <v>0</v>
      </c>
      <c r="K7" s="37"/>
      <c r="L7" s="138">
        <v>0</v>
      </c>
      <c r="M7" s="138">
        <v>0</v>
      </c>
      <c r="N7" s="138">
        <v>0</v>
      </c>
      <c r="O7" s="138">
        <v>0</v>
      </c>
      <c r="P7" s="138">
        <v>0</v>
      </c>
      <c r="Q7" s="138">
        <v>0</v>
      </c>
      <c r="R7" s="138">
        <v>0</v>
      </c>
      <c r="S7" s="138">
        <v>0</v>
      </c>
      <c r="T7" s="138">
        <v>0</v>
      </c>
    </row>
    <row r="8" spans="1:20">
      <c r="A8" s="39">
        <v>4</v>
      </c>
      <c r="B8" s="144" t="s">
        <v>168</v>
      </c>
      <c r="C8" s="145"/>
      <c r="D8" s="141">
        <v>0</v>
      </c>
      <c r="E8" s="141">
        <v>0</v>
      </c>
      <c r="F8" s="141">
        <v>10.5</v>
      </c>
      <c r="G8" s="137">
        <v>0</v>
      </c>
      <c r="H8" s="137">
        <v>0</v>
      </c>
      <c r="I8" s="36">
        <v>0</v>
      </c>
      <c r="J8" s="37">
        <v>0</v>
      </c>
      <c r="K8" s="37"/>
      <c r="L8" s="138">
        <v>0</v>
      </c>
      <c r="M8" s="138">
        <v>0</v>
      </c>
      <c r="N8" s="138">
        <v>0</v>
      </c>
      <c r="O8" s="138">
        <v>0</v>
      </c>
      <c r="P8" s="138">
        <v>0</v>
      </c>
      <c r="Q8" s="138">
        <v>0</v>
      </c>
      <c r="R8" s="138">
        <v>0</v>
      </c>
      <c r="S8" s="138">
        <v>0</v>
      </c>
      <c r="T8" s="138">
        <v>0</v>
      </c>
    </row>
    <row r="9" spans="1:20">
      <c r="A9" s="39">
        <v>5</v>
      </c>
      <c r="B9" s="144" t="s">
        <v>169</v>
      </c>
      <c r="C9" s="145"/>
      <c r="D9" s="141">
        <v>0</v>
      </c>
      <c r="E9" s="141">
        <v>0</v>
      </c>
      <c r="F9" s="141">
        <v>10.5</v>
      </c>
      <c r="G9" s="137">
        <v>0</v>
      </c>
      <c r="H9" s="137">
        <v>0</v>
      </c>
      <c r="I9" s="36">
        <v>0</v>
      </c>
      <c r="J9" s="37">
        <v>0</v>
      </c>
      <c r="K9" s="37"/>
      <c r="L9" s="138">
        <v>0</v>
      </c>
      <c r="M9" s="138">
        <v>0</v>
      </c>
      <c r="N9" s="138">
        <v>0</v>
      </c>
      <c r="O9" s="138">
        <v>0</v>
      </c>
      <c r="P9" s="138">
        <v>0</v>
      </c>
      <c r="Q9" s="138">
        <v>0</v>
      </c>
      <c r="R9" s="138">
        <v>0</v>
      </c>
      <c r="S9" s="138">
        <v>0</v>
      </c>
      <c r="T9" s="138">
        <v>0</v>
      </c>
    </row>
    <row r="10" spans="1:20">
      <c r="A10" s="39">
        <v>6</v>
      </c>
      <c r="B10" s="144" t="s">
        <v>170</v>
      </c>
      <c r="C10" s="145"/>
      <c r="D10" s="141">
        <v>0</v>
      </c>
      <c r="E10" s="141">
        <v>0</v>
      </c>
      <c r="F10" s="141">
        <v>10.5</v>
      </c>
      <c r="G10" s="137">
        <v>0</v>
      </c>
      <c r="H10" s="137">
        <v>0</v>
      </c>
      <c r="I10" s="36">
        <v>0</v>
      </c>
      <c r="J10" s="37">
        <v>0</v>
      </c>
      <c r="K10" s="37"/>
      <c r="L10" s="138">
        <v>0</v>
      </c>
      <c r="M10" s="138">
        <v>0</v>
      </c>
      <c r="N10" s="138">
        <v>0</v>
      </c>
      <c r="O10" s="138">
        <v>0</v>
      </c>
      <c r="P10" s="138">
        <v>0</v>
      </c>
      <c r="Q10" s="138">
        <v>0</v>
      </c>
      <c r="R10" s="138">
        <v>0</v>
      </c>
      <c r="S10" s="138">
        <v>0</v>
      </c>
      <c r="T10" s="138">
        <v>0</v>
      </c>
    </row>
    <row r="11" spans="1:20">
      <c r="A11" s="39">
        <v>7</v>
      </c>
      <c r="B11" s="144" t="s">
        <v>171</v>
      </c>
      <c r="C11" s="145"/>
      <c r="D11" s="141">
        <v>0</v>
      </c>
      <c r="E11" s="141">
        <v>0</v>
      </c>
      <c r="F11" s="141">
        <v>10.5</v>
      </c>
      <c r="G11" s="137">
        <v>0</v>
      </c>
      <c r="H11" s="137">
        <v>0</v>
      </c>
      <c r="I11" s="36">
        <v>0</v>
      </c>
      <c r="J11" s="37">
        <v>0</v>
      </c>
      <c r="K11" s="37"/>
      <c r="L11" s="138">
        <v>0</v>
      </c>
      <c r="M11" s="138">
        <v>0</v>
      </c>
      <c r="N11" s="138">
        <v>0</v>
      </c>
      <c r="O11" s="138">
        <v>0</v>
      </c>
      <c r="P11" s="138">
        <v>0</v>
      </c>
      <c r="Q11" s="138">
        <v>0</v>
      </c>
      <c r="R11" s="138">
        <v>0</v>
      </c>
      <c r="S11" s="138">
        <v>0</v>
      </c>
      <c r="T11" s="138">
        <v>0</v>
      </c>
    </row>
    <row r="12" spans="1:20">
      <c r="A12" s="39">
        <v>8</v>
      </c>
      <c r="B12" s="144" t="s">
        <v>172</v>
      </c>
      <c r="C12" s="145"/>
      <c r="D12" s="141">
        <v>0</v>
      </c>
      <c r="E12" s="141">
        <v>0</v>
      </c>
      <c r="F12" s="141">
        <v>10.5</v>
      </c>
      <c r="G12" s="137">
        <v>0</v>
      </c>
      <c r="H12" s="137">
        <v>0</v>
      </c>
      <c r="I12" s="36">
        <v>0</v>
      </c>
      <c r="J12" s="37">
        <v>0</v>
      </c>
      <c r="K12" s="37"/>
      <c r="L12" s="138">
        <v>0</v>
      </c>
      <c r="M12" s="138">
        <v>0</v>
      </c>
      <c r="N12" s="138">
        <v>0</v>
      </c>
      <c r="O12" s="138">
        <v>0</v>
      </c>
      <c r="P12" s="138">
        <v>0</v>
      </c>
      <c r="Q12" s="138">
        <v>0</v>
      </c>
      <c r="R12" s="138">
        <v>0</v>
      </c>
      <c r="S12" s="138">
        <v>0</v>
      </c>
      <c r="T12" s="138">
        <v>0</v>
      </c>
    </row>
    <row r="13" spans="1:20">
      <c r="A13" s="39">
        <v>9</v>
      </c>
      <c r="B13" s="144" t="s">
        <v>173</v>
      </c>
      <c r="C13" s="145"/>
      <c r="D13" s="141">
        <v>0</v>
      </c>
      <c r="E13" s="141">
        <v>0</v>
      </c>
      <c r="F13" s="141">
        <v>10.5</v>
      </c>
      <c r="G13" s="137">
        <v>0</v>
      </c>
      <c r="H13" s="137">
        <v>0</v>
      </c>
      <c r="I13" s="36">
        <v>0</v>
      </c>
      <c r="J13" s="37">
        <v>0</v>
      </c>
      <c r="K13" s="37"/>
      <c r="L13" s="138">
        <v>0</v>
      </c>
      <c r="M13" s="138">
        <v>0</v>
      </c>
      <c r="N13" s="138">
        <v>0</v>
      </c>
      <c r="O13" s="138">
        <v>0</v>
      </c>
      <c r="P13" s="138">
        <v>0</v>
      </c>
      <c r="Q13" s="138">
        <v>0</v>
      </c>
      <c r="R13" s="138">
        <v>0</v>
      </c>
      <c r="S13" s="138">
        <v>0</v>
      </c>
      <c r="T13" s="138">
        <v>0</v>
      </c>
    </row>
    <row r="14" spans="1:20">
      <c r="A14" s="39">
        <v>10</v>
      </c>
      <c r="B14" s="144" t="s">
        <v>174</v>
      </c>
      <c r="C14" s="145"/>
      <c r="D14" s="141">
        <v>0</v>
      </c>
      <c r="E14" s="141">
        <v>0</v>
      </c>
      <c r="F14" s="141">
        <v>10.5</v>
      </c>
      <c r="G14" s="137">
        <v>0</v>
      </c>
      <c r="H14" s="137">
        <v>0</v>
      </c>
      <c r="I14" s="36">
        <v>0</v>
      </c>
      <c r="J14" s="37">
        <v>0</v>
      </c>
      <c r="K14" s="37"/>
      <c r="L14" s="138">
        <v>0</v>
      </c>
      <c r="M14" s="138">
        <v>0</v>
      </c>
      <c r="N14" s="138">
        <v>0</v>
      </c>
      <c r="O14" s="138">
        <v>0</v>
      </c>
      <c r="P14" s="138">
        <v>0</v>
      </c>
      <c r="Q14" s="138">
        <v>0</v>
      </c>
      <c r="R14" s="138">
        <v>0</v>
      </c>
      <c r="S14" s="138">
        <v>0</v>
      </c>
      <c r="T14" s="138">
        <v>0</v>
      </c>
    </row>
    <row r="15" spans="1:20">
      <c r="A15" s="39">
        <v>11</v>
      </c>
      <c r="B15" s="144" t="s">
        <v>175</v>
      </c>
      <c r="C15" s="145"/>
      <c r="D15" s="141">
        <v>0</v>
      </c>
      <c r="E15" s="141">
        <v>0</v>
      </c>
      <c r="F15" s="141">
        <v>10.5</v>
      </c>
      <c r="G15" s="137">
        <v>0</v>
      </c>
      <c r="H15" s="137">
        <v>0</v>
      </c>
      <c r="I15" s="36">
        <v>0</v>
      </c>
      <c r="J15" s="37">
        <v>0</v>
      </c>
      <c r="K15" s="37"/>
      <c r="L15" s="138">
        <v>0</v>
      </c>
      <c r="M15" s="138">
        <v>0</v>
      </c>
      <c r="N15" s="138">
        <v>0</v>
      </c>
      <c r="O15" s="138">
        <v>0</v>
      </c>
      <c r="P15" s="138">
        <v>0</v>
      </c>
      <c r="Q15" s="138">
        <v>0</v>
      </c>
      <c r="R15" s="138">
        <v>0</v>
      </c>
      <c r="S15" s="138">
        <v>0</v>
      </c>
      <c r="T15" s="138">
        <v>0</v>
      </c>
    </row>
    <row r="16" spans="1:20">
      <c r="A16" s="39">
        <v>12</v>
      </c>
      <c r="B16" s="144" t="s">
        <v>176</v>
      </c>
      <c r="C16" s="145"/>
      <c r="D16" s="141">
        <v>0</v>
      </c>
      <c r="E16" s="141">
        <v>0</v>
      </c>
      <c r="F16" s="141">
        <v>10.5</v>
      </c>
      <c r="G16" s="137">
        <v>0</v>
      </c>
      <c r="H16" s="137">
        <v>0</v>
      </c>
      <c r="I16" s="36">
        <v>0</v>
      </c>
      <c r="J16" s="37">
        <v>0</v>
      </c>
      <c r="K16" s="42"/>
      <c r="L16" s="138">
        <v>0</v>
      </c>
      <c r="M16" s="138">
        <v>0</v>
      </c>
      <c r="N16" s="138">
        <v>0</v>
      </c>
      <c r="O16" s="138">
        <v>0</v>
      </c>
      <c r="P16" s="138">
        <v>0</v>
      </c>
      <c r="Q16" s="138">
        <v>0</v>
      </c>
      <c r="R16" s="138">
        <v>0</v>
      </c>
      <c r="S16" s="138">
        <v>0</v>
      </c>
      <c r="T16" s="138">
        <v>0</v>
      </c>
    </row>
    <row r="17" spans="1:20">
      <c r="A17" s="39">
        <v>13</v>
      </c>
      <c r="B17" s="144" t="s">
        <v>177</v>
      </c>
      <c r="C17" s="145"/>
      <c r="D17" s="141">
        <v>0</v>
      </c>
      <c r="E17" s="141">
        <v>0</v>
      </c>
      <c r="F17" s="141">
        <v>10.5</v>
      </c>
      <c r="G17" s="137">
        <v>0</v>
      </c>
      <c r="H17" s="137">
        <v>0</v>
      </c>
      <c r="I17" s="36">
        <v>0</v>
      </c>
      <c r="J17" s="37">
        <v>0</v>
      </c>
      <c r="K17" s="37"/>
      <c r="L17" s="138">
        <v>0</v>
      </c>
      <c r="M17" s="138">
        <v>0</v>
      </c>
      <c r="N17" s="138">
        <v>0</v>
      </c>
      <c r="O17" s="138">
        <v>0</v>
      </c>
      <c r="P17" s="138">
        <v>0</v>
      </c>
      <c r="Q17" s="138">
        <v>0</v>
      </c>
      <c r="R17" s="138">
        <v>0</v>
      </c>
      <c r="S17" s="138">
        <v>0</v>
      </c>
      <c r="T17" s="138">
        <v>0</v>
      </c>
    </row>
    <row r="18" spans="1:20">
      <c r="A18" s="39">
        <v>14</v>
      </c>
      <c r="B18" s="144" t="s">
        <v>178</v>
      </c>
      <c r="C18" s="145"/>
      <c r="D18" s="141">
        <v>0</v>
      </c>
      <c r="E18" s="141">
        <v>0</v>
      </c>
      <c r="F18" s="141">
        <v>10.5</v>
      </c>
      <c r="G18" s="137">
        <v>0</v>
      </c>
      <c r="H18" s="137">
        <v>0</v>
      </c>
      <c r="I18" s="36">
        <v>0</v>
      </c>
      <c r="J18" s="37">
        <v>0</v>
      </c>
      <c r="K18" s="37"/>
      <c r="L18" s="138">
        <v>0</v>
      </c>
      <c r="M18" s="138">
        <v>0</v>
      </c>
      <c r="N18" s="138">
        <v>0</v>
      </c>
      <c r="O18" s="138">
        <v>0</v>
      </c>
      <c r="P18" s="138">
        <v>0</v>
      </c>
      <c r="Q18" s="138">
        <v>0</v>
      </c>
      <c r="R18" s="138">
        <v>0</v>
      </c>
      <c r="S18" s="138">
        <v>0</v>
      </c>
      <c r="T18" s="138">
        <v>0</v>
      </c>
    </row>
    <row r="19" spans="1:20">
      <c r="A19" s="39">
        <v>15</v>
      </c>
      <c r="B19" s="144" t="s">
        <v>179</v>
      </c>
      <c r="C19" s="145"/>
      <c r="D19" s="141">
        <v>0</v>
      </c>
      <c r="E19" s="141">
        <v>0</v>
      </c>
      <c r="F19" s="141">
        <v>10.5</v>
      </c>
      <c r="G19" s="137">
        <v>0</v>
      </c>
      <c r="H19" s="137">
        <v>0</v>
      </c>
      <c r="I19" s="36">
        <v>0</v>
      </c>
      <c r="J19" s="37">
        <v>0</v>
      </c>
      <c r="K19" s="37"/>
      <c r="L19" s="138">
        <v>0</v>
      </c>
      <c r="M19" s="138">
        <v>0</v>
      </c>
      <c r="N19" s="138">
        <v>0</v>
      </c>
      <c r="O19" s="138">
        <v>0</v>
      </c>
      <c r="P19" s="138">
        <v>0</v>
      </c>
      <c r="Q19" s="138">
        <v>0</v>
      </c>
      <c r="R19" s="138">
        <v>0</v>
      </c>
      <c r="S19" s="138">
        <v>0</v>
      </c>
      <c r="T19" s="138">
        <v>0</v>
      </c>
    </row>
    <row r="20" spans="1:20">
      <c r="A20" s="39">
        <v>16</v>
      </c>
      <c r="B20" s="144" t="s">
        <v>180</v>
      </c>
      <c r="C20" s="145"/>
      <c r="D20" s="141">
        <v>0</v>
      </c>
      <c r="E20" s="141">
        <v>0</v>
      </c>
      <c r="F20" s="141">
        <v>10.5</v>
      </c>
      <c r="G20" s="137">
        <v>0</v>
      </c>
      <c r="H20" s="137">
        <v>0</v>
      </c>
      <c r="I20" s="36">
        <v>0</v>
      </c>
      <c r="J20" s="37">
        <v>0</v>
      </c>
      <c r="K20" s="37"/>
      <c r="L20" s="138">
        <v>0</v>
      </c>
      <c r="M20" s="138">
        <v>0</v>
      </c>
      <c r="N20" s="138">
        <v>0</v>
      </c>
      <c r="O20" s="138">
        <v>0</v>
      </c>
      <c r="P20" s="138">
        <v>0</v>
      </c>
      <c r="Q20" s="138">
        <v>0</v>
      </c>
      <c r="R20" s="138">
        <v>0</v>
      </c>
      <c r="S20" s="138">
        <v>0</v>
      </c>
      <c r="T20" s="138">
        <v>0</v>
      </c>
    </row>
    <row r="21" spans="1:20">
      <c r="A21" s="39">
        <v>17</v>
      </c>
      <c r="B21" s="144" t="s">
        <v>181</v>
      </c>
      <c r="C21" s="145"/>
      <c r="D21" s="141">
        <v>0</v>
      </c>
      <c r="E21" s="141">
        <v>0</v>
      </c>
      <c r="F21" s="141">
        <v>10.5</v>
      </c>
      <c r="G21" s="137">
        <v>0</v>
      </c>
      <c r="H21" s="137">
        <v>0</v>
      </c>
      <c r="I21" s="36">
        <v>0</v>
      </c>
      <c r="J21" s="37">
        <v>0</v>
      </c>
      <c r="K21" s="37"/>
      <c r="L21" s="138">
        <v>0</v>
      </c>
      <c r="M21" s="138">
        <v>0</v>
      </c>
      <c r="N21" s="138">
        <v>0</v>
      </c>
      <c r="O21" s="138">
        <v>0</v>
      </c>
      <c r="P21" s="138">
        <v>0</v>
      </c>
      <c r="Q21" s="138">
        <v>0</v>
      </c>
      <c r="R21" s="138">
        <v>0</v>
      </c>
      <c r="S21" s="138">
        <v>0</v>
      </c>
      <c r="T21" s="138">
        <v>0</v>
      </c>
    </row>
    <row r="22" spans="1:20">
      <c r="A22" s="39">
        <v>18</v>
      </c>
      <c r="B22" s="144" t="s">
        <v>182</v>
      </c>
      <c r="C22" s="145"/>
      <c r="D22" s="141">
        <v>0</v>
      </c>
      <c r="E22" s="141">
        <v>0</v>
      </c>
      <c r="F22" s="141">
        <v>10.5</v>
      </c>
      <c r="G22" s="137">
        <v>0</v>
      </c>
      <c r="H22" s="137">
        <v>0</v>
      </c>
      <c r="I22" s="36">
        <v>0</v>
      </c>
      <c r="J22" s="37">
        <v>0</v>
      </c>
      <c r="K22" s="37"/>
      <c r="L22" s="138">
        <v>0</v>
      </c>
      <c r="M22" s="138">
        <v>0</v>
      </c>
      <c r="N22" s="138">
        <v>0</v>
      </c>
      <c r="O22" s="138">
        <v>0</v>
      </c>
      <c r="P22" s="138">
        <v>0</v>
      </c>
      <c r="Q22" s="138">
        <v>0</v>
      </c>
      <c r="R22" s="138">
        <v>0</v>
      </c>
      <c r="S22" s="138">
        <v>0</v>
      </c>
      <c r="T22" s="138">
        <v>0</v>
      </c>
    </row>
    <row r="23" spans="1:20">
      <c r="A23" s="39">
        <v>19</v>
      </c>
      <c r="B23" s="144" t="s">
        <v>183</v>
      </c>
      <c r="C23" s="145"/>
      <c r="D23" s="141">
        <v>0</v>
      </c>
      <c r="E23" s="141">
        <v>0</v>
      </c>
      <c r="F23" s="141">
        <v>10.5</v>
      </c>
      <c r="G23" s="137">
        <v>0</v>
      </c>
      <c r="H23" s="137">
        <v>0</v>
      </c>
      <c r="I23" s="36">
        <v>0</v>
      </c>
      <c r="J23" s="37">
        <v>0</v>
      </c>
      <c r="K23" s="37"/>
      <c r="L23" s="138">
        <v>0</v>
      </c>
      <c r="M23" s="138">
        <v>0</v>
      </c>
      <c r="N23" s="138">
        <v>0</v>
      </c>
      <c r="O23" s="138">
        <v>0</v>
      </c>
      <c r="P23" s="138">
        <v>0</v>
      </c>
      <c r="Q23" s="138">
        <v>0</v>
      </c>
      <c r="R23" s="138">
        <v>0</v>
      </c>
      <c r="S23" s="138">
        <v>0</v>
      </c>
      <c r="T23" s="138">
        <v>0</v>
      </c>
    </row>
    <row r="24" spans="1:20">
      <c r="A24" s="39">
        <v>20</v>
      </c>
      <c r="B24" s="144" t="s">
        <v>184</v>
      </c>
      <c r="C24" s="145"/>
      <c r="D24" s="141">
        <v>0</v>
      </c>
      <c r="E24" s="141">
        <v>0</v>
      </c>
      <c r="F24" s="141">
        <v>10.5</v>
      </c>
      <c r="G24" s="137">
        <v>0</v>
      </c>
      <c r="H24" s="137">
        <v>0</v>
      </c>
      <c r="I24" s="36">
        <v>0</v>
      </c>
      <c r="J24" s="37">
        <v>0</v>
      </c>
      <c r="K24" s="37"/>
      <c r="L24" s="138">
        <v>0</v>
      </c>
      <c r="M24" s="138">
        <v>0</v>
      </c>
      <c r="N24" s="138">
        <v>0</v>
      </c>
      <c r="O24" s="138">
        <v>0</v>
      </c>
      <c r="P24" s="138">
        <v>0</v>
      </c>
      <c r="Q24" s="138">
        <v>0</v>
      </c>
      <c r="R24" s="138">
        <v>0</v>
      </c>
      <c r="S24" s="138">
        <v>0</v>
      </c>
      <c r="T24" s="138">
        <v>0</v>
      </c>
    </row>
    <row r="25" spans="1:20">
      <c r="A25" s="39">
        <v>21</v>
      </c>
      <c r="B25" s="144" t="s">
        <v>185</v>
      </c>
      <c r="C25" s="145"/>
      <c r="D25" s="141">
        <v>0</v>
      </c>
      <c r="E25" s="141">
        <v>0</v>
      </c>
      <c r="F25" s="141">
        <v>10.5</v>
      </c>
      <c r="G25" s="137">
        <v>0</v>
      </c>
      <c r="H25" s="137">
        <v>0</v>
      </c>
      <c r="I25" s="36">
        <v>0</v>
      </c>
      <c r="J25" s="37">
        <v>0</v>
      </c>
      <c r="K25" s="37"/>
      <c r="L25" s="138">
        <v>0</v>
      </c>
      <c r="M25" s="138">
        <v>0</v>
      </c>
      <c r="N25" s="138">
        <v>0</v>
      </c>
      <c r="O25" s="138">
        <v>0</v>
      </c>
      <c r="P25" s="138">
        <v>0</v>
      </c>
      <c r="Q25" s="138">
        <v>0</v>
      </c>
      <c r="R25" s="138">
        <v>0</v>
      </c>
      <c r="S25" s="138">
        <v>0</v>
      </c>
      <c r="T25" s="138">
        <v>0</v>
      </c>
    </row>
    <row r="26" spans="1:20">
      <c r="A26" s="39">
        <v>22</v>
      </c>
      <c r="B26" s="144" t="s">
        <v>186</v>
      </c>
      <c r="C26" s="145"/>
      <c r="D26" s="141">
        <v>0</v>
      </c>
      <c r="E26" s="141">
        <v>0</v>
      </c>
      <c r="F26" s="141">
        <v>10.5</v>
      </c>
      <c r="G26" s="137">
        <v>0</v>
      </c>
      <c r="H26" s="137">
        <v>0</v>
      </c>
      <c r="I26" s="36">
        <v>0</v>
      </c>
      <c r="J26" s="37">
        <v>0</v>
      </c>
      <c r="K26" s="37"/>
      <c r="L26" s="138">
        <v>0</v>
      </c>
      <c r="M26" s="138">
        <v>0</v>
      </c>
      <c r="N26" s="138">
        <v>0</v>
      </c>
      <c r="O26" s="138">
        <v>0</v>
      </c>
      <c r="P26" s="138">
        <v>0</v>
      </c>
      <c r="Q26" s="138">
        <v>0</v>
      </c>
      <c r="R26" s="138">
        <v>0</v>
      </c>
      <c r="S26" s="138">
        <v>0</v>
      </c>
      <c r="T26" s="138">
        <v>0</v>
      </c>
    </row>
    <row r="27" spans="1:20">
      <c r="A27" s="39">
        <v>23</v>
      </c>
      <c r="B27" s="144" t="s">
        <v>187</v>
      </c>
      <c r="C27" s="145"/>
      <c r="D27" s="141">
        <v>0</v>
      </c>
      <c r="E27" s="141">
        <v>0</v>
      </c>
      <c r="F27" s="141">
        <v>10.5</v>
      </c>
      <c r="G27" s="137">
        <v>0</v>
      </c>
      <c r="H27" s="137">
        <v>0</v>
      </c>
      <c r="I27" s="36">
        <v>0</v>
      </c>
      <c r="J27" s="37">
        <v>0</v>
      </c>
      <c r="K27" s="37"/>
      <c r="L27" s="138">
        <v>0</v>
      </c>
      <c r="M27" s="138">
        <v>0</v>
      </c>
      <c r="N27" s="138">
        <v>0</v>
      </c>
      <c r="O27" s="138">
        <v>0</v>
      </c>
      <c r="P27" s="138">
        <v>0</v>
      </c>
      <c r="Q27" s="138">
        <v>0</v>
      </c>
      <c r="R27" s="138">
        <v>0</v>
      </c>
      <c r="S27" s="138">
        <v>0</v>
      </c>
      <c r="T27" s="138">
        <v>0</v>
      </c>
    </row>
    <row r="28" spans="1:20">
      <c r="A28" s="39">
        <v>24</v>
      </c>
      <c r="B28" s="144" t="s">
        <v>188</v>
      </c>
      <c r="C28" s="145"/>
      <c r="D28" s="141">
        <v>0</v>
      </c>
      <c r="E28" s="141">
        <v>0</v>
      </c>
      <c r="F28" s="141">
        <v>10.5</v>
      </c>
      <c r="G28" s="137">
        <v>0</v>
      </c>
      <c r="H28" s="137">
        <v>0</v>
      </c>
      <c r="I28" s="36">
        <v>0</v>
      </c>
      <c r="J28" s="37">
        <v>0</v>
      </c>
      <c r="K28" s="37"/>
      <c r="L28" s="138">
        <v>0</v>
      </c>
      <c r="M28" s="138">
        <v>0</v>
      </c>
      <c r="N28" s="138">
        <v>0</v>
      </c>
      <c r="O28" s="138">
        <v>0</v>
      </c>
      <c r="P28" s="138">
        <v>0</v>
      </c>
      <c r="Q28" s="138">
        <v>0</v>
      </c>
      <c r="R28" s="138">
        <v>0</v>
      </c>
      <c r="S28" s="138">
        <v>0</v>
      </c>
      <c r="T28" s="138">
        <v>0</v>
      </c>
    </row>
    <row r="29" spans="1:20">
      <c r="A29" s="39">
        <v>25</v>
      </c>
      <c r="B29" s="144" t="s">
        <v>189</v>
      </c>
      <c r="C29" s="145"/>
      <c r="D29" s="141">
        <v>0</v>
      </c>
      <c r="E29" s="141">
        <v>0</v>
      </c>
      <c r="F29" s="141">
        <v>10.5</v>
      </c>
      <c r="G29" s="137">
        <v>0</v>
      </c>
      <c r="H29" s="137">
        <v>0</v>
      </c>
      <c r="I29" s="36">
        <v>0</v>
      </c>
      <c r="J29" s="37">
        <v>0</v>
      </c>
      <c r="K29" s="37"/>
      <c r="L29" s="138">
        <v>0</v>
      </c>
      <c r="M29" s="138">
        <v>0</v>
      </c>
      <c r="N29" s="138">
        <v>0</v>
      </c>
      <c r="O29" s="138">
        <v>0</v>
      </c>
      <c r="P29" s="138">
        <v>0</v>
      </c>
      <c r="Q29" s="138">
        <v>0</v>
      </c>
      <c r="R29" s="138">
        <v>0</v>
      </c>
      <c r="S29" s="138">
        <v>0</v>
      </c>
      <c r="T29" s="138">
        <v>0</v>
      </c>
    </row>
    <row r="30" spans="1:20">
      <c r="A30" s="39">
        <v>26</v>
      </c>
      <c r="B30" s="144" t="s">
        <v>190</v>
      </c>
      <c r="C30" s="145"/>
      <c r="D30" s="141">
        <v>0</v>
      </c>
      <c r="E30" s="141">
        <v>0</v>
      </c>
      <c r="F30" s="141">
        <v>10.5</v>
      </c>
      <c r="G30" s="137">
        <v>0</v>
      </c>
      <c r="H30" s="137">
        <v>0</v>
      </c>
      <c r="I30" s="36">
        <v>0</v>
      </c>
      <c r="J30" s="37">
        <v>0</v>
      </c>
      <c r="K30" s="37"/>
      <c r="L30" s="138">
        <v>0</v>
      </c>
      <c r="M30" s="138">
        <v>0</v>
      </c>
      <c r="N30" s="138">
        <v>0</v>
      </c>
      <c r="O30" s="138">
        <v>0</v>
      </c>
      <c r="P30" s="138">
        <v>0</v>
      </c>
      <c r="Q30" s="138">
        <v>0</v>
      </c>
      <c r="R30" s="138">
        <v>0</v>
      </c>
      <c r="S30" s="138">
        <v>0</v>
      </c>
      <c r="T30" s="138">
        <v>0</v>
      </c>
    </row>
    <row r="31" spans="1:20">
      <c r="A31" s="39">
        <v>27</v>
      </c>
      <c r="B31" s="144" t="s">
        <v>191</v>
      </c>
      <c r="C31" s="145"/>
      <c r="D31" s="141">
        <v>0</v>
      </c>
      <c r="E31" s="141">
        <v>0</v>
      </c>
      <c r="F31" s="141">
        <v>10.5</v>
      </c>
      <c r="G31" s="137">
        <v>0</v>
      </c>
      <c r="H31" s="137">
        <v>0</v>
      </c>
      <c r="I31" s="36">
        <v>0</v>
      </c>
      <c r="J31" s="37">
        <v>0</v>
      </c>
      <c r="K31" s="37"/>
      <c r="L31" s="138">
        <v>0</v>
      </c>
      <c r="M31" s="138">
        <v>0</v>
      </c>
      <c r="N31" s="138">
        <v>0</v>
      </c>
      <c r="O31" s="138">
        <v>0</v>
      </c>
      <c r="P31" s="138">
        <v>0</v>
      </c>
      <c r="Q31" s="138">
        <v>0</v>
      </c>
      <c r="R31" s="138">
        <v>0</v>
      </c>
      <c r="S31" s="138">
        <v>0</v>
      </c>
      <c r="T31" s="138">
        <v>0</v>
      </c>
    </row>
    <row r="32" spans="1:20">
      <c r="A32" s="39">
        <v>28</v>
      </c>
      <c r="B32" s="144" t="s">
        <v>192</v>
      </c>
      <c r="C32" s="145"/>
      <c r="D32" s="141">
        <v>0</v>
      </c>
      <c r="E32" s="141">
        <v>0</v>
      </c>
      <c r="F32" s="141">
        <v>10.5</v>
      </c>
      <c r="G32" s="137">
        <v>0</v>
      </c>
      <c r="H32" s="137">
        <v>0</v>
      </c>
      <c r="I32" s="36">
        <v>0</v>
      </c>
      <c r="J32" s="37">
        <v>0</v>
      </c>
      <c r="K32" s="37"/>
      <c r="L32" s="138">
        <v>0</v>
      </c>
      <c r="M32" s="138">
        <v>0</v>
      </c>
      <c r="N32" s="138">
        <v>0</v>
      </c>
      <c r="O32" s="138">
        <v>0</v>
      </c>
      <c r="P32" s="138">
        <v>0</v>
      </c>
      <c r="Q32" s="138">
        <v>0</v>
      </c>
      <c r="R32" s="138">
        <v>0</v>
      </c>
      <c r="S32" s="138">
        <v>0</v>
      </c>
      <c r="T32" s="138">
        <v>0</v>
      </c>
    </row>
    <row r="33" spans="1:20">
      <c r="A33" s="39">
        <v>29</v>
      </c>
      <c r="B33" s="144" t="s">
        <v>193</v>
      </c>
      <c r="C33" s="145"/>
      <c r="D33" s="141">
        <v>0</v>
      </c>
      <c r="E33" s="141">
        <v>0</v>
      </c>
      <c r="F33" s="141">
        <v>10.5</v>
      </c>
      <c r="G33" s="137">
        <v>0</v>
      </c>
      <c r="H33" s="137">
        <v>0</v>
      </c>
      <c r="I33" s="36">
        <v>0</v>
      </c>
      <c r="J33" s="37">
        <v>0</v>
      </c>
      <c r="K33" s="37"/>
      <c r="L33" s="138">
        <v>0</v>
      </c>
      <c r="M33" s="138">
        <v>0</v>
      </c>
      <c r="N33" s="138">
        <v>0</v>
      </c>
      <c r="O33" s="138">
        <v>0</v>
      </c>
      <c r="P33" s="138">
        <v>0</v>
      </c>
      <c r="Q33" s="138">
        <v>0</v>
      </c>
      <c r="R33" s="138">
        <v>0</v>
      </c>
      <c r="S33" s="138">
        <v>0</v>
      </c>
      <c r="T33" s="138">
        <v>0</v>
      </c>
    </row>
    <row r="34" spans="1:20">
      <c r="A34" s="39">
        <v>30</v>
      </c>
      <c r="B34" s="144" t="s">
        <v>194</v>
      </c>
      <c r="C34" s="145"/>
      <c r="D34" s="141">
        <v>0</v>
      </c>
      <c r="E34" s="141">
        <v>0</v>
      </c>
      <c r="F34" s="141">
        <v>10.5</v>
      </c>
      <c r="G34" s="137">
        <v>0</v>
      </c>
      <c r="H34" s="137">
        <v>0</v>
      </c>
      <c r="I34" s="36">
        <v>0</v>
      </c>
      <c r="J34" s="37">
        <v>0</v>
      </c>
      <c r="K34" s="37"/>
      <c r="L34" s="138">
        <v>0</v>
      </c>
      <c r="M34" s="138">
        <v>0</v>
      </c>
      <c r="N34" s="138">
        <v>0</v>
      </c>
      <c r="O34" s="138">
        <v>0</v>
      </c>
      <c r="P34" s="138">
        <v>0</v>
      </c>
      <c r="Q34" s="138">
        <v>0</v>
      </c>
      <c r="R34" s="138">
        <v>0</v>
      </c>
      <c r="S34" s="138">
        <v>0</v>
      </c>
      <c r="T34" s="138">
        <v>0</v>
      </c>
    </row>
    <row r="35" spans="1:20">
      <c r="A35" s="39">
        <v>31</v>
      </c>
      <c r="B35" s="144"/>
      <c r="C35" s="145"/>
      <c r="D35" s="141">
        <v>0</v>
      </c>
      <c r="E35" s="141">
        <v>0</v>
      </c>
      <c r="F35" s="141">
        <v>0</v>
      </c>
      <c r="G35" s="137">
        <v>0</v>
      </c>
      <c r="H35" s="137">
        <v>0</v>
      </c>
      <c r="I35" s="36">
        <v>0</v>
      </c>
      <c r="J35" s="37">
        <v>0</v>
      </c>
      <c r="K35" s="37"/>
      <c r="L35" s="138">
        <v>0</v>
      </c>
      <c r="M35" s="138">
        <v>0</v>
      </c>
      <c r="N35" s="138">
        <v>0</v>
      </c>
      <c r="O35" s="138">
        <v>0</v>
      </c>
      <c r="P35" s="138">
        <v>0</v>
      </c>
      <c r="Q35" s="138">
        <v>0</v>
      </c>
      <c r="R35" s="138">
        <v>0</v>
      </c>
      <c r="S35" s="138">
        <v>0</v>
      </c>
      <c r="T35" s="138">
        <v>0</v>
      </c>
    </row>
    <row r="36" spans="1:20">
      <c r="D36" s="43">
        <v>0</v>
      </c>
      <c r="E36" s="43">
        <v>0</v>
      </c>
      <c r="F36" s="43">
        <v>315</v>
      </c>
      <c r="G36" s="43">
        <v>0</v>
      </c>
      <c r="H36" s="43">
        <v>0</v>
      </c>
      <c r="I36" s="43">
        <v>0</v>
      </c>
      <c r="J36" s="44">
        <v>0</v>
      </c>
      <c r="K36" s="44">
        <v>0</v>
      </c>
      <c r="L36" s="139">
        <v>0</v>
      </c>
      <c r="M36" s="139">
        <v>0</v>
      </c>
      <c r="N36" s="139">
        <v>0</v>
      </c>
      <c r="O36" s="139">
        <v>9984.4500000000007</v>
      </c>
      <c r="P36" s="139">
        <v>0</v>
      </c>
      <c r="Q36" s="139">
        <v>0</v>
      </c>
      <c r="R36" s="139">
        <v>0</v>
      </c>
      <c r="S36" s="139">
        <v>0</v>
      </c>
      <c r="T36" s="139">
        <v>9984.4500000000007</v>
      </c>
    </row>
    <row r="37" spans="1:20">
      <c r="R37" s="46"/>
      <c r="S37" s="46"/>
      <c r="T37" s="140">
        <v>12181.03</v>
      </c>
    </row>
  </sheetData>
  <mergeCells count="50"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A2AB9-54B4-42DF-BAD7-0C3CB1CB7146}">
  <sheetPr>
    <pageSetUpPr fitToPage="1"/>
  </sheetPr>
  <dimension ref="A1:T37"/>
  <sheetViews>
    <sheetView workbookViewId="0">
      <selection activeCell="R5" sqref="R5:S35"/>
    </sheetView>
  </sheetViews>
  <sheetFormatPr defaultRowHeight="15"/>
  <cols>
    <col min="1" max="3" width="9.140625" style="28"/>
    <col min="4" max="4" width="11.7109375" style="28" customWidth="1"/>
    <col min="5" max="5" width="12.140625" style="28" customWidth="1"/>
    <col min="6" max="6" width="13.28515625" style="28" customWidth="1"/>
    <col min="7" max="7" width="11.42578125" style="28" customWidth="1"/>
    <col min="8" max="8" width="10.42578125" style="28" customWidth="1"/>
    <col min="9" max="9" width="10.5703125" style="28" bestFit="1" customWidth="1"/>
    <col min="10" max="10" width="9.42578125" style="28" bestFit="1" customWidth="1"/>
    <col min="11" max="12" width="9.140625" style="28"/>
    <col min="13" max="13" width="15.140625" style="28" customWidth="1"/>
    <col min="14" max="14" width="13.5703125" style="28" customWidth="1"/>
    <col min="15" max="15" width="14.5703125" style="28" customWidth="1"/>
    <col min="16" max="16" width="14.5703125" style="28" bestFit="1" customWidth="1"/>
    <col min="17" max="17" width="15" style="28" customWidth="1"/>
    <col min="18" max="18" width="13.28515625" style="28" customWidth="1"/>
    <col min="19" max="19" width="11.7109375" style="28" customWidth="1"/>
    <col min="20" max="20" width="24.28515625" style="28" customWidth="1"/>
    <col min="21" max="16384" width="9.140625" style="28"/>
  </cols>
  <sheetData>
    <row r="1" spans="1:20">
      <c r="I1" s="29"/>
    </row>
    <row r="2" spans="1:20" ht="28.9" customHeight="1">
      <c r="A2" s="149" t="s">
        <v>208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</row>
    <row r="3" spans="1:20" ht="28.9" customHeight="1">
      <c r="A3" s="146" t="s">
        <v>0</v>
      </c>
      <c r="B3" s="150" t="s">
        <v>1</v>
      </c>
      <c r="C3" s="151"/>
      <c r="D3" s="146" t="s">
        <v>2</v>
      </c>
      <c r="E3" s="146" t="s">
        <v>3</v>
      </c>
      <c r="F3" s="30" t="s">
        <v>4</v>
      </c>
      <c r="G3" s="146" t="s">
        <v>156</v>
      </c>
      <c r="H3" s="146" t="s">
        <v>157</v>
      </c>
      <c r="I3" s="146" t="s">
        <v>7</v>
      </c>
      <c r="J3" s="146" t="s">
        <v>8</v>
      </c>
      <c r="K3" s="146" t="s">
        <v>158</v>
      </c>
      <c r="L3" s="146" t="s">
        <v>159</v>
      </c>
      <c r="M3" s="146" t="s">
        <v>160</v>
      </c>
      <c r="N3" s="146" t="s">
        <v>161</v>
      </c>
      <c r="O3" s="146" t="s">
        <v>162</v>
      </c>
      <c r="P3" s="146" t="s">
        <v>163</v>
      </c>
      <c r="Q3" s="146" t="s">
        <v>164</v>
      </c>
      <c r="R3" s="146" t="s">
        <v>16</v>
      </c>
      <c r="S3" s="146" t="s">
        <v>17</v>
      </c>
      <c r="T3" s="146" t="s">
        <v>18</v>
      </c>
    </row>
    <row r="4" spans="1:20" ht="27" customHeight="1">
      <c r="A4" s="147"/>
      <c r="B4" s="152"/>
      <c r="C4" s="153"/>
      <c r="D4" s="147"/>
      <c r="E4" s="147"/>
      <c r="F4" s="31"/>
      <c r="G4" s="147"/>
      <c r="H4" s="147"/>
      <c r="I4" s="147"/>
      <c r="J4" s="147"/>
      <c r="K4" s="148"/>
      <c r="L4" s="148"/>
      <c r="M4" s="147"/>
      <c r="N4" s="147"/>
      <c r="O4" s="147"/>
      <c r="P4" s="147"/>
      <c r="Q4" s="147"/>
      <c r="R4" s="147"/>
      <c r="S4" s="147"/>
      <c r="T4" s="147"/>
    </row>
    <row r="5" spans="1:20">
      <c r="A5" s="39">
        <v>1</v>
      </c>
      <c r="B5" s="144" t="s">
        <v>165</v>
      </c>
      <c r="C5" s="145"/>
      <c r="D5" s="141">
        <v>22</v>
      </c>
      <c r="E5" s="141">
        <v>44.5</v>
      </c>
      <c r="F5" s="141">
        <v>7481.4</v>
      </c>
      <c r="G5" s="137">
        <v>0</v>
      </c>
      <c r="H5" s="137">
        <v>0</v>
      </c>
      <c r="I5" s="36">
        <v>0</v>
      </c>
      <c r="J5" s="36">
        <v>0</v>
      </c>
      <c r="K5" s="37">
        <v>0</v>
      </c>
      <c r="L5" s="138">
        <v>0</v>
      </c>
      <c r="M5" s="138">
        <v>0</v>
      </c>
      <c r="N5" s="138">
        <v>0</v>
      </c>
      <c r="O5" s="138">
        <v>0</v>
      </c>
      <c r="P5" s="138">
        <v>0</v>
      </c>
      <c r="Q5" s="138">
        <v>0</v>
      </c>
      <c r="R5" s="138">
        <v>0</v>
      </c>
      <c r="S5" s="138">
        <v>0</v>
      </c>
      <c r="T5" s="138">
        <v>0</v>
      </c>
    </row>
    <row r="6" spans="1:20">
      <c r="A6" s="39">
        <v>2</v>
      </c>
      <c r="B6" s="144" t="s">
        <v>166</v>
      </c>
      <c r="C6" s="145"/>
      <c r="D6" s="141">
        <v>0</v>
      </c>
      <c r="E6" s="141">
        <v>0</v>
      </c>
      <c r="F6" s="141">
        <v>7481.4</v>
      </c>
      <c r="G6" s="137">
        <v>0</v>
      </c>
      <c r="H6" s="137">
        <v>0</v>
      </c>
      <c r="I6" s="36">
        <v>0</v>
      </c>
      <c r="J6" s="36">
        <v>0</v>
      </c>
      <c r="K6" s="37">
        <v>0</v>
      </c>
      <c r="L6" s="138">
        <v>0</v>
      </c>
      <c r="M6" s="138">
        <v>0</v>
      </c>
      <c r="N6" s="138">
        <v>0</v>
      </c>
      <c r="O6" s="138">
        <v>0</v>
      </c>
      <c r="P6" s="138">
        <v>0</v>
      </c>
      <c r="Q6" s="138">
        <v>0</v>
      </c>
      <c r="R6" s="138">
        <v>0</v>
      </c>
      <c r="S6" s="138">
        <v>0</v>
      </c>
      <c r="T6" s="138">
        <v>0</v>
      </c>
    </row>
    <row r="7" spans="1:20">
      <c r="A7" s="39">
        <v>3</v>
      </c>
      <c r="B7" s="144" t="s">
        <v>167</v>
      </c>
      <c r="C7" s="145"/>
      <c r="D7" s="141">
        <v>0</v>
      </c>
      <c r="E7" s="141">
        <v>88.5</v>
      </c>
      <c r="F7" s="141">
        <v>7392.9</v>
      </c>
      <c r="G7" s="137">
        <v>0</v>
      </c>
      <c r="H7" s="137">
        <v>0</v>
      </c>
      <c r="I7" s="36">
        <v>0</v>
      </c>
      <c r="J7" s="36">
        <v>0</v>
      </c>
      <c r="K7" s="37">
        <v>0</v>
      </c>
      <c r="L7" s="138">
        <v>0</v>
      </c>
      <c r="M7" s="138">
        <v>0</v>
      </c>
      <c r="N7" s="138">
        <v>0</v>
      </c>
      <c r="O7" s="138">
        <v>0</v>
      </c>
      <c r="P7" s="138">
        <v>0</v>
      </c>
      <c r="Q7" s="138">
        <v>0</v>
      </c>
      <c r="R7" s="138">
        <v>0</v>
      </c>
      <c r="S7" s="138">
        <v>0</v>
      </c>
      <c r="T7" s="138">
        <v>0</v>
      </c>
    </row>
    <row r="8" spans="1:20">
      <c r="A8" s="39">
        <v>4</v>
      </c>
      <c r="B8" s="144" t="s">
        <v>168</v>
      </c>
      <c r="C8" s="145"/>
      <c r="D8" s="141">
        <v>0</v>
      </c>
      <c r="E8" s="141">
        <v>2.75</v>
      </c>
      <c r="F8" s="141">
        <v>7390.15</v>
      </c>
      <c r="G8" s="137">
        <v>0</v>
      </c>
      <c r="H8" s="137">
        <v>0</v>
      </c>
      <c r="I8" s="36">
        <v>0</v>
      </c>
      <c r="J8" s="36">
        <v>0</v>
      </c>
      <c r="K8" s="37">
        <v>0</v>
      </c>
      <c r="L8" s="138">
        <v>0</v>
      </c>
      <c r="M8" s="138">
        <v>0</v>
      </c>
      <c r="N8" s="138">
        <v>0</v>
      </c>
      <c r="O8" s="138">
        <v>0</v>
      </c>
      <c r="P8" s="138">
        <v>0</v>
      </c>
      <c r="Q8" s="138">
        <v>0</v>
      </c>
      <c r="R8" s="138">
        <v>0</v>
      </c>
      <c r="S8" s="138">
        <v>0</v>
      </c>
      <c r="T8" s="138">
        <v>0</v>
      </c>
    </row>
    <row r="9" spans="1:20">
      <c r="A9" s="39">
        <v>5</v>
      </c>
      <c r="B9" s="144" t="s">
        <v>169</v>
      </c>
      <c r="C9" s="145"/>
      <c r="D9" s="141">
        <v>88</v>
      </c>
      <c r="E9" s="141">
        <v>44</v>
      </c>
      <c r="F9" s="141">
        <v>7434.15</v>
      </c>
      <c r="G9" s="137">
        <v>0</v>
      </c>
      <c r="H9" s="137">
        <v>0</v>
      </c>
      <c r="I9" s="36">
        <v>0</v>
      </c>
      <c r="J9" s="36">
        <v>0</v>
      </c>
      <c r="K9" s="37">
        <v>0</v>
      </c>
      <c r="L9" s="138">
        <v>0</v>
      </c>
      <c r="M9" s="138">
        <v>0</v>
      </c>
      <c r="N9" s="138">
        <v>0</v>
      </c>
      <c r="O9" s="138">
        <v>0</v>
      </c>
      <c r="P9" s="138">
        <v>0</v>
      </c>
      <c r="Q9" s="138">
        <v>0</v>
      </c>
      <c r="R9" s="138">
        <v>0</v>
      </c>
      <c r="S9" s="138">
        <v>0</v>
      </c>
      <c r="T9" s="138">
        <v>0</v>
      </c>
    </row>
    <row r="10" spans="1:20">
      <c r="A10" s="39">
        <v>6</v>
      </c>
      <c r="B10" s="144" t="s">
        <v>170</v>
      </c>
      <c r="C10" s="145"/>
      <c r="D10" s="141">
        <v>110</v>
      </c>
      <c r="E10" s="141">
        <v>44</v>
      </c>
      <c r="F10" s="141">
        <v>7500.15</v>
      </c>
      <c r="G10" s="137">
        <v>0</v>
      </c>
      <c r="H10" s="137">
        <v>0</v>
      </c>
      <c r="I10" s="36">
        <v>0</v>
      </c>
      <c r="J10" s="36">
        <v>0</v>
      </c>
      <c r="K10" s="37">
        <v>0</v>
      </c>
      <c r="L10" s="138">
        <v>0</v>
      </c>
      <c r="M10" s="138">
        <v>0</v>
      </c>
      <c r="N10" s="138">
        <v>0</v>
      </c>
      <c r="O10" s="138">
        <v>0</v>
      </c>
      <c r="P10" s="138">
        <v>0</v>
      </c>
      <c r="Q10" s="138">
        <v>0</v>
      </c>
      <c r="R10" s="138">
        <v>0</v>
      </c>
      <c r="S10" s="138">
        <v>0</v>
      </c>
      <c r="T10" s="138">
        <v>0</v>
      </c>
    </row>
    <row r="11" spans="1:20">
      <c r="A11" s="39">
        <v>7</v>
      </c>
      <c r="B11" s="144" t="s">
        <v>171</v>
      </c>
      <c r="C11" s="145"/>
      <c r="D11" s="141">
        <v>22</v>
      </c>
      <c r="E11" s="141">
        <v>81.125</v>
      </c>
      <c r="F11" s="141">
        <v>7441.0249999999996</v>
      </c>
      <c r="G11" s="137">
        <v>0</v>
      </c>
      <c r="H11" s="137">
        <v>0</v>
      </c>
      <c r="I11" s="36">
        <v>0</v>
      </c>
      <c r="J11" s="36">
        <v>0</v>
      </c>
      <c r="K11" s="37">
        <v>0</v>
      </c>
      <c r="L11" s="138">
        <v>0</v>
      </c>
      <c r="M11" s="138">
        <v>0</v>
      </c>
      <c r="N11" s="138">
        <v>0</v>
      </c>
      <c r="O11" s="138">
        <v>0</v>
      </c>
      <c r="P11" s="138">
        <v>0</v>
      </c>
      <c r="Q11" s="138">
        <v>0</v>
      </c>
      <c r="R11" s="138">
        <v>0</v>
      </c>
      <c r="S11" s="138">
        <v>0</v>
      </c>
      <c r="T11" s="138">
        <v>0</v>
      </c>
    </row>
    <row r="12" spans="1:20">
      <c r="A12" s="39">
        <v>8</v>
      </c>
      <c r="B12" s="144" t="s">
        <v>172</v>
      </c>
      <c r="C12" s="145"/>
      <c r="D12" s="141">
        <v>0</v>
      </c>
      <c r="E12" s="141">
        <v>123.75</v>
      </c>
      <c r="F12" s="141">
        <v>7317.2749999999996</v>
      </c>
      <c r="G12" s="137">
        <v>0</v>
      </c>
      <c r="H12" s="137">
        <v>0</v>
      </c>
      <c r="I12" s="36">
        <v>0</v>
      </c>
      <c r="J12" s="36">
        <v>0</v>
      </c>
      <c r="K12" s="37">
        <v>0</v>
      </c>
      <c r="L12" s="138">
        <v>0</v>
      </c>
      <c r="M12" s="138">
        <v>0</v>
      </c>
      <c r="N12" s="138">
        <v>0</v>
      </c>
      <c r="O12" s="138">
        <v>0</v>
      </c>
      <c r="P12" s="138">
        <v>0</v>
      </c>
      <c r="Q12" s="138">
        <v>0</v>
      </c>
      <c r="R12" s="138">
        <v>0</v>
      </c>
      <c r="S12" s="138">
        <v>0</v>
      </c>
      <c r="T12" s="138">
        <v>0</v>
      </c>
    </row>
    <row r="13" spans="1:20">
      <c r="A13" s="39">
        <v>9</v>
      </c>
      <c r="B13" s="144" t="s">
        <v>173</v>
      </c>
      <c r="C13" s="145"/>
      <c r="D13" s="141">
        <v>88</v>
      </c>
      <c r="E13" s="141">
        <v>44</v>
      </c>
      <c r="F13" s="141">
        <v>7361.2749999999996</v>
      </c>
      <c r="G13" s="137">
        <v>0</v>
      </c>
      <c r="H13" s="137">
        <v>0</v>
      </c>
      <c r="I13" s="36">
        <v>0</v>
      </c>
      <c r="J13" s="36">
        <v>0</v>
      </c>
      <c r="K13" s="37">
        <v>0</v>
      </c>
      <c r="L13" s="138">
        <v>0</v>
      </c>
      <c r="M13" s="138">
        <v>0</v>
      </c>
      <c r="N13" s="138">
        <v>0</v>
      </c>
      <c r="O13" s="138">
        <v>0</v>
      </c>
      <c r="P13" s="138">
        <v>0</v>
      </c>
      <c r="Q13" s="138">
        <v>0</v>
      </c>
      <c r="R13" s="138">
        <v>0</v>
      </c>
      <c r="S13" s="138">
        <v>0</v>
      </c>
      <c r="T13" s="138">
        <v>0</v>
      </c>
    </row>
    <row r="14" spans="1:20">
      <c r="A14" s="39">
        <v>10</v>
      </c>
      <c r="B14" s="144" t="s">
        <v>174</v>
      </c>
      <c r="C14" s="145"/>
      <c r="D14" s="141">
        <v>0</v>
      </c>
      <c r="E14" s="141">
        <v>88</v>
      </c>
      <c r="F14" s="141">
        <v>7273.2749999999996</v>
      </c>
      <c r="G14" s="137">
        <v>0</v>
      </c>
      <c r="H14" s="137">
        <v>0</v>
      </c>
      <c r="I14" s="36">
        <v>0</v>
      </c>
      <c r="J14" s="36">
        <v>0</v>
      </c>
      <c r="K14" s="37">
        <v>0</v>
      </c>
      <c r="L14" s="138">
        <v>0</v>
      </c>
      <c r="M14" s="138">
        <v>0</v>
      </c>
      <c r="N14" s="138">
        <v>0</v>
      </c>
      <c r="O14" s="138">
        <v>0</v>
      </c>
      <c r="P14" s="138">
        <v>0</v>
      </c>
      <c r="Q14" s="138">
        <v>0</v>
      </c>
      <c r="R14" s="138">
        <v>0</v>
      </c>
      <c r="S14" s="138">
        <v>0</v>
      </c>
      <c r="T14" s="138">
        <v>0</v>
      </c>
    </row>
    <row r="15" spans="1:20">
      <c r="A15" s="39">
        <v>11</v>
      </c>
      <c r="B15" s="144" t="s">
        <v>175</v>
      </c>
      <c r="C15" s="145"/>
      <c r="D15" s="141">
        <v>0</v>
      </c>
      <c r="E15" s="141">
        <v>88</v>
      </c>
      <c r="F15" s="141">
        <v>7185.2749999999996</v>
      </c>
      <c r="G15" s="137">
        <v>0</v>
      </c>
      <c r="H15" s="137">
        <v>0</v>
      </c>
      <c r="I15" s="36">
        <v>0</v>
      </c>
      <c r="J15" s="36">
        <v>0</v>
      </c>
      <c r="K15" s="37">
        <v>0</v>
      </c>
      <c r="L15" s="138">
        <v>0</v>
      </c>
      <c r="M15" s="138">
        <v>0</v>
      </c>
      <c r="N15" s="138">
        <v>0</v>
      </c>
      <c r="O15" s="138">
        <v>0</v>
      </c>
      <c r="P15" s="138">
        <v>0</v>
      </c>
      <c r="Q15" s="138">
        <v>0</v>
      </c>
      <c r="R15" s="138">
        <v>0</v>
      </c>
      <c r="S15" s="138">
        <v>0</v>
      </c>
      <c r="T15" s="138">
        <v>0</v>
      </c>
    </row>
    <row r="16" spans="1:20">
      <c r="A16" s="39">
        <v>12</v>
      </c>
      <c r="B16" s="144" t="s">
        <v>176</v>
      </c>
      <c r="C16" s="145"/>
      <c r="D16" s="141">
        <v>0</v>
      </c>
      <c r="E16" s="141">
        <v>132</v>
      </c>
      <c r="F16" s="141">
        <v>7053.2749999999996</v>
      </c>
      <c r="G16" s="137">
        <v>0</v>
      </c>
      <c r="H16" s="137">
        <v>0</v>
      </c>
      <c r="I16" s="36">
        <v>0</v>
      </c>
      <c r="J16" s="36">
        <v>0</v>
      </c>
      <c r="K16" s="37">
        <v>0</v>
      </c>
      <c r="L16" s="138">
        <v>0</v>
      </c>
      <c r="M16" s="138">
        <v>0</v>
      </c>
      <c r="N16" s="138">
        <v>0</v>
      </c>
      <c r="O16" s="138">
        <v>0</v>
      </c>
      <c r="P16" s="138">
        <v>0</v>
      </c>
      <c r="Q16" s="138">
        <v>0</v>
      </c>
      <c r="R16" s="138">
        <v>0</v>
      </c>
      <c r="S16" s="138">
        <v>0</v>
      </c>
      <c r="T16" s="138">
        <v>0</v>
      </c>
    </row>
    <row r="17" spans="1:20">
      <c r="A17" s="39">
        <v>13</v>
      </c>
      <c r="B17" s="144" t="s">
        <v>177</v>
      </c>
      <c r="C17" s="145"/>
      <c r="D17" s="141">
        <v>0</v>
      </c>
      <c r="E17" s="141">
        <v>174.625</v>
      </c>
      <c r="F17" s="141">
        <v>6878.65</v>
      </c>
      <c r="G17" s="137">
        <v>0</v>
      </c>
      <c r="H17" s="137">
        <v>0</v>
      </c>
      <c r="I17" s="36">
        <v>0</v>
      </c>
      <c r="J17" s="36">
        <v>0</v>
      </c>
      <c r="K17" s="37">
        <v>0</v>
      </c>
      <c r="L17" s="138">
        <v>0</v>
      </c>
      <c r="M17" s="138">
        <v>0</v>
      </c>
      <c r="N17" s="138">
        <v>0</v>
      </c>
      <c r="O17" s="138">
        <v>0</v>
      </c>
      <c r="P17" s="138">
        <v>0</v>
      </c>
      <c r="Q17" s="138">
        <v>0</v>
      </c>
      <c r="R17" s="138">
        <v>0</v>
      </c>
      <c r="S17" s="138">
        <v>0</v>
      </c>
      <c r="T17" s="138">
        <v>0</v>
      </c>
    </row>
    <row r="18" spans="1:20">
      <c r="A18" s="39">
        <v>14</v>
      </c>
      <c r="B18" s="144" t="s">
        <v>178</v>
      </c>
      <c r="C18" s="145"/>
      <c r="D18" s="141">
        <v>0</v>
      </c>
      <c r="E18" s="141">
        <v>112.75</v>
      </c>
      <c r="F18" s="141">
        <v>6765.9</v>
      </c>
      <c r="G18" s="137">
        <v>0</v>
      </c>
      <c r="H18" s="137">
        <v>0</v>
      </c>
      <c r="I18" s="36">
        <v>0</v>
      </c>
      <c r="J18" s="36">
        <v>0</v>
      </c>
      <c r="K18" s="37">
        <v>0</v>
      </c>
      <c r="L18" s="138">
        <v>0</v>
      </c>
      <c r="M18" s="138">
        <v>0</v>
      </c>
      <c r="N18" s="138">
        <v>0</v>
      </c>
      <c r="O18" s="138">
        <v>0</v>
      </c>
      <c r="P18" s="138">
        <v>0</v>
      </c>
      <c r="Q18" s="138">
        <v>0</v>
      </c>
      <c r="R18" s="138">
        <v>0</v>
      </c>
      <c r="S18" s="138">
        <v>0</v>
      </c>
      <c r="T18" s="138">
        <v>0</v>
      </c>
    </row>
    <row r="19" spans="1:20">
      <c r="A19" s="39">
        <v>15</v>
      </c>
      <c r="B19" s="144" t="s">
        <v>179</v>
      </c>
      <c r="C19" s="145"/>
      <c r="D19" s="141">
        <v>0</v>
      </c>
      <c r="E19" s="141">
        <v>88.5</v>
      </c>
      <c r="F19" s="141">
        <v>6677.4</v>
      </c>
      <c r="G19" s="137">
        <v>0</v>
      </c>
      <c r="H19" s="137">
        <v>0</v>
      </c>
      <c r="I19" s="36">
        <v>0</v>
      </c>
      <c r="J19" s="36">
        <v>0</v>
      </c>
      <c r="K19" s="37">
        <v>0</v>
      </c>
      <c r="L19" s="138">
        <v>0</v>
      </c>
      <c r="M19" s="138">
        <v>0</v>
      </c>
      <c r="N19" s="138">
        <v>0</v>
      </c>
      <c r="O19" s="138">
        <v>0</v>
      </c>
      <c r="P19" s="138">
        <v>0</v>
      </c>
      <c r="Q19" s="138">
        <v>0</v>
      </c>
      <c r="R19" s="138">
        <v>0</v>
      </c>
      <c r="S19" s="138">
        <v>0</v>
      </c>
      <c r="T19" s="138">
        <v>0</v>
      </c>
    </row>
    <row r="20" spans="1:20">
      <c r="A20" s="39">
        <v>16</v>
      </c>
      <c r="B20" s="144" t="s">
        <v>180</v>
      </c>
      <c r="C20" s="145"/>
      <c r="D20" s="141">
        <v>242</v>
      </c>
      <c r="E20" s="141">
        <v>161.375</v>
      </c>
      <c r="F20" s="141">
        <v>6758.0249999999996</v>
      </c>
      <c r="G20" s="137">
        <v>0</v>
      </c>
      <c r="H20" s="137">
        <v>0</v>
      </c>
      <c r="I20" s="36">
        <v>0</v>
      </c>
      <c r="J20" s="36">
        <v>0</v>
      </c>
      <c r="K20" s="37">
        <v>0</v>
      </c>
      <c r="L20" s="138">
        <v>0</v>
      </c>
      <c r="M20" s="138">
        <v>0</v>
      </c>
      <c r="N20" s="138">
        <v>0</v>
      </c>
      <c r="O20" s="138">
        <v>0</v>
      </c>
      <c r="P20" s="138">
        <v>0</v>
      </c>
      <c r="Q20" s="138">
        <v>0</v>
      </c>
      <c r="R20" s="138">
        <v>0</v>
      </c>
      <c r="S20" s="138">
        <v>0</v>
      </c>
      <c r="T20" s="138">
        <v>0</v>
      </c>
    </row>
    <row r="21" spans="1:20">
      <c r="A21" s="39">
        <v>17</v>
      </c>
      <c r="B21" s="144" t="s">
        <v>181</v>
      </c>
      <c r="C21" s="145"/>
      <c r="D21" s="141">
        <v>220</v>
      </c>
      <c r="E21" s="141">
        <v>90.75</v>
      </c>
      <c r="F21" s="141">
        <v>6887.2749999999996</v>
      </c>
      <c r="G21" s="137">
        <v>0</v>
      </c>
      <c r="H21" s="137">
        <v>0</v>
      </c>
      <c r="I21" s="36">
        <v>0</v>
      </c>
      <c r="J21" s="36">
        <v>0</v>
      </c>
      <c r="K21" s="37">
        <v>0</v>
      </c>
      <c r="L21" s="138">
        <v>0</v>
      </c>
      <c r="M21" s="138">
        <v>0</v>
      </c>
      <c r="N21" s="138">
        <v>0</v>
      </c>
      <c r="O21" s="138">
        <v>0</v>
      </c>
      <c r="P21" s="138">
        <v>0</v>
      </c>
      <c r="Q21" s="138">
        <v>0</v>
      </c>
      <c r="R21" s="138">
        <v>0</v>
      </c>
      <c r="S21" s="138">
        <v>0</v>
      </c>
      <c r="T21" s="138">
        <v>0</v>
      </c>
    </row>
    <row r="22" spans="1:20">
      <c r="A22" s="39">
        <v>18</v>
      </c>
      <c r="B22" s="144" t="s">
        <v>182</v>
      </c>
      <c r="C22" s="145"/>
      <c r="D22" s="141">
        <v>220</v>
      </c>
      <c r="E22" s="141">
        <v>176</v>
      </c>
      <c r="F22" s="141">
        <v>6931.2749999999996</v>
      </c>
      <c r="G22" s="137">
        <v>0</v>
      </c>
      <c r="H22" s="137">
        <v>0</v>
      </c>
      <c r="I22" s="36">
        <v>0</v>
      </c>
      <c r="J22" s="36">
        <v>0</v>
      </c>
      <c r="K22" s="37">
        <v>0</v>
      </c>
      <c r="L22" s="138">
        <v>0</v>
      </c>
      <c r="M22" s="138">
        <v>0</v>
      </c>
      <c r="N22" s="138">
        <v>0</v>
      </c>
      <c r="O22" s="138">
        <v>0</v>
      </c>
      <c r="P22" s="138">
        <v>0</v>
      </c>
      <c r="Q22" s="138">
        <v>0</v>
      </c>
      <c r="R22" s="138">
        <v>0</v>
      </c>
      <c r="S22" s="138">
        <v>0</v>
      </c>
      <c r="T22" s="138">
        <v>0</v>
      </c>
    </row>
    <row r="23" spans="1:20">
      <c r="A23" s="39">
        <v>19</v>
      </c>
      <c r="B23" s="144" t="s">
        <v>183</v>
      </c>
      <c r="C23" s="145"/>
      <c r="D23" s="141">
        <v>176</v>
      </c>
      <c r="E23" s="141">
        <v>130.625</v>
      </c>
      <c r="F23" s="141">
        <v>6976.65</v>
      </c>
      <c r="G23" s="137">
        <v>0</v>
      </c>
      <c r="H23" s="137">
        <v>0</v>
      </c>
      <c r="I23" s="36">
        <v>0</v>
      </c>
      <c r="J23" s="36">
        <v>0</v>
      </c>
      <c r="K23" s="37">
        <v>0</v>
      </c>
      <c r="L23" s="138">
        <v>0</v>
      </c>
      <c r="M23" s="138">
        <v>0</v>
      </c>
      <c r="N23" s="138">
        <v>0</v>
      </c>
      <c r="O23" s="138">
        <v>0</v>
      </c>
      <c r="P23" s="138">
        <v>0</v>
      </c>
      <c r="Q23" s="138">
        <v>0</v>
      </c>
      <c r="R23" s="138">
        <v>0</v>
      </c>
      <c r="S23" s="138">
        <v>0</v>
      </c>
      <c r="T23" s="138">
        <v>0</v>
      </c>
    </row>
    <row r="24" spans="1:20">
      <c r="A24" s="39">
        <v>20</v>
      </c>
      <c r="B24" s="144" t="s">
        <v>184</v>
      </c>
      <c r="C24" s="145"/>
      <c r="D24" s="141">
        <v>308</v>
      </c>
      <c r="E24" s="141">
        <v>110</v>
      </c>
      <c r="F24" s="141">
        <v>7174.65</v>
      </c>
      <c r="G24" s="137">
        <v>0</v>
      </c>
      <c r="H24" s="137">
        <v>0</v>
      </c>
      <c r="I24" s="36">
        <v>0</v>
      </c>
      <c r="J24" s="36">
        <v>0</v>
      </c>
      <c r="K24" s="37">
        <v>0</v>
      </c>
      <c r="L24" s="138">
        <v>0</v>
      </c>
      <c r="M24" s="138">
        <v>0</v>
      </c>
      <c r="N24" s="138">
        <v>0</v>
      </c>
      <c r="O24" s="138">
        <v>0</v>
      </c>
      <c r="P24" s="138">
        <v>0</v>
      </c>
      <c r="Q24" s="138">
        <v>0</v>
      </c>
      <c r="R24" s="138">
        <v>0</v>
      </c>
      <c r="S24" s="138">
        <v>0</v>
      </c>
      <c r="T24" s="138">
        <v>0</v>
      </c>
    </row>
    <row r="25" spans="1:20">
      <c r="A25" s="39">
        <v>21</v>
      </c>
      <c r="B25" s="144" t="s">
        <v>185</v>
      </c>
      <c r="C25" s="145"/>
      <c r="D25" s="141">
        <v>154</v>
      </c>
      <c r="E25" s="141">
        <v>71.5</v>
      </c>
      <c r="F25" s="141">
        <v>7257.15</v>
      </c>
      <c r="G25" s="137">
        <v>0</v>
      </c>
      <c r="H25" s="137">
        <v>0</v>
      </c>
      <c r="I25" s="36">
        <v>0</v>
      </c>
      <c r="J25" s="36">
        <v>0</v>
      </c>
      <c r="K25" s="37">
        <v>0</v>
      </c>
      <c r="L25" s="138">
        <v>0</v>
      </c>
      <c r="M25" s="138">
        <v>0</v>
      </c>
      <c r="N25" s="138">
        <v>0</v>
      </c>
      <c r="O25" s="138">
        <v>0</v>
      </c>
      <c r="P25" s="138">
        <v>0</v>
      </c>
      <c r="Q25" s="138">
        <v>0</v>
      </c>
      <c r="R25" s="138">
        <v>0</v>
      </c>
      <c r="S25" s="138">
        <v>0</v>
      </c>
      <c r="T25" s="138">
        <v>0</v>
      </c>
    </row>
    <row r="26" spans="1:20">
      <c r="A26" s="39">
        <v>22</v>
      </c>
      <c r="B26" s="144" t="s">
        <v>186</v>
      </c>
      <c r="C26" s="145"/>
      <c r="D26" s="141">
        <v>66</v>
      </c>
      <c r="E26" s="141">
        <v>66</v>
      </c>
      <c r="F26" s="141">
        <v>7257.15</v>
      </c>
      <c r="G26" s="137">
        <v>0</v>
      </c>
      <c r="H26" s="137">
        <v>0</v>
      </c>
      <c r="I26" s="36">
        <v>0</v>
      </c>
      <c r="J26" s="36">
        <v>0</v>
      </c>
      <c r="K26" s="37">
        <v>0</v>
      </c>
      <c r="L26" s="138">
        <v>0</v>
      </c>
      <c r="M26" s="138">
        <v>0</v>
      </c>
      <c r="N26" s="138">
        <v>0</v>
      </c>
      <c r="O26" s="138">
        <v>0</v>
      </c>
      <c r="P26" s="138">
        <v>0</v>
      </c>
      <c r="Q26" s="138">
        <v>0</v>
      </c>
      <c r="R26" s="138">
        <v>0</v>
      </c>
      <c r="S26" s="138">
        <v>0</v>
      </c>
      <c r="T26" s="138">
        <v>0</v>
      </c>
    </row>
    <row r="27" spans="1:20">
      <c r="A27" s="39">
        <v>23</v>
      </c>
      <c r="B27" s="144" t="s">
        <v>187</v>
      </c>
      <c r="C27" s="145"/>
      <c r="D27" s="141">
        <v>110</v>
      </c>
      <c r="E27" s="141">
        <v>66</v>
      </c>
      <c r="F27" s="141">
        <v>7301.15</v>
      </c>
      <c r="G27" s="137">
        <v>0</v>
      </c>
      <c r="H27" s="137">
        <v>0</v>
      </c>
      <c r="I27" s="36">
        <v>0</v>
      </c>
      <c r="J27" s="36">
        <v>0</v>
      </c>
      <c r="K27" s="37">
        <v>0</v>
      </c>
      <c r="L27" s="138">
        <v>0</v>
      </c>
      <c r="M27" s="138">
        <v>0</v>
      </c>
      <c r="N27" s="138">
        <v>0</v>
      </c>
      <c r="O27" s="138">
        <v>0</v>
      </c>
      <c r="P27" s="138">
        <v>0</v>
      </c>
      <c r="Q27" s="138">
        <v>0</v>
      </c>
      <c r="R27" s="138">
        <v>0</v>
      </c>
      <c r="S27" s="138">
        <v>0</v>
      </c>
      <c r="T27" s="138">
        <v>0</v>
      </c>
    </row>
    <row r="28" spans="1:20">
      <c r="A28" s="39">
        <v>24</v>
      </c>
      <c r="B28" s="144" t="s">
        <v>188</v>
      </c>
      <c r="C28" s="145"/>
      <c r="D28" s="141">
        <v>110</v>
      </c>
      <c r="E28" s="141">
        <v>66.5</v>
      </c>
      <c r="F28" s="141">
        <v>7344.65</v>
      </c>
      <c r="G28" s="137">
        <v>0</v>
      </c>
      <c r="H28" s="137">
        <v>0</v>
      </c>
      <c r="I28" s="36">
        <v>0</v>
      </c>
      <c r="J28" s="36">
        <v>0</v>
      </c>
      <c r="K28" s="37">
        <v>0</v>
      </c>
      <c r="L28" s="138">
        <v>0</v>
      </c>
      <c r="M28" s="138">
        <v>0</v>
      </c>
      <c r="N28" s="138">
        <v>0</v>
      </c>
      <c r="O28" s="138">
        <v>0</v>
      </c>
      <c r="P28" s="138">
        <v>0</v>
      </c>
      <c r="Q28" s="138">
        <v>0</v>
      </c>
      <c r="R28" s="138">
        <v>0</v>
      </c>
      <c r="S28" s="138">
        <v>0</v>
      </c>
      <c r="T28" s="138">
        <v>0</v>
      </c>
    </row>
    <row r="29" spans="1:20">
      <c r="A29" s="39">
        <v>25</v>
      </c>
      <c r="B29" s="144" t="s">
        <v>189</v>
      </c>
      <c r="C29" s="145"/>
      <c r="D29" s="141">
        <v>0</v>
      </c>
      <c r="E29" s="141">
        <v>87.375</v>
      </c>
      <c r="F29" s="141">
        <v>7257.2749999999996</v>
      </c>
      <c r="G29" s="137">
        <v>0</v>
      </c>
      <c r="H29" s="137">
        <v>0</v>
      </c>
      <c r="I29" s="36">
        <v>0</v>
      </c>
      <c r="J29" s="36">
        <v>0</v>
      </c>
      <c r="K29" s="37">
        <v>0</v>
      </c>
      <c r="L29" s="138">
        <v>0</v>
      </c>
      <c r="M29" s="138">
        <v>0</v>
      </c>
      <c r="N29" s="138">
        <v>0</v>
      </c>
      <c r="O29" s="138">
        <v>0</v>
      </c>
      <c r="P29" s="138">
        <v>0</v>
      </c>
      <c r="Q29" s="138">
        <v>0</v>
      </c>
      <c r="R29" s="138">
        <v>0</v>
      </c>
      <c r="S29" s="138">
        <v>0</v>
      </c>
      <c r="T29" s="138">
        <v>0</v>
      </c>
    </row>
    <row r="30" spans="1:20">
      <c r="A30" s="39">
        <v>26</v>
      </c>
      <c r="B30" s="144" t="s">
        <v>190</v>
      </c>
      <c r="C30" s="145"/>
      <c r="D30" s="141">
        <v>0</v>
      </c>
      <c r="E30" s="141">
        <v>85.25</v>
      </c>
      <c r="F30" s="141">
        <v>7172.0249999999996</v>
      </c>
      <c r="G30" s="137">
        <v>0</v>
      </c>
      <c r="H30" s="137">
        <v>0</v>
      </c>
      <c r="I30" s="36">
        <v>0</v>
      </c>
      <c r="J30" s="36">
        <v>0</v>
      </c>
      <c r="K30" s="37">
        <v>0</v>
      </c>
      <c r="L30" s="138">
        <v>0</v>
      </c>
      <c r="M30" s="138">
        <v>0</v>
      </c>
      <c r="N30" s="138">
        <v>0</v>
      </c>
      <c r="O30" s="138">
        <v>0</v>
      </c>
      <c r="P30" s="138">
        <v>0</v>
      </c>
      <c r="Q30" s="138">
        <v>0</v>
      </c>
      <c r="R30" s="138">
        <v>0</v>
      </c>
      <c r="S30" s="138">
        <v>0</v>
      </c>
      <c r="T30" s="138">
        <v>0</v>
      </c>
    </row>
    <row r="31" spans="1:20">
      <c r="A31" s="39">
        <v>27</v>
      </c>
      <c r="B31" s="144" t="s">
        <v>191</v>
      </c>
      <c r="C31" s="145"/>
      <c r="D31" s="141">
        <v>110</v>
      </c>
      <c r="E31" s="141">
        <v>91.375</v>
      </c>
      <c r="F31" s="141">
        <v>7190.65</v>
      </c>
      <c r="G31" s="137">
        <v>0</v>
      </c>
      <c r="H31" s="137">
        <v>0</v>
      </c>
      <c r="I31" s="36">
        <v>0</v>
      </c>
      <c r="J31" s="36">
        <v>0</v>
      </c>
      <c r="K31" s="37">
        <v>0</v>
      </c>
      <c r="L31" s="138">
        <v>0</v>
      </c>
      <c r="M31" s="138">
        <v>0</v>
      </c>
      <c r="N31" s="138">
        <v>0</v>
      </c>
      <c r="O31" s="138">
        <v>0</v>
      </c>
      <c r="P31" s="138">
        <v>0</v>
      </c>
      <c r="Q31" s="138">
        <v>0</v>
      </c>
      <c r="R31" s="138">
        <v>0</v>
      </c>
      <c r="S31" s="138">
        <v>0</v>
      </c>
      <c r="T31" s="138">
        <v>0</v>
      </c>
    </row>
    <row r="32" spans="1:20">
      <c r="A32" s="39">
        <v>28</v>
      </c>
      <c r="B32" s="144" t="s">
        <v>192</v>
      </c>
      <c r="C32" s="145"/>
      <c r="D32" s="141">
        <v>66</v>
      </c>
      <c r="E32" s="141">
        <v>148.5</v>
      </c>
      <c r="F32" s="141">
        <v>7108.15</v>
      </c>
      <c r="G32" s="137">
        <v>0</v>
      </c>
      <c r="H32" s="137">
        <v>0</v>
      </c>
      <c r="I32" s="36">
        <v>0</v>
      </c>
      <c r="J32" s="36">
        <v>0</v>
      </c>
      <c r="K32" s="37">
        <v>0</v>
      </c>
      <c r="L32" s="138">
        <v>0</v>
      </c>
      <c r="M32" s="138">
        <v>0</v>
      </c>
      <c r="N32" s="138">
        <v>0</v>
      </c>
      <c r="O32" s="138">
        <v>0</v>
      </c>
      <c r="P32" s="138">
        <v>0</v>
      </c>
      <c r="Q32" s="138">
        <v>0</v>
      </c>
      <c r="R32" s="138">
        <v>0</v>
      </c>
      <c r="S32" s="138">
        <v>0</v>
      </c>
      <c r="T32" s="138">
        <v>0</v>
      </c>
    </row>
    <row r="33" spans="1:20">
      <c r="A33" s="39">
        <v>29</v>
      </c>
      <c r="B33" s="144" t="s">
        <v>193</v>
      </c>
      <c r="C33" s="145"/>
      <c r="D33" s="141">
        <v>132</v>
      </c>
      <c r="E33" s="141">
        <v>206.5</v>
      </c>
      <c r="F33" s="141">
        <v>7033.65</v>
      </c>
      <c r="G33" s="137">
        <v>0</v>
      </c>
      <c r="H33" s="137">
        <v>0</v>
      </c>
      <c r="I33" s="36">
        <v>0</v>
      </c>
      <c r="J33" s="36">
        <v>0</v>
      </c>
      <c r="K33" s="37">
        <v>0</v>
      </c>
      <c r="L33" s="138">
        <v>0</v>
      </c>
      <c r="M33" s="138">
        <v>0</v>
      </c>
      <c r="N33" s="138">
        <v>0</v>
      </c>
      <c r="O33" s="138">
        <v>0</v>
      </c>
      <c r="P33" s="138">
        <v>0</v>
      </c>
      <c r="Q33" s="138">
        <v>0</v>
      </c>
      <c r="R33" s="138">
        <v>0</v>
      </c>
      <c r="S33" s="138">
        <v>0</v>
      </c>
      <c r="T33" s="138">
        <v>0</v>
      </c>
    </row>
    <row r="34" spans="1:20">
      <c r="A34" s="39">
        <v>30</v>
      </c>
      <c r="B34" s="144" t="s">
        <v>194</v>
      </c>
      <c r="C34" s="145"/>
      <c r="D34" s="141">
        <v>286</v>
      </c>
      <c r="E34" s="141">
        <v>152.625</v>
      </c>
      <c r="F34" s="141">
        <v>7167.0249999999996</v>
      </c>
      <c r="G34" s="137">
        <v>0</v>
      </c>
      <c r="H34" s="137">
        <v>0</v>
      </c>
      <c r="I34" s="36">
        <v>0</v>
      </c>
      <c r="J34" s="36">
        <v>0</v>
      </c>
      <c r="K34" s="37">
        <v>0</v>
      </c>
      <c r="L34" s="138">
        <v>0</v>
      </c>
      <c r="M34" s="138">
        <v>0</v>
      </c>
      <c r="N34" s="138">
        <v>0</v>
      </c>
      <c r="O34" s="138">
        <v>0</v>
      </c>
      <c r="P34" s="138">
        <v>0</v>
      </c>
      <c r="Q34" s="138">
        <v>0</v>
      </c>
      <c r="R34" s="138">
        <v>0</v>
      </c>
      <c r="S34" s="138">
        <v>0</v>
      </c>
      <c r="T34" s="138">
        <v>0</v>
      </c>
    </row>
    <row r="35" spans="1:20">
      <c r="A35" s="39">
        <v>31</v>
      </c>
      <c r="B35" s="144"/>
      <c r="C35" s="145"/>
      <c r="D35" s="141">
        <v>0</v>
      </c>
      <c r="E35" s="141">
        <v>0</v>
      </c>
      <c r="F35" s="141">
        <v>0</v>
      </c>
      <c r="G35" s="137">
        <v>0</v>
      </c>
      <c r="H35" s="137">
        <v>0</v>
      </c>
      <c r="I35" s="36">
        <v>0</v>
      </c>
      <c r="J35" s="36">
        <v>0</v>
      </c>
      <c r="K35" s="37">
        <v>0</v>
      </c>
      <c r="L35" s="138">
        <v>0</v>
      </c>
      <c r="M35" s="138">
        <v>0</v>
      </c>
      <c r="N35" s="138">
        <v>0</v>
      </c>
      <c r="O35" s="138">
        <v>0</v>
      </c>
      <c r="P35" s="138">
        <v>0</v>
      </c>
      <c r="Q35" s="138">
        <v>0</v>
      </c>
      <c r="R35" s="138">
        <v>0</v>
      </c>
      <c r="S35" s="138">
        <v>0</v>
      </c>
      <c r="T35" s="138">
        <v>0</v>
      </c>
    </row>
    <row r="36" spans="1:20">
      <c r="D36" s="43">
        <v>2530</v>
      </c>
      <c r="E36" s="43">
        <v>2866.875</v>
      </c>
      <c r="F36" s="43">
        <v>215450.24999999988</v>
      </c>
      <c r="G36" s="43">
        <v>0</v>
      </c>
      <c r="H36" s="43">
        <v>0</v>
      </c>
      <c r="I36" s="43">
        <v>0</v>
      </c>
      <c r="J36" s="43">
        <v>0</v>
      </c>
      <c r="K36" s="43">
        <v>0</v>
      </c>
      <c r="L36" s="139">
        <v>0</v>
      </c>
      <c r="M36" s="139">
        <v>711360</v>
      </c>
      <c r="N36" s="139">
        <v>711360</v>
      </c>
      <c r="O36" s="139">
        <v>5107200</v>
      </c>
      <c r="P36" s="139">
        <v>925407</v>
      </c>
      <c r="Q36" s="139">
        <v>0</v>
      </c>
      <c r="R36" s="139">
        <v>0</v>
      </c>
      <c r="S36" s="139">
        <v>0</v>
      </c>
      <c r="T36" s="139">
        <v>7455327</v>
      </c>
    </row>
    <row r="37" spans="1:20">
      <c r="R37" s="46"/>
      <c r="S37" s="46"/>
      <c r="T37" s="140">
        <v>9095498.9399999995</v>
      </c>
    </row>
  </sheetData>
  <mergeCells count="50"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658F9-F9BB-4C52-A602-1E353C45EF07}">
  <sheetPr>
    <pageSetUpPr fitToPage="1"/>
  </sheetPr>
  <dimension ref="A1:T37"/>
  <sheetViews>
    <sheetView topLeftCell="A19" workbookViewId="0">
      <selection activeCell="T37" sqref="T37"/>
    </sheetView>
  </sheetViews>
  <sheetFormatPr defaultRowHeight="15"/>
  <cols>
    <col min="1" max="3" width="9.140625" style="28"/>
    <col min="4" max="4" width="12.28515625" style="28" customWidth="1"/>
    <col min="5" max="5" width="11.5703125" style="28" customWidth="1"/>
    <col min="6" max="6" width="12.85546875" style="28" customWidth="1"/>
    <col min="7" max="7" width="9.5703125" style="28" bestFit="1" customWidth="1"/>
    <col min="8" max="8" width="9.28515625" style="28" bestFit="1" customWidth="1"/>
    <col min="9" max="9" width="10.42578125" style="28" bestFit="1" customWidth="1"/>
    <col min="10" max="10" width="9.28515625" style="28" bestFit="1" customWidth="1"/>
    <col min="11" max="12" width="9.140625" style="28"/>
    <col min="13" max="13" width="13.140625" style="28" customWidth="1"/>
    <col min="14" max="14" width="13.5703125" style="28" customWidth="1"/>
    <col min="15" max="15" width="14.5703125" style="28" customWidth="1"/>
    <col min="16" max="16" width="14.5703125" style="28" bestFit="1" customWidth="1"/>
    <col min="17" max="17" width="15" style="28" customWidth="1"/>
    <col min="18" max="18" width="13.28515625" style="28" customWidth="1"/>
    <col min="19" max="19" width="11.7109375" style="28" customWidth="1"/>
    <col min="20" max="20" width="24.28515625" style="28" customWidth="1"/>
    <col min="21" max="16384" width="9.140625" style="28"/>
  </cols>
  <sheetData>
    <row r="1" spans="1:20">
      <c r="I1" s="29"/>
    </row>
    <row r="2" spans="1:20" ht="28.9" customHeight="1">
      <c r="A2" s="149" t="s">
        <v>209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</row>
    <row r="3" spans="1:20" ht="28.9" customHeight="1">
      <c r="A3" s="146" t="s">
        <v>0</v>
      </c>
      <c r="B3" s="150" t="s">
        <v>1</v>
      </c>
      <c r="C3" s="151"/>
      <c r="D3" s="146" t="s">
        <v>2</v>
      </c>
      <c r="E3" s="146" t="s">
        <v>3</v>
      </c>
      <c r="F3" s="30" t="s">
        <v>4</v>
      </c>
      <c r="G3" s="146" t="s">
        <v>210</v>
      </c>
      <c r="H3" s="146" t="s">
        <v>211</v>
      </c>
      <c r="I3" s="146" t="s">
        <v>7</v>
      </c>
      <c r="J3" s="146" t="s">
        <v>8</v>
      </c>
      <c r="K3" s="146" t="s">
        <v>9</v>
      </c>
      <c r="L3" s="146" t="s">
        <v>10</v>
      </c>
      <c r="M3" s="146" t="s">
        <v>11</v>
      </c>
      <c r="N3" s="146" t="s">
        <v>12</v>
      </c>
      <c r="O3" s="146" t="s">
        <v>13</v>
      </c>
      <c r="P3" s="146" t="s">
        <v>14</v>
      </c>
      <c r="Q3" s="146" t="s">
        <v>15</v>
      </c>
      <c r="R3" s="146" t="s">
        <v>16</v>
      </c>
      <c r="S3" s="146" t="s">
        <v>17</v>
      </c>
      <c r="T3" s="146" t="s">
        <v>18</v>
      </c>
    </row>
    <row r="4" spans="1:20">
      <c r="A4" s="147"/>
      <c r="B4" s="152"/>
      <c r="C4" s="153"/>
      <c r="D4" s="147"/>
      <c r="E4" s="147"/>
      <c r="F4" s="31"/>
      <c r="G4" s="147"/>
      <c r="H4" s="147"/>
      <c r="I4" s="147"/>
      <c r="J4" s="147"/>
      <c r="K4" s="148"/>
      <c r="L4" s="148"/>
      <c r="M4" s="147"/>
      <c r="N4" s="147"/>
      <c r="O4" s="147"/>
      <c r="P4" s="147"/>
      <c r="Q4" s="147"/>
      <c r="R4" s="147"/>
      <c r="S4" s="147"/>
      <c r="T4" s="147"/>
    </row>
    <row r="5" spans="1:20">
      <c r="A5" s="39">
        <v>1</v>
      </c>
      <c r="B5" s="144" t="s">
        <v>165</v>
      </c>
      <c r="C5" s="145"/>
      <c r="D5" s="141">
        <v>0</v>
      </c>
      <c r="E5" s="141">
        <v>0</v>
      </c>
      <c r="F5" s="141">
        <v>1.575</v>
      </c>
      <c r="G5" s="137"/>
      <c r="H5" s="137"/>
      <c r="I5" s="36">
        <v>0</v>
      </c>
      <c r="J5" s="36">
        <v>0</v>
      </c>
      <c r="K5" s="37"/>
      <c r="L5" s="138">
        <v>0</v>
      </c>
      <c r="M5" s="138">
        <v>0</v>
      </c>
      <c r="N5" s="138">
        <v>0</v>
      </c>
      <c r="O5" s="138">
        <v>22.84</v>
      </c>
      <c r="P5" s="138">
        <v>0</v>
      </c>
      <c r="Q5" s="138">
        <v>0</v>
      </c>
      <c r="R5" s="138">
        <v>0</v>
      </c>
      <c r="S5" s="138">
        <v>0</v>
      </c>
      <c r="T5" s="138">
        <v>22.84</v>
      </c>
    </row>
    <row r="6" spans="1:20">
      <c r="A6" s="39">
        <v>2</v>
      </c>
      <c r="B6" s="144" t="s">
        <v>166</v>
      </c>
      <c r="C6" s="145"/>
      <c r="D6" s="141">
        <v>0</v>
      </c>
      <c r="E6" s="141">
        <v>0</v>
      </c>
      <c r="F6" s="141">
        <v>1.575</v>
      </c>
      <c r="G6" s="137"/>
      <c r="H6" s="137"/>
      <c r="I6" s="36">
        <v>0</v>
      </c>
      <c r="J6" s="36">
        <v>0</v>
      </c>
      <c r="K6" s="37"/>
      <c r="L6" s="138">
        <v>0</v>
      </c>
      <c r="M6" s="138">
        <v>0</v>
      </c>
      <c r="N6" s="138">
        <v>0</v>
      </c>
      <c r="O6" s="138">
        <v>22.84</v>
      </c>
      <c r="P6" s="138">
        <v>0</v>
      </c>
      <c r="Q6" s="138">
        <v>0</v>
      </c>
      <c r="R6" s="138">
        <v>0</v>
      </c>
      <c r="S6" s="138">
        <v>0</v>
      </c>
      <c r="T6" s="138">
        <v>22.84</v>
      </c>
    </row>
    <row r="7" spans="1:20">
      <c r="A7" s="39">
        <v>3</v>
      </c>
      <c r="B7" s="144" t="s">
        <v>167</v>
      </c>
      <c r="C7" s="145"/>
      <c r="D7" s="141">
        <v>0</v>
      </c>
      <c r="E7" s="141">
        <v>0</v>
      </c>
      <c r="F7" s="141">
        <v>1.575</v>
      </c>
      <c r="G7" s="137"/>
      <c r="H7" s="137"/>
      <c r="I7" s="36">
        <v>0</v>
      </c>
      <c r="J7" s="36">
        <v>0</v>
      </c>
      <c r="K7" s="37"/>
      <c r="L7" s="138">
        <v>0</v>
      </c>
      <c r="M7" s="138">
        <v>0</v>
      </c>
      <c r="N7" s="138">
        <v>0</v>
      </c>
      <c r="O7" s="138">
        <v>22.84</v>
      </c>
      <c r="P7" s="138">
        <v>0</v>
      </c>
      <c r="Q7" s="138">
        <v>0</v>
      </c>
      <c r="R7" s="138">
        <v>0</v>
      </c>
      <c r="S7" s="138">
        <v>0</v>
      </c>
      <c r="T7" s="138">
        <v>22.84</v>
      </c>
    </row>
    <row r="8" spans="1:20">
      <c r="A8" s="39">
        <v>4</v>
      </c>
      <c r="B8" s="144" t="s">
        <v>168</v>
      </c>
      <c r="C8" s="145"/>
      <c r="D8" s="141">
        <v>0</v>
      </c>
      <c r="E8" s="141">
        <v>0</v>
      </c>
      <c r="F8" s="141">
        <v>1.575</v>
      </c>
      <c r="G8" s="137"/>
      <c r="H8" s="137"/>
      <c r="I8" s="36">
        <v>0</v>
      </c>
      <c r="J8" s="36">
        <v>0</v>
      </c>
      <c r="K8" s="37"/>
      <c r="L8" s="138">
        <v>0</v>
      </c>
      <c r="M8" s="138">
        <v>0</v>
      </c>
      <c r="N8" s="138">
        <v>0</v>
      </c>
      <c r="O8" s="138">
        <v>22.84</v>
      </c>
      <c r="P8" s="138">
        <v>0</v>
      </c>
      <c r="Q8" s="138">
        <v>0</v>
      </c>
      <c r="R8" s="138">
        <v>0</v>
      </c>
      <c r="S8" s="138">
        <v>0</v>
      </c>
      <c r="T8" s="138">
        <v>22.84</v>
      </c>
    </row>
    <row r="9" spans="1:20">
      <c r="A9" s="39">
        <v>5</v>
      </c>
      <c r="B9" s="144" t="s">
        <v>169</v>
      </c>
      <c r="C9" s="145"/>
      <c r="D9" s="141">
        <v>0</v>
      </c>
      <c r="E9" s="141">
        <v>0</v>
      </c>
      <c r="F9" s="141">
        <v>1.575</v>
      </c>
      <c r="G9" s="137"/>
      <c r="H9" s="137"/>
      <c r="I9" s="36">
        <v>0</v>
      </c>
      <c r="J9" s="36">
        <v>0</v>
      </c>
      <c r="K9" s="37"/>
      <c r="L9" s="138">
        <v>0</v>
      </c>
      <c r="M9" s="138">
        <v>0</v>
      </c>
      <c r="N9" s="138">
        <v>0</v>
      </c>
      <c r="O9" s="138">
        <v>22.84</v>
      </c>
      <c r="P9" s="138">
        <v>0</v>
      </c>
      <c r="Q9" s="138">
        <v>0</v>
      </c>
      <c r="R9" s="138">
        <v>0</v>
      </c>
      <c r="S9" s="138">
        <v>0</v>
      </c>
      <c r="T9" s="138">
        <v>22.84</v>
      </c>
    </row>
    <row r="10" spans="1:20">
      <c r="A10" s="39">
        <v>6</v>
      </c>
      <c r="B10" s="144" t="s">
        <v>170</v>
      </c>
      <c r="C10" s="145"/>
      <c r="D10" s="141">
        <v>0</v>
      </c>
      <c r="E10" s="141">
        <v>0</v>
      </c>
      <c r="F10" s="141">
        <v>1.575</v>
      </c>
      <c r="G10" s="137"/>
      <c r="H10" s="137"/>
      <c r="I10" s="36">
        <v>0</v>
      </c>
      <c r="J10" s="36">
        <v>0</v>
      </c>
      <c r="K10" s="37"/>
      <c r="L10" s="138">
        <v>0</v>
      </c>
      <c r="M10" s="138">
        <v>0</v>
      </c>
      <c r="N10" s="138">
        <v>0</v>
      </c>
      <c r="O10" s="138">
        <v>22.84</v>
      </c>
      <c r="P10" s="138">
        <v>0</v>
      </c>
      <c r="Q10" s="138">
        <v>0</v>
      </c>
      <c r="R10" s="138">
        <v>0</v>
      </c>
      <c r="S10" s="138">
        <v>0</v>
      </c>
      <c r="T10" s="138">
        <v>22.84</v>
      </c>
    </row>
    <row r="11" spans="1:20">
      <c r="A11" s="39">
        <v>7</v>
      </c>
      <c r="B11" s="144" t="s">
        <v>171</v>
      </c>
      <c r="C11" s="145"/>
      <c r="D11" s="141">
        <v>0</v>
      </c>
      <c r="E11" s="141">
        <v>0</v>
      </c>
      <c r="F11" s="141">
        <v>1.575</v>
      </c>
      <c r="G11" s="137"/>
      <c r="H11" s="137"/>
      <c r="I11" s="36">
        <v>0</v>
      </c>
      <c r="J11" s="36">
        <v>0</v>
      </c>
      <c r="K11" s="37"/>
      <c r="L11" s="138">
        <v>0</v>
      </c>
      <c r="M11" s="138">
        <v>0</v>
      </c>
      <c r="N11" s="138">
        <v>0</v>
      </c>
      <c r="O11" s="138">
        <v>22.84</v>
      </c>
      <c r="P11" s="138">
        <v>0</v>
      </c>
      <c r="Q11" s="138">
        <v>0</v>
      </c>
      <c r="R11" s="138">
        <v>0</v>
      </c>
      <c r="S11" s="138">
        <v>0</v>
      </c>
      <c r="T11" s="138">
        <v>22.84</v>
      </c>
    </row>
    <row r="12" spans="1:20">
      <c r="A12" s="39">
        <v>8</v>
      </c>
      <c r="B12" s="144" t="s">
        <v>172</v>
      </c>
      <c r="C12" s="145"/>
      <c r="D12" s="141">
        <v>0</v>
      </c>
      <c r="E12" s="141">
        <v>0</v>
      </c>
      <c r="F12" s="141">
        <v>1.575</v>
      </c>
      <c r="G12" s="137"/>
      <c r="H12" s="137"/>
      <c r="I12" s="36">
        <v>0</v>
      </c>
      <c r="J12" s="36">
        <v>0</v>
      </c>
      <c r="K12" s="37"/>
      <c r="L12" s="138">
        <v>0</v>
      </c>
      <c r="M12" s="138">
        <v>0</v>
      </c>
      <c r="N12" s="138">
        <v>0</v>
      </c>
      <c r="O12" s="138">
        <v>22.84</v>
      </c>
      <c r="P12" s="138">
        <v>0</v>
      </c>
      <c r="Q12" s="138">
        <v>0</v>
      </c>
      <c r="R12" s="138">
        <v>0</v>
      </c>
      <c r="S12" s="138">
        <v>0</v>
      </c>
      <c r="T12" s="138">
        <v>22.84</v>
      </c>
    </row>
    <row r="13" spans="1:20">
      <c r="A13" s="39">
        <v>9</v>
      </c>
      <c r="B13" s="144" t="s">
        <v>173</v>
      </c>
      <c r="C13" s="145"/>
      <c r="D13" s="141">
        <v>0</v>
      </c>
      <c r="E13" s="141">
        <v>0</v>
      </c>
      <c r="F13" s="141">
        <v>1.575</v>
      </c>
      <c r="G13" s="137"/>
      <c r="H13" s="137"/>
      <c r="I13" s="36">
        <v>0</v>
      </c>
      <c r="J13" s="36">
        <v>0</v>
      </c>
      <c r="K13" s="37"/>
      <c r="L13" s="138">
        <v>0</v>
      </c>
      <c r="M13" s="138">
        <v>0</v>
      </c>
      <c r="N13" s="138">
        <v>0</v>
      </c>
      <c r="O13" s="138">
        <v>22.84</v>
      </c>
      <c r="P13" s="138">
        <v>0</v>
      </c>
      <c r="Q13" s="138">
        <v>0</v>
      </c>
      <c r="R13" s="138">
        <v>0</v>
      </c>
      <c r="S13" s="138">
        <v>0</v>
      </c>
      <c r="T13" s="138">
        <v>22.84</v>
      </c>
    </row>
    <row r="14" spans="1:20">
      <c r="A14" s="39">
        <v>10</v>
      </c>
      <c r="B14" s="144" t="s">
        <v>174</v>
      </c>
      <c r="C14" s="145"/>
      <c r="D14" s="141">
        <v>0</v>
      </c>
      <c r="E14" s="141">
        <v>0</v>
      </c>
      <c r="F14" s="141">
        <v>1.575</v>
      </c>
      <c r="G14" s="137"/>
      <c r="H14" s="137"/>
      <c r="I14" s="36">
        <v>0</v>
      </c>
      <c r="J14" s="36">
        <v>0</v>
      </c>
      <c r="K14" s="37"/>
      <c r="L14" s="138">
        <v>0</v>
      </c>
      <c r="M14" s="138">
        <v>0</v>
      </c>
      <c r="N14" s="138">
        <v>0</v>
      </c>
      <c r="O14" s="138">
        <v>22.84</v>
      </c>
      <c r="P14" s="138">
        <v>0</v>
      </c>
      <c r="Q14" s="138">
        <v>0</v>
      </c>
      <c r="R14" s="138">
        <v>0</v>
      </c>
      <c r="S14" s="138">
        <v>0</v>
      </c>
      <c r="T14" s="138">
        <v>22.84</v>
      </c>
    </row>
    <row r="15" spans="1:20">
      <c r="A15" s="39">
        <v>11</v>
      </c>
      <c r="B15" s="144" t="s">
        <v>175</v>
      </c>
      <c r="C15" s="145"/>
      <c r="D15" s="141">
        <v>0</v>
      </c>
      <c r="E15" s="141">
        <v>0</v>
      </c>
      <c r="F15" s="141">
        <v>1.575</v>
      </c>
      <c r="G15" s="137"/>
      <c r="H15" s="137"/>
      <c r="I15" s="36">
        <v>0</v>
      </c>
      <c r="J15" s="36">
        <v>0</v>
      </c>
      <c r="K15" s="37"/>
      <c r="L15" s="138">
        <v>0</v>
      </c>
      <c r="M15" s="138">
        <v>0</v>
      </c>
      <c r="N15" s="138">
        <v>0</v>
      </c>
      <c r="O15" s="138">
        <v>22.84</v>
      </c>
      <c r="P15" s="138">
        <v>0</v>
      </c>
      <c r="Q15" s="138">
        <v>0</v>
      </c>
      <c r="R15" s="138">
        <v>0</v>
      </c>
      <c r="S15" s="138">
        <v>0</v>
      </c>
      <c r="T15" s="138">
        <v>22.84</v>
      </c>
    </row>
    <row r="16" spans="1:20">
      <c r="A16" s="39">
        <v>12</v>
      </c>
      <c r="B16" s="144" t="s">
        <v>176</v>
      </c>
      <c r="C16" s="145"/>
      <c r="D16" s="141">
        <v>0</v>
      </c>
      <c r="E16" s="141">
        <v>0</v>
      </c>
      <c r="F16" s="141">
        <v>1.575</v>
      </c>
      <c r="G16" s="137"/>
      <c r="H16" s="137"/>
      <c r="I16" s="36">
        <v>0</v>
      </c>
      <c r="J16" s="36">
        <v>0</v>
      </c>
      <c r="K16" s="42"/>
      <c r="L16" s="138">
        <v>0</v>
      </c>
      <c r="M16" s="138">
        <v>0</v>
      </c>
      <c r="N16" s="138">
        <v>0</v>
      </c>
      <c r="O16" s="138">
        <v>22.84</v>
      </c>
      <c r="P16" s="138">
        <v>0</v>
      </c>
      <c r="Q16" s="138">
        <v>0</v>
      </c>
      <c r="R16" s="138">
        <v>0</v>
      </c>
      <c r="S16" s="138">
        <v>0</v>
      </c>
      <c r="T16" s="138">
        <v>22.84</v>
      </c>
    </row>
    <row r="17" spans="1:20">
      <c r="A17" s="39">
        <v>13</v>
      </c>
      <c r="B17" s="144" t="s">
        <v>177</v>
      </c>
      <c r="C17" s="145"/>
      <c r="D17" s="141">
        <v>0</v>
      </c>
      <c r="E17" s="141">
        <v>0</v>
      </c>
      <c r="F17" s="141">
        <v>1.575</v>
      </c>
      <c r="G17" s="137"/>
      <c r="H17" s="137"/>
      <c r="I17" s="36">
        <v>0</v>
      </c>
      <c r="J17" s="36">
        <v>0</v>
      </c>
      <c r="K17" s="37"/>
      <c r="L17" s="138">
        <v>0</v>
      </c>
      <c r="M17" s="138">
        <v>0</v>
      </c>
      <c r="N17" s="138">
        <v>0</v>
      </c>
      <c r="O17" s="138">
        <v>22.84</v>
      </c>
      <c r="P17" s="138">
        <v>0</v>
      </c>
      <c r="Q17" s="138">
        <v>0</v>
      </c>
      <c r="R17" s="138">
        <v>0</v>
      </c>
      <c r="S17" s="138">
        <v>0</v>
      </c>
      <c r="T17" s="138">
        <v>22.84</v>
      </c>
    </row>
    <row r="18" spans="1:20">
      <c r="A18" s="39">
        <v>14</v>
      </c>
      <c r="B18" s="144" t="s">
        <v>178</v>
      </c>
      <c r="C18" s="145"/>
      <c r="D18" s="141">
        <v>0</v>
      </c>
      <c r="E18" s="141">
        <v>0</v>
      </c>
      <c r="F18" s="141">
        <v>1.575</v>
      </c>
      <c r="G18" s="137"/>
      <c r="H18" s="137"/>
      <c r="I18" s="36">
        <v>0</v>
      </c>
      <c r="J18" s="36">
        <v>0</v>
      </c>
      <c r="K18" s="37"/>
      <c r="L18" s="138">
        <v>0</v>
      </c>
      <c r="M18" s="138">
        <v>0</v>
      </c>
      <c r="N18" s="138">
        <v>0</v>
      </c>
      <c r="O18" s="138">
        <v>22.84</v>
      </c>
      <c r="P18" s="138">
        <v>0</v>
      </c>
      <c r="Q18" s="138">
        <v>0</v>
      </c>
      <c r="R18" s="138">
        <v>0</v>
      </c>
      <c r="S18" s="138">
        <v>0</v>
      </c>
      <c r="T18" s="138">
        <v>22.84</v>
      </c>
    </row>
    <row r="19" spans="1:20">
      <c r="A19" s="39">
        <v>15</v>
      </c>
      <c r="B19" s="144" t="s">
        <v>179</v>
      </c>
      <c r="C19" s="145"/>
      <c r="D19" s="141">
        <v>0</v>
      </c>
      <c r="E19" s="141">
        <v>1.464</v>
      </c>
      <c r="F19" s="141">
        <v>7.4999999999999997E-2</v>
      </c>
      <c r="G19" s="137"/>
      <c r="H19" s="137"/>
      <c r="I19" s="36">
        <v>0</v>
      </c>
      <c r="J19" s="36">
        <v>0</v>
      </c>
      <c r="K19" s="37"/>
      <c r="L19" s="138">
        <v>0</v>
      </c>
      <c r="M19" s="138">
        <v>0</v>
      </c>
      <c r="N19" s="138">
        <v>168.36</v>
      </c>
      <c r="O19" s="138">
        <v>1.0900000000000001</v>
      </c>
      <c r="P19" s="138">
        <v>0</v>
      </c>
      <c r="Q19" s="138">
        <v>0</v>
      </c>
      <c r="R19" s="138">
        <v>0</v>
      </c>
      <c r="S19" s="138">
        <v>0</v>
      </c>
      <c r="T19" s="138">
        <v>169.45</v>
      </c>
    </row>
    <row r="20" spans="1:20">
      <c r="A20" s="39">
        <v>16</v>
      </c>
      <c r="B20" s="144" t="s">
        <v>180</v>
      </c>
      <c r="C20" s="145"/>
      <c r="D20" s="141">
        <v>0</v>
      </c>
      <c r="E20" s="141">
        <v>7.4999999999999997E-2</v>
      </c>
      <c r="F20" s="141">
        <v>0</v>
      </c>
      <c r="G20" s="137"/>
      <c r="H20" s="137"/>
      <c r="I20" s="36">
        <v>0</v>
      </c>
      <c r="J20" s="36">
        <v>0</v>
      </c>
      <c r="K20" s="37"/>
      <c r="L20" s="138">
        <v>0</v>
      </c>
      <c r="M20" s="138">
        <v>0</v>
      </c>
      <c r="N20" s="138">
        <v>8.6300000000000008</v>
      </c>
      <c r="O20" s="138">
        <v>0</v>
      </c>
      <c r="P20" s="138">
        <v>0</v>
      </c>
      <c r="Q20" s="138">
        <v>0</v>
      </c>
      <c r="R20" s="138">
        <v>0</v>
      </c>
      <c r="S20" s="138">
        <v>0</v>
      </c>
      <c r="T20" s="138">
        <v>8.6300000000000008</v>
      </c>
    </row>
    <row r="21" spans="1:20">
      <c r="A21" s="39">
        <v>17</v>
      </c>
      <c r="B21" s="144" t="s">
        <v>181</v>
      </c>
      <c r="C21" s="145"/>
      <c r="D21" s="141">
        <v>0</v>
      </c>
      <c r="E21" s="141">
        <v>0</v>
      </c>
      <c r="F21" s="141">
        <v>0</v>
      </c>
      <c r="G21" s="137"/>
      <c r="H21" s="137"/>
      <c r="I21" s="36">
        <v>0</v>
      </c>
      <c r="J21" s="36">
        <v>0</v>
      </c>
      <c r="K21" s="37"/>
      <c r="L21" s="138">
        <v>0</v>
      </c>
      <c r="M21" s="138">
        <v>0</v>
      </c>
      <c r="N21" s="138">
        <v>0</v>
      </c>
      <c r="O21" s="138">
        <v>0</v>
      </c>
      <c r="P21" s="138">
        <v>0</v>
      </c>
      <c r="Q21" s="138">
        <v>0</v>
      </c>
      <c r="R21" s="138">
        <v>0</v>
      </c>
      <c r="S21" s="138">
        <v>0</v>
      </c>
      <c r="T21" s="138">
        <v>0</v>
      </c>
    </row>
    <row r="22" spans="1:20">
      <c r="A22" s="39">
        <v>18</v>
      </c>
      <c r="B22" s="144" t="s">
        <v>182</v>
      </c>
      <c r="C22" s="145"/>
      <c r="D22" s="141">
        <v>0</v>
      </c>
      <c r="E22" s="141">
        <v>0</v>
      </c>
      <c r="F22" s="141">
        <v>0</v>
      </c>
      <c r="G22" s="137"/>
      <c r="H22" s="137"/>
      <c r="I22" s="36">
        <v>0</v>
      </c>
      <c r="J22" s="36">
        <v>0</v>
      </c>
      <c r="K22" s="37"/>
      <c r="L22" s="138">
        <v>0</v>
      </c>
      <c r="M22" s="138">
        <v>0</v>
      </c>
      <c r="N22" s="138">
        <v>0</v>
      </c>
      <c r="O22" s="138">
        <v>0</v>
      </c>
      <c r="P22" s="138">
        <v>0</v>
      </c>
      <c r="Q22" s="138">
        <v>0</v>
      </c>
      <c r="R22" s="138">
        <v>0</v>
      </c>
      <c r="S22" s="138">
        <v>0</v>
      </c>
      <c r="T22" s="138">
        <v>0</v>
      </c>
    </row>
    <row r="23" spans="1:20">
      <c r="A23" s="39">
        <v>19</v>
      </c>
      <c r="B23" s="144" t="s">
        <v>183</v>
      </c>
      <c r="C23" s="145"/>
      <c r="D23" s="141">
        <v>0</v>
      </c>
      <c r="E23" s="141">
        <v>0</v>
      </c>
      <c r="F23" s="141">
        <v>0</v>
      </c>
      <c r="G23" s="137"/>
      <c r="H23" s="137"/>
      <c r="I23" s="36">
        <v>0</v>
      </c>
      <c r="J23" s="36">
        <v>0</v>
      </c>
      <c r="K23" s="37"/>
      <c r="L23" s="138">
        <v>0</v>
      </c>
      <c r="M23" s="138">
        <v>0</v>
      </c>
      <c r="N23" s="138">
        <v>0</v>
      </c>
      <c r="O23" s="138">
        <v>0</v>
      </c>
      <c r="P23" s="138">
        <v>0</v>
      </c>
      <c r="Q23" s="138">
        <v>0</v>
      </c>
      <c r="R23" s="138">
        <v>0</v>
      </c>
      <c r="S23" s="138">
        <v>0</v>
      </c>
      <c r="T23" s="138">
        <v>0</v>
      </c>
    </row>
    <row r="24" spans="1:20">
      <c r="A24" s="39">
        <v>20</v>
      </c>
      <c r="B24" s="144" t="s">
        <v>184</v>
      </c>
      <c r="C24" s="145"/>
      <c r="D24" s="141">
        <v>0</v>
      </c>
      <c r="E24" s="141">
        <v>0</v>
      </c>
      <c r="F24" s="141">
        <v>0</v>
      </c>
      <c r="G24" s="137"/>
      <c r="H24" s="137"/>
      <c r="I24" s="36">
        <v>0</v>
      </c>
      <c r="J24" s="36">
        <v>0</v>
      </c>
      <c r="K24" s="37"/>
      <c r="L24" s="138">
        <v>0</v>
      </c>
      <c r="M24" s="138">
        <v>0</v>
      </c>
      <c r="N24" s="138">
        <v>0</v>
      </c>
      <c r="O24" s="138">
        <v>0</v>
      </c>
      <c r="P24" s="138">
        <v>0</v>
      </c>
      <c r="Q24" s="138">
        <v>0</v>
      </c>
      <c r="R24" s="138">
        <v>0</v>
      </c>
      <c r="S24" s="138">
        <v>0</v>
      </c>
      <c r="T24" s="138">
        <v>0</v>
      </c>
    </row>
    <row r="25" spans="1:20">
      <c r="A25" s="39">
        <v>21</v>
      </c>
      <c r="B25" s="144"/>
      <c r="C25" s="145"/>
      <c r="D25" s="141">
        <v>0</v>
      </c>
      <c r="E25" s="141">
        <v>0</v>
      </c>
      <c r="F25" s="141">
        <v>0</v>
      </c>
      <c r="G25" s="137"/>
      <c r="H25" s="137"/>
      <c r="I25" s="36">
        <v>0</v>
      </c>
      <c r="J25" s="36">
        <v>0</v>
      </c>
      <c r="K25" s="37"/>
      <c r="L25" s="138">
        <v>0</v>
      </c>
      <c r="M25" s="138">
        <v>0</v>
      </c>
      <c r="N25" s="138">
        <v>0</v>
      </c>
      <c r="O25" s="138">
        <v>0</v>
      </c>
      <c r="P25" s="138">
        <v>0</v>
      </c>
      <c r="Q25" s="138">
        <v>0</v>
      </c>
      <c r="R25" s="138">
        <v>0</v>
      </c>
      <c r="S25" s="138">
        <v>0</v>
      </c>
      <c r="T25" s="138">
        <v>0</v>
      </c>
    </row>
    <row r="26" spans="1:20">
      <c r="A26" s="39">
        <v>22</v>
      </c>
      <c r="B26" s="144"/>
      <c r="C26" s="145"/>
      <c r="D26" s="141">
        <v>0</v>
      </c>
      <c r="E26" s="141">
        <v>0</v>
      </c>
      <c r="F26" s="141">
        <v>0</v>
      </c>
      <c r="G26" s="137"/>
      <c r="H26" s="137"/>
      <c r="I26" s="36">
        <v>0</v>
      </c>
      <c r="J26" s="36">
        <v>0</v>
      </c>
      <c r="K26" s="37"/>
      <c r="L26" s="138">
        <v>0</v>
      </c>
      <c r="M26" s="138">
        <v>0</v>
      </c>
      <c r="N26" s="138">
        <v>0</v>
      </c>
      <c r="O26" s="138">
        <v>0</v>
      </c>
      <c r="P26" s="138">
        <v>0</v>
      </c>
      <c r="Q26" s="138">
        <v>0</v>
      </c>
      <c r="R26" s="138">
        <v>0</v>
      </c>
      <c r="S26" s="138">
        <v>0</v>
      </c>
      <c r="T26" s="138">
        <v>0</v>
      </c>
    </row>
    <row r="27" spans="1:20">
      <c r="A27" s="39">
        <v>23</v>
      </c>
      <c r="B27" s="144"/>
      <c r="C27" s="145"/>
      <c r="D27" s="141">
        <v>0</v>
      </c>
      <c r="E27" s="141">
        <v>0</v>
      </c>
      <c r="F27" s="141">
        <v>0</v>
      </c>
      <c r="G27" s="137"/>
      <c r="H27" s="137"/>
      <c r="I27" s="36">
        <v>0</v>
      </c>
      <c r="J27" s="36">
        <v>0</v>
      </c>
      <c r="K27" s="37"/>
      <c r="L27" s="138">
        <v>0</v>
      </c>
      <c r="M27" s="138">
        <v>0</v>
      </c>
      <c r="N27" s="138">
        <v>0</v>
      </c>
      <c r="O27" s="138">
        <v>0</v>
      </c>
      <c r="P27" s="138">
        <v>0</v>
      </c>
      <c r="Q27" s="138">
        <v>0</v>
      </c>
      <c r="R27" s="138">
        <v>0</v>
      </c>
      <c r="S27" s="138">
        <v>0</v>
      </c>
      <c r="T27" s="138">
        <v>0</v>
      </c>
    </row>
    <row r="28" spans="1:20">
      <c r="A28" s="39">
        <v>24</v>
      </c>
      <c r="B28" s="144"/>
      <c r="C28" s="145"/>
      <c r="D28" s="141">
        <v>0</v>
      </c>
      <c r="E28" s="141">
        <v>0</v>
      </c>
      <c r="F28" s="141">
        <v>0</v>
      </c>
      <c r="G28" s="137"/>
      <c r="H28" s="137"/>
      <c r="I28" s="36">
        <v>0</v>
      </c>
      <c r="J28" s="36">
        <v>0</v>
      </c>
      <c r="K28" s="37"/>
      <c r="L28" s="138">
        <v>0</v>
      </c>
      <c r="M28" s="138">
        <v>0</v>
      </c>
      <c r="N28" s="138">
        <v>0</v>
      </c>
      <c r="O28" s="138">
        <v>0</v>
      </c>
      <c r="P28" s="138">
        <v>0</v>
      </c>
      <c r="Q28" s="138">
        <v>0</v>
      </c>
      <c r="R28" s="138">
        <v>0</v>
      </c>
      <c r="S28" s="138">
        <v>0</v>
      </c>
      <c r="T28" s="138">
        <v>0</v>
      </c>
    </row>
    <row r="29" spans="1:20">
      <c r="A29" s="39">
        <v>25</v>
      </c>
      <c r="B29" s="144"/>
      <c r="C29" s="145"/>
      <c r="D29" s="141">
        <v>0</v>
      </c>
      <c r="E29" s="141">
        <v>0</v>
      </c>
      <c r="F29" s="141">
        <v>0</v>
      </c>
      <c r="G29" s="137"/>
      <c r="H29" s="137"/>
      <c r="I29" s="36">
        <v>0</v>
      </c>
      <c r="J29" s="36">
        <v>0</v>
      </c>
      <c r="K29" s="37"/>
      <c r="L29" s="138">
        <v>0</v>
      </c>
      <c r="M29" s="138">
        <v>0</v>
      </c>
      <c r="N29" s="138">
        <v>0</v>
      </c>
      <c r="O29" s="138">
        <v>0</v>
      </c>
      <c r="P29" s="138">
        <v>0</v>
      </c>
      <c r="Q29" s="138">
        <v>0</v>
      </c>
      <c r="R29" s="138">
        <v>0</v>
      </c>
      <c r="S29" s="138">
        <v>0</v>
      </c>
      <c r="T29" s="138">
        <v>0</v>
      </c>
    </row>
    <row r="30" spans="1:20">
      <c r="A30" s="39">
        <v>26</v>
      </c>
      <c r="B30" s="144"/>
      <c r="C30" s="145"/>
      <c r="D30" s="141">
        <v>0</v>
      </c>
      <c r="E30" s="141">
        <v>0</v>
      </c>
      <c r="F30" s="141">
        <v>0</v>
      </c>
      <c r="G30" s="137"/>
      <c r="H30" s="137"/>
      <c r="I30" s="36">
        <v>0</v>
      </c>
      <c r="J30" s="36">
        <v>0</v>
      </c>
      <c r="K30" s="37"/>
      <c r="L30" s="138">
        <v>0</v>
      </c>
      <c r="M30" s="138">
        <v>0</v>
      </c>
      <c r="N30" s="138">
        <v>0</v>
      </c>
      <c r="O30" s="138">
        <v>0</v>
      </c>
      <c r="P30" s="138">
        <v>0</v>
      </c>
      <c r="Q30" s="138">
        <v>0</v>
      </c>
      <c r="R30" s="138">
        <v>0</v>
      </c>
      <c r="S30" s="138">
        <v>0</v>
      </c>
      <c r="T30" s="138">
        <v>0</v>
      </c>
    </row>
    <row r="31" spans="1:20">
      <c r="A31" s="39">
        <v>27</v>
      </c>
      <c r="B31" s="144"/>
      <c r="C31" s="145"/>
      <c r="D31" s="141">
        <v>0</v>
      </c>
      <c r="E31" s="141">
        <v>0</v>
      </c>
      <c r="F31" s="141">
        <v>0</v>
      </c>
      <c r="G31" s="137"/>
      <c r="H31" s="137"/>
      <c r="I31" s="36">
        <v>0</v>
      </c>
      <c r="J31" s="36">
        <v>0</v>
      </c>
      <c r="K31" s="37"/>
      <c r="L31" s="138">
        <v>0</v>
      </c>
      <c r="M31" s="138">
        <v>0</v>
      </c>
      <c r="N31" s="138">
        <v>0</v>
      </c>
      <c r="O31" s="138">
        <v>0</v>
      </c>
      <c r="P31" s="138">
        <v>0</v>
      </c>
      <c r="Q31" s="138">
        <v>0</v>
      </c>
      <c r="R31" s="138">
        <v>0</v>
      </c>
      <c r="S31" s="138">
        <v>0</v>
      </c>
      <c r="T31" s="138">
        <v>0</v>
      </c>
    </row>
    <row r="32" spans="1:20">
      <c r="A32" s="39">
        <v>28</v>
      </c>
      <c r="B32" s="144"/>
      <c r="C32" s="145"/>
      <c r="D32" s="141">
        <v>0</v>
      </c>
      <c r="E32" s="141">
        <v>0</v>
      </c>
      <c r="F32" s="141">
        <v>0</v>
      </c>
      <c r="G32" s="137"/>
      <c r="H32" s="137"/>
      <c r="I32" s="36">
        <v>0</v>
      </c>
      <c r="J32" s="36">
        <v>0</v>
      </c>
      <c r="K32" s="37"/>
      <c r="L32" s="138">
        <v>0</v>
      </c>
      <c r="M32" s="138">
        <v>0</v>
      </c>
      <c r="N32" s="138">
        <v>0</v>
      </c>
      <c r="O32" s="138">
        <v>0</v>
      </c>
      <c r="P32" s="138">
        <v>0</v>
      </c>
      <c r="Q32" s="138">
        <v>0</v>
      </c>
      <c r="R32" s="138">
        <v>0</v>
      </c>
      <c r="S32" s="138">
        <v>0</v>
      </c>
      <c r="T32" s="138">
        <v>0</v>
      </c>
    </row>
    <row r="33" spans="1:20">
      <c r="A33" s="39">
        <v>29</v>
      </c>
      <c r="B33" s="144"/>
      <c r="C33" s="145"/>
      <c r="D33" s="141">
        <v>0</v>
      </c>
      <c r="E33" s="141">
        <v>0</v>
      </c>
      <c r="F33" s="141">
        <v>0</v>
      </c>
      <c r="G33" s="137"/>
      <c r="H33" s="137"/>
      <c r="I33" s="36">
        <v>0</v>
      </c>
      <c r="J33" s="36">
        <v>0</v>
      </c>
      <c r="K33" s="37"/>
      <c r="L33" s="138">
        <v>0</v>
      </c>
      <c r="M33" s="138">
        <v>0</v>
      </c>
      <c r="N33" s="138">
        <v>0</v>
      </c>
      <c r="O33" s="138">
        <v>0</v>
      </c>
      <c r="P33" s="138">
        <v>0</v>
      </c>
      <c r="Q33" s="138">
        <v>0</v>
      </c>
      <c r="R33" s="138">
        <v>0</v>
      </c>
      <c r="S33" s="138">
        <v>0</v>
      </c>
      <c r="T33" s="138">
        <v>0</v>
      </c>
    </row>
    <row r="34" spans="1:20">
      <c r="A34" s="39">
        <v>30</v>
      </c>
      <c r="B34" s="144"/>
      <c r="C34" s="145"/>
      <c r="D34" s="141">
        <v>0</v>
      </c>
      <c r="E34" s="141">
        <v>0</v>
      </c>
      <c r="F34" s="141">
        <v>0</v>
      </c>
      <c r="G34" s="137"/>
      <c r="H34" s="137"/>
      <c r="I34" s="36">
        <v>0</v>
      </c>
      <c r="J34" s="36">
        <v>0</v>
      </c>
      <c r="K34" s="37"/>
      <c r="L34" s="138">
        <v>0</v>
      </c>
      <c r="M34" s="138">
        <v>0</v>
      </c>
      <c r="N34" s="138">
        <v>0</v>
      </c>
      <c r="O34" s="138">
        <v>0</v>
      </c>
      <c r="P34" s="138">
        <v>0</v>
      </c>
      <c r="Q34" s="138">
        <v>0</v>
      </c>
      <c r="R34" s="138">
        <v>0</v>
      </c>
      <c r="S34" s="138">
        <v>0</v>
      </c>
      <c r="T34" s="138">
        <v>0</v>
      </c>
    </row>
    <row r="35" spans="1:20">
      <c r="A35" s="39">
        <v>31</v>
      </c>
      <c r="B35" s="144"/>
      <c r="C35" s="145"/>
      <c r="D35" s="141">
        <v>0</v>
      </c>
      <c r="E35" s="141">
        <v>0</v>
      </c>
      <c r="F35" s="141">
        <v>0</v>
      </c>
      <c r="G35" s="137"/>
      <c r="H35" s="137"/>
      <c r="I35" s="36">
        <v>0</v>
      </c>
      <c r="J35" s="36">
        <v>0</v>
      </c>
      <c r="K35" s="37"/>
      <c r="L35" s="138">
        <v>0</v>
      </c>
      <c r="M35" s="138">
        <v>0</v>
      </c>
      <c r="N35" s="138">
        <v>0</v>
      </c>
      <c r="O35" s="138">
        <v>0</v>
      </c>
      <c r="P35" s="138">
        <v>0</v>
      </c>
      <c r="Q35" s="138">
        <v>0</v>
      </c>
      <c r="R35" s="138">
        <v>0</v>
      </c>
      <c r="S35" s="138">
        <v>0</v>
      </c>
      <c r="T35" s="138">
        <v>0</v>
      </c>
    </row>
    <row r="36" spans="1:20">
      <c r="D36" s="43">
        <v>0</v>
      </c>
      <c r="E36" s="43">
        <v>1.5389999999999999</v>
      </c>
      <c r="F36" s="43">
        <v>22.124999999999993</v>
      </c>
      <c r="G36" s="43">
        <v>0</v>
      </c>
      <c r="H36" s="43">
        <v>0</v>
      </c>
      <c r="I36" s="43">
        <v>0</v>
      </c>
      <c r="J36" s="43">
        <v>0</v>
      </c>
      <c r="K36" s="44">
        <v>0</v>
      </c>
      <c r="L36" s="139">
        <v>0</v>
      </c>
      <c r="M36" s="139">
        <v>0</v>
      </c>
      <c r="N36" s="139">
        <v>176.99</v>
      </c>
      <c r="O36" s="139">
        <v>320.81</v>
      </c>
      <c r="P36" s="139">
        <v>0</v>
      </c>
      <c r="Q36" s="139">
        <v>0</v>
      </c>
      <c r="R36" s="139">
        <v>0</v>
      </c>
      <c r="S36" s="139">
        <v>0</v>
      </c>
      <c r="T36" s="139">
        <v>497.8</v>
      </c>
    </row>
    <row r="37" spans="1:20">
      <c r="R37" s="46"/>
      <c r="S37" s="46"/>
      <c r="T37" s="140">
        <v>607.30999999999995</v>
      </c>
    </row>
  </sheetData>
  <mergeCells count="50"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B8E6A-FE7E-4CE4-BEA8-63D44DA6FBC2}">
  <sheetPr>
    <pageSetUpPr fitToPage="1"/>
  </sheetPr>
  <dimension ref="A1:T37"/>
  <sheetViews>
    <sheetView topLeftCell="A14" workbookViewId="0">
      <selection activeCell="G5" sqref="G5:G35"/>
    </sheetView>
  </sheetViews>
  <sheetFormatPr defaultRowHeight="15"/>
  <cols>
    <col min="1" max="3" width="9.140625" style="28"/>
    <col min="4" max="4" width="10.7109375" style="28" customWidth="1"/>
    <col min="5" max="6" width="12" style="28" customWidth="1"/>
    <col min="7" max="7" width="11.85546875" style="28" customWidth="1"/>
    <col min="8" max="8" width="11.42578125" style="28" customWidth="1"/>
    <col min="9" max="9" width="10.5703125" style="28" bestFit="1" customWidth="1"/>
    <col min="10" max="10" width="9.42578125" style="28" bestFit="1" customWidth="1"/>
    <col min="11" max="12" width="9.140625" style="28"/>
    <col min="13" max="13" width="13.140625" style="28" customWidth="1"/>
    <col min="14" max="14" width="13.5703125" style="28" customWidth="1"/>
    <col min="15" max="15" width="14.5703125" style="28" customWidth="1"/>
    <col min="16" max="16" width="14.5703125" style="28" bestFit="1" customWidth="1"/>
    <col min="17" max="17" width="15" style="28" customWidth="1"/>
    <col min="18" max="18" width="13.28515625" style="28" customWidth="1"/>
    <col min="19" max="19" width="11.7109375" style="28" customWidth="1"/>
    <col min="20" max="20" width="24.28515625" style="28" customWidth="1"/>
    <col min="21" max="16384" width="9.140625" style="28"/>
  </cols>
  <sheetData>
    <row r="1" spans="1:20">
      <c r="I1" s="29"/>
    </row>
    <row r="2" spans="1:20" ht="28.9" customHeight="1">
      <c r="A2" s="149" t="s">
        <v>212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</row>
    <row r="3" spans="1:20" ht="28.9" customHeight="1">
      <c r="A3" s="146" t="s">
        <v>0</v>
      </c>
      <c r="B3" s="150" t="s">
        <v>1</v>
      </c>
      <c r="C3" s="151"/>
      <c r="D3" s="146" t="s">
        <v>2</v>
      </c>
      <c r="E3" s="146" t="s">
        <v>3</v>
      </c>
      <c r="F3" s="30" t="s">
        <v>4</v>
      </c>
      <c r="G3" s="146" t="s">
        <v>213</v>
      </c>
      <c r="H3" s="146" t="s">
        <v>157</v>
      </c>
      <c r="I3" s="146" t="s">
        <v>7</v>
      </c>
      <c r="J3" s="146" t="s">
        <v>8</v>
      </c>
      <c r="K3" s="146" t="s">
        <v>158</v>
      </c>
      <c r="L3" s="146" t="s">
        <v>159</v>
      </c>
      <c r="M3" s="146" t="s">
        <v>11</v>
      </c>
      <c r="N3" s="146" t="s">
        <v>12</v>
      </c>
      <c r="O3" s="146" t="s">
        <v>13</v>
      </c>
      <c r="P3" s="146" t="s">
        <v>14</v>
      </c>
      <c r="Q3" s="146" t="s">
        <v>15</v>
      </c>
      <c r="R3" s="146" t="s">
        <v>16</v>
      </c>
      <c r="S3" s="146" t="s">
        <v>17</v>
      </c>
      <c r="T3" s="146" t="s">
        <v>18</v>
      </c>
    </row>
    <row r="4" spans="1:20">
      <c r="A4" s="147"/>
      <c r="B4" s="152"/>
      <c r="C4" s="153"/>
      <c r="D4" s="147"/>
      <c r="E4" s="147"/>
      <c r="F4" s="31"/>
      <c r="G4" s="147"/>
      <c r="H4" s="147"/>
      <c r="I4" s="147"/>
      <c r="J4" s="147"/>
      <c r="K4" s="148"/>
      <c r="L4" s="148"/>
      <c r="M4" s="147"/>
      <c r="N4" s="147"/>
      <c r="O4" s="147"/>
      <c r="P4" s="147"/>
      <c r="Q4" s="147"/>
      <c r="R4" s="147"/>
      <c r="S4" s="147"/>
      <c r="T4" s="147"/>
    </row>
    <row r="5" spans="1:20">
      <c r="A5" s="39">
        <v>1</v>
      </c>
      <c r="B5" s="144" t="s">
        <v>165</v>
      </c>
      <c r="C5" s="145"/>
      <c r="D5" s="141">
        <v>0</v>
      </c>
      <c r="E5" s="141">
        <v>0</v>
      </c>
      <c r="F5" s="141">
        <v>1306.79</v>
      </c>
      <c r="G5" s="137">
        <v>2493.21</v>
      </c>
      <c r="H5" s="137"/>
      <c r="I5" s="36">
        <v>0</v>
      </c>
      <c r="J5" s="36">
        <v>0</v>
      </c>
      <c r="K5" s="37">
        <v>0</v>
      </c>
      <c r="L5" s="138">
        <v>0</v>
      </c>
      <c r="M5" s="138">
        <v>0</v>
      </c>
      <c r="N5" s="138">
        <v>0</v>
      </c>
      <c r="O5" s="138">
        <v>18687.099999999999</v>
      </c>
      <c r="P5" s="138">
        <v>35652.9</v>
      </c>
      <c r="Q5" s="138">
        <v>0</v>
      </c>
      <c r="R5" s="138">
        <v>0</v>
      </c>
      <c r="S5" s="138">
        <v>0</v>
      </c>
      <c r="T5" s="138">
        <v>54340</v>
      </c>
    </row>
    <row r="6" spans="1:20">
      <c r="A6" s="39">
        <v>2</v>
      </c>
      <c r="B6" s="144" t="s">
        <v>166</v>
      </c>
      <c r="C6" s="145"/>
      <c r="D6" s="141">
        <v>0</v>
      </c>
      <c r="E6" s="141">
        <v>22</v>
      </c>
      <c r="F6" s="141">
        <v>1284.79</v>
      </c>
      <c r="G6" s="137">
        <v>2515.21</v>
      </c>
      <c r="H6" s="137"/>
      <c r="I6" s="36">
        <v>0</v>
      </c>
      <c r="J6" s="36">
        <v>0</v>
      </c>
      <c r="K6" s="37">
        <v>0</v>
      </c>
      <c r="L6" s="138">
        <v>0</v>
      </c>
      <c r="M6" s="138">
        <v>0</v>
      </c>
      <c r="N6" s="138">
        <v>2530</v>
      </c>
      <c r="O6" s="138">
        <v>18372.5</v>
      </c>
      <c r="P6" s="138">
        <v>35967.5</v>
      </c>
      <c r="Q6" s="138">
        <v>0</v>
      </c>
      <c r="R6" s="138">
        <v>0</v>
      </c>
      <c r="S6" s="138">
        <v>0</v>
      </c>
      <c r="T6" s="138">
        <v>56870</v>
      </c>
    </row>
    <row r="7" spans="1:20">
      <c r="A7" s="39">
        <v>3</v>
      </c>
      <c r="B7" s="144" t="s">
        <v>167</v>
      </c>
      <c r="C7" s="145"/>
      <c r="D7" s="141">
        <v>0</v>
      </c>
      <c r="E7" s="141">
        <v>0</v>
      </c>
      <c r="F7" s="141">
        <v>1284.79</v>
      </c>
      <c r="G7" s="137">
        <v>2515.21</v>
      </c>
      <c r="H7" s="137"/>
      <c r="I7" s="36">
        <v>0</v>
      </c>
      <c r="J7" s="36">
        <v>0</v>
      </c>
      <c r="K7" s="37">
        <v>0</v>
      </c>
      <c r="L7" s="138">
        <v>0</v>
      </c>
      <c r="M7" s="138">
        <v>0</v>
      </c>
      <c r="N7" s="138">
        <v>0</v>
      </c>
      <c r="O7" s="138">
        <v>18372.5</v>
      </c>
      <c r="P7" s="138">
        <v>35967.5</v>
      </c>
      <c r="Q7" s="138">
        <v>0</v>
      </c>
      <c r="R7" s="138">
        <v>0</v>
      </c>
      <c r="S7" s="138">
        <v>0</v>
      </c>
      <c r="T7" s="138">
        <v>54340</v>
      </c>
    </row>
    <row r="8" spans="1:20">
      <c r="A8" s="39">
        <v>4</v>
      </c>
      <c r="B8" s="144" t="s">
        <v>168</v>
      </c>
      <c r="C8" s="145"/>
      <c r="D8" s="141">
        <v>0</v>
      </c>
      <c r="E8" s="141">
        <v>22</v>
      </c>
      <c r="F8" s="141">
        <v>1262.79</v>
      </c>
      <c r="G8" s="137">
        <v>2537.21</v>
      </c>
      <c r="H8" s="137"/>
      <c r="I8" s="36">
        <v>0</v>
      </c>
      <c r="J8" s="36">
        <v>0</v>
      </c>
      <c r="K8" s="37">
        <v>0</v>
      </c>
      <c r="L8" s="138">
        <v>0</v>
      </c>
      <c r="M8" s="138">
        <v>0</v>
      </c>
      <c r="N8" s="138">
        <v>2530</v>
      </c>
      <c r="O8" s="138">
        <v>18057.900000000001</v>
      </c>
      <c r="P8" s="138">
        <v>36282.1</v>
      </c>
      <c r="Q8" s="138">
        <v>0</v>
      </c>
      <c r="R8" s="138">
        <v>0</v>
      </c>
      <c r="S8" s="138">
        <v>0</v>
      </c>
      <c r="T8" s="138">
        <v>56870</v>
      </c>
    </row>
    <row r="9" spans="1:20">
      <c r="A9" s="39">
        <v>5</v>
      </c>
      <c r="B9" s="144" t="s">
        <v>169</v>
      </c>
      <c r="C9" s="145"/>
      <c r="D9" s="141">
        <v>0</v>
      </c>
      <c r="E9" s="141">
        <v>22</v>
      </c>
      <c r="F9" s="141">
        <v>1240.79</v>
      </c>
      <c r="G9" s="137">
        <v>2559.21</v>
      </c>
      <c r="H9" s="137"/>
      <c r="I9" s="36">
        <v>0</v>
      </c>
      <c r="J9" s="36">
        <v>0</v>
      </c>
      <c r="K9" s="37">
        <v>0</v>
      </c>
      <c r="L9" s="138">
        <v>0</v>
      </c>
      <c r="M9" s="138">
        <v>0</v>
      </c>
      <c r="N9" s="138">
        <v>2530</v>
      </c>
      <c r="O9" s="138">
        <v>17743.3</v>
      </c>
      <c r="P9" s="138">
        <v>36596.699999999997</v>
      </c>
      <c r="Q9" s="138">
        <v>0</v>
      </c>
      <c r="R9" s="138">
        <v>0</v>
      </c>
      <c r="S9" s="138">
        <v>0</v>
      </c>
      <c r="T9" s="138">
        <v>56870</v>
      </c>
    </row>
    <row r="10" spans="1:20">
      <c r="A10" s="39">
        <v>6</v>
      </c>
      <c r="B10" s="144" t="s">
        <v>170</v>
      </c>
      <c r="C10" s="145"/>
      <c r="D10" s="141">
        <v>0</v>
      </c>
      <c r="E10" s="141">
        <v>0</v>
      </c>
      <c r="F10" s="141">
        <v>1240.79</v>
      </c>
      <c r="G10" s="137">
        <v>2559.21</v>
      </c>
      <c r="H10" s="137"/>
      <c r="I10" s="36">
        <v>0</v>
      </c>
      <c r="J10" s="36">
        <v>0</v>
      </c>
      <c r="K10" s="37">
        <v>0</v>
      </c>
      <c r="L10" s="138">
        <v>0</v>
      </c>
      <c r="M10" s="138">
        <v>0</v>
      </c>
      <c r="N10" s="138">
        <v>0</v>
      </c>
      <c r="O10" s="138">
        <v>17743.3</v>
      </c>
      <c r="P10" s="138">
        <v>36596.699999999997</v>
      </c>
      <c r="Q10" s="138">
        <v>0</v>
      </c>
      <c r="R10" s="138">
        <v>0</v>
      </c>
      <c r="S10" s="138">
        <v>0</v>
      </c>
      <c r="T10" s="138">
        <v>54340</v>
      </c>
    </row>
    <row r="11" spans="1:20">
      <c r="A11" s="39">
        <v>7</v>
      </c>
      <c r="B11" s="144" t="s">
        <v>171</v>
      </c>
      <c r="C11" s="145"/>
      <c r="D11" s="141">
        <v>0</v>
      </c>
      <c r="E11" s="141">
        <v>0</v>
      </c>
      <c r="F11" s="141">
        <v>1240.79</v>
      </c>
      <c r="G11" s="137">
        <v>2559.21</v>
      </c>
      <c r="H11" s="137"/>
      <c r="I11" s="36">
        <v>0</v>
      </c>
      <c r="J11" s="36">
        <v>0</v>
      </c>
      <c r="K11" s="37">
        <v>0</v>
      </c>
      <c r="L11" s="138">
        <v>0</v>
      </c>
      <c r="M11" s="138">
        <v>0</v>
      </c>
      <c r="N11" s="138">
        <v>0</v>
      </c>
      <c r="O11" s="138">
        <v>17743.3</v>
      </c>
      <c r="P11" s="138">
        <v>36596.699999999997</v>
      </c>
      <c r="Q11" s="138">
        <v>0</v>
      </c>
      <c r="R11" s="138">
        <v>0</v>
      </c>
      <c r="S11" s="138">
        <v>0</v>
      </c>
      <c r="T11" s="138">
        <v>54340</v>
      </c>
    </row>
    <row r="12" spans="1:20">
      <c r="A12" s="39">
        <v>8</v>
      </c>
      <c r="B12" s="144" t="s">
        <v>172</v>
      </c>
      <c r="C12" s="145"/>
      <c r="D12" s="141">
        <v>0</v>
      </c>
      <c r="E12" s="141">
        <v>43.375</v>
      </c>
      <c r="F12" s="141">
        <v>1197.415</v>
      </c>
      <c r="G12" s="137">
        <v>2602.585</v>
      </c>
      <c r="H12" s="137"/>
      <c r="I12" s="36">
        <v>0</v>
      </c>
      <c r="J12" s="36">
        <v>0</v>
      </c>
      <c r="K12" s="37">
        <v>0</v>
      </c>
      <c r="L12" s="138">
        <v>0</v>
      </c>
      <c r="M12" s="138">
        <v>0</v>
      </c>
      <c r="N12" s="138">
        <v>4988.13</v>
      </c>
      <c r="O12" s="138">
        <v>17123.03</v>
      </c>
      <c r="P12" s="138">
        <v>37216.97</v>
      </c>
      <c r="Q12" s="138">
        <v>0</v>
      </c>
      <c r="R12" s="138">
        <v>0</v>
      </c>
      <c r="S12" s="138">
        <v>0</v>
      </c>
      <c r="T12" s="138">
        <v>59328.13</v>
      </c>
    </row>
    <row r="13" spans="1:20">
      <c r="A13" s="39">
        <v>9</v>
      </c>
      <c r="B13" s="144" t="s">
        <v>173</v>
      </c>
      <c r="C13" s="145"/>
      <c r="D13" s="141">
        <v>0</v>
      </c>
      <c r="E13" s="141">
        <v>239.71899999999999</v>
      </c>
      <c r="F13" s="141">
        <v>957.69600000000003</v>
      </c>
      <c r="G13" s="137">
        <v>2842.3040000000001</v>
      </c>
      <c r="H13" s="137"/>
      <c r="I13" s="36">
        <v>0</v>
      </c>
      <c r="J13" s="36">
        <v>0</v>
      </c>
      <c r="K13" s="37">
        <v>0</v>
      </c>
      <c r="L13" s="138">
        <v>0</v>
      </c>
      <c r="M13" s="138">
        <v>0</v>
      </c>
      <c r="N13" s="138">
        <v>27567.69</v>
      </c>
      <c r="O13" s="138">
        <v>13695.05</v>
      </c>
      <c r="P13" s="138">
        <v>40644.949999999997</v>
      </c>
      <c r="Q13" s="138">
        <v>0</v>
      </c>
      <c r="R13" s="138">
        <v>0</v>
      </c>
      <c r="S13" s="138">
        <v>0</v>
      </c>
      <c r="T13" s="138">
        <v>81907.69</v>
      </c>
    </row>
    <row r="14" spans="1:20">
      <c r="A14" s="39">
        <v>10</v>
      </c>
      <c r="B14" s="144" t="s">
        <v>174</v>
      </c>
      <c r="C14" s="145"/>
      <c r="D14" s="141">
        <v>0</v>
      </c>
      <c r="E14" s="141">
        <v>217.52199999999999</v>
      </c>
      <c r="F14" s="141">
        <v>740.17399999999998</v>
      </c>
      <c r="G14" s="137">
        <v>3059.826</v>
      </c>
      <c r="H14" s="137"/>
      <c r="I14" s="36">
        <v>0</v>
      </c>
      <c r="J14" s="36">
        <v>0</v>
      </c>
      <c r="K14" s="37">
        <v>0</v>
      </c>
      <c r="L14" s="138">
        <v>0</v>
      </c>
      <c r="M14" s="138">
        <v>0</v>
      </c>
      <c r="N14" s="138">
        <v>25015.03</v>
      </c>
      <c r="O14" s="138">
        <v>10584.49</v>
      </c>
      <c r="P14" s="138">
        <v>43755.51</v>
      </c>
      <c r="Q14" s="138">
        <v>0</v>
      </c>
      <c r="R14" s="138">
        <v>0</v>
      </c>
      <c r="S14" s="138">
        <v>0</v>
      </c>
      <c r="T14" s="138">
        <v>79355.03</v>
      </c>
    </row>
    <row r="15" spans="1:20">
      <c r="A15" s="39">
        <v>11</v>
      </c>
      <c r="B15" s="144" t="s">
        <v>175</v>
      </c>
      <c r="C15" s="145"/>
      <c r="D15" s="141">
        <v>0</v>
      </c>
      <c r="E15" s="141">
        <v>258.71300000000002</v>
      </c>
      <c r="F15" s="141">
        <v>481.46100000000001</v>
      </c>
      <c r="G15" s="137">
        <v>3318.5389999999998</v>
      </c>
      <c r="H15" s="137"/>
      <c r="I15" s="36">
        <v>0</v>
      </c>
      <c r="J15" s="36">
        <v>0</v>
      </c>
      <c r="K15" s="37">
        <v>0</v>
      </c>
      <c r="L15" s="138">
        <v>0</v>
      </c>
      <c r="M15" s="138">
        <v>0</v>
      </c>
      <c r="N15" s="138">
        <v>29752</v>
      </c>
      <c r="O15" s="138">
        <v>6884.89</v>
      </c>
      <c r="P15" s="138">
        <v>47455.11</v>
      </c>
      <c r="Q15" s="138">
        <v>0</v>
      </c>
      <c r="R15" s="138">
        <v>0</v>
      </c>
      <c r="S15" s="138">
        <v>0</v>
      </c>
      <c r="T15" s="138">
        <v>84092</v>
      </c>
    </row>
    <row r="16" spans="1:20">
      <c r="A16" s="39">
        <v>12</v>
      </c>
      <c r="B16" s="144" t="s">
        <v>176</v>
      </c>
      <c r="C16" s="145"/>
      <c r="D16" s="141">
        <v>0</v>
      </c>
      <c r="E16" s="141">
        <v>153.80000000000001</v>
      </c>
      <c r="F16" s="141">
        <v>327.661</v>
      </c>
      <c r="G16" s="137">
        <v>3472.3389999999999</v>
      </c>
      <c r="H16" s="137"/>
      <c r="I16" s="36">
        <v>0</v>
      </c>
      <c r="J16" s="36">
        <v>0</v>
      </c>
      <c r="K16" s="37">
        <v>0</v>
      </c>
      <c r="L16" s="138">
        <v>0</v>
      </c>
      <c r="M16" s="138">
        <v>0</v>
      </c>
      <c r="N16" s="138">
        <v>17687</v>
      </c>
      <c r="O16" s="138">
        <v>4685.55</v>
      </c>
      <c r="P16" s="138">
        <v>49654.45</v>
      </c>
      <c r="Q16" s="138">
        <v>0</v>
      </c>
      <c r="R16" s="138">
        <v>0</v>
      </c>
      <c r="S16" s="138">
        <v>0</v>
      </c>
      <c r="T16" s="138">
        <v>72027</v>
      </c>
    </row>
    <row r="17" spans="1:20">
      <c r="A17" s="39">
        <v>13</v>
      </c>
      <c r="B17" s="144" t="s">
        <v>177</v>
      </c>
      <c r="C17" s="145"/>
      <c r="D17" s="141">
        <v>0</v>
      </c>
      <c r="E17" s="141">
        <v>244.03399999999999</v>
      </c>
      <c r="F17" s="141">
        <v>83.626999999999995</v>
      </c>
      <c r="G17" s="137">
        <v>3716.373</v>
      </c>
      <c r="H17" s="137"/>
      <c r="I17" s="36">
        <v>0</v>
      </c>
      <c r="J17" s="36">
        <v>0</v>
      </c>
      <c r="K17" s="37">
        <v>0</v>
      </c>
      <c r="L17" s="138">
        <v>0</v>
      </c>
      <c r="M17" s="138">
        <v>0</v>
      </c>
      <c r="N17" s="138">
        <v>28063.91</v>
      </c>
      <c r="O17" s="138">
        <v>1195.8699999999999</v>
      </c>
      <c r="P17" s="138">
        <v>53144.13</v>
      </c>
      <c r="Q17" s="138">
        <v>0</v>
      </c>
      <c r="R17" s="138">
        <v>0</v>
      </c>
      <c r="S17" s="138">
        <v>0</v>
      </c>
      <c r="T17" s="138">
        <v>82403.91</v>
      </c>
    </row>
    <row r="18" spans="1:20">
      <c r="A18" s="39">
        <v>14</v>
      </c>
      <c r="B18" s="144" t="s">
        <v>178</v>
      </c>
      <c r="C18" s="145"/>
      <c r="D18" s="141">
        <v>0</v>
      </c>
      <c r="E18" s="141">
        <v>83.626999999999995</v>
      </c>
      <c r="F18" s="141">
        <v>0</v>
      </c>
      <c r="G18" s="137">
        <v>3800</v>
      </c>
      <c r="H18" s="137"/>
      <c r="I18" s="36">
        <v>0</v>
      </c>
      <c r="J18" s="36">
        <v>0</v>
      </c>
      <c r="K18" s="37">
        <v>0</v>
      </c>
      <c r="L18" s="138">
        <v>0</v>
      </c>
      <c r="M18" s="138">
        <v>0</v>
      </c>
      <c r="N18" s="138">
        <v>9617.11</v>
      </c>
      <c r="O18" s="138">
        <v>0</v>
      </c>
      <c r="P18" s="138">
        <v>54340</v>
      </c>
      <c r="Q18" s="138">
        <v>0</v>
      </c>
      <c r="R18" s="138">
        <v>0</v>
      </c>
      <c r="S18" s="138">
        <v>0</v>
      </c>
      <c r="T18" s="138">
        <v>63957.11</v>
      </c>
    </row>
    <row r="19" spans="1:20">
      <c r="A19" s="39">
        <v>15</v>
      </c>
      <c r="B19" s="144" t="s">
        <v>179</v>
      </c>
      <c r="C19" s="145"/>
      <c r="D19" s="141">
        <v>0</v>
      </c>
      <c r="E19" s="141">
        <v>0</v>
      </c>
      <c r="F19" s="141">
        <v>0</v>
      </c>
      <c r="G19" s="137">
        <v>3800</v>
      </c>
      <c r="H19" s="137"/>
      <c r="I19" s="36">
        <v>0</v>
      </c>
      <c r="J19" s="36">
        <v>0</v>
      </c>
      <c r="K19" s="37">
        <v>0</v>
      </c>
      <c r="L19" s="138">
        <v>0</v>
      </c>
      <c r="M19" s="138">
        <v>0</v>
      </c>
      <c r="N19" s="138">
        <v>0</v>
      </c>
      <c r="O19" s="138">
        <v>0</v>
      </c>
      <c r="P19" s="138">
        <v>54340</v>
      </c>
      <c r="Q19" s="138">
        <v>0</v>
      </c>
      <c r="R19" s="138">
        <v>0</v>
      </c>
      <c r="S19" s="138">
        <v>0</v>
      </c>
      <c r="T19" s="138">
        <v>54340</v>
      </c>
    </row>
    <row r="20" spans="1:20">
      <c r="A20" s="39">
        <v>16</v>
      </c>
      <c r="B20" s="144" t="s">
        <v>180</v>
      </c>
      <c r="C20" s="145"/>
      <c r="D20" s="141">
        <v>0</v>
      </c>
      <c r="E20" s="141">
        <v>0</v>
      </c>
      <c r="F20" s="141">
        <v>0</v>
      </c>
      <c r="G20" s="137">
        <v>3800</v>
      </c>
      <c r="H20" s="137"/>
      <c r="I20" s="36">
        <v>0</v>
      </c>
      <c r="J20" s="36">
        <v>0</v>
      </c>
      <c r="K20" s="37">
        <v>0</v>
      </c>
      <c r="L20" s="138">
        <v>0</v>
      </c>
      <c r="M20" s="138">
        <v>0</v>
      </c>
      <c r="N20" s="138">
        <v>0</v>
      </c>
      <c r="O20" s="138">
        <v>0</v>
      </c>
      <c r="P20" s="138">
        <v>54340</v>
      </c>
      <c r="Q20" s="138">
        <v>0</v>
      </c>
      <c r="R20" s="138">
        <v>0</v>
      </c>
      <c r="S20" s="138">
        <v>0</v>
      </c>
      <c r="T20" s="138">
        <v>54340</v>
      </c>
    </row>
    <row r="21" spans="1:20">
      <c r="A21" s="39">
        <v>17</v>
      </c>
      <c r="B21" s="144" t="s">
        <v>181</v>
      </c>
      <c r="C21" s="145"/>
      <c r="D21" s="141">
        <v>0</v>
      </c>
      <c r="E21" s="141">
        <v>0</v>
      </c>
      <c r="F21" s="141">
        <v>0</v>
      </c>
      <c r="G21" s="137">
        <v>3800</v>
      </c>
      <c r="H21" s="137"/>
      <c r="I21" s="36">
        <v>0</v>
      </c>
      <c r="J21" s="36">
        <v>0</v>
      </c>
      <c r="K21" s="37">
        <v>0</v>
      </c>
      <c r="L21" s="138">
        <v>0</v>
      </c>
      <c r="M21" s="138">
        <v>0</v>
      </c>
      <c r="N21" s="138">
        <v>0</v>
      </c>
      <c r="O21" s="138">
        <v>0</v>
      </c>
      <c r="P21" s="138">
        <v>54340</v>
      </c>
      <c r="Q21" s="138">
        <v>0</v>
      </c>
      <c r="R21" s="138">
        <v>0</v>
      </c>
      <c r="S21" s="138">
        <v>0</v>
      </c>
      <c r="T21" s="138">
        <v>54340</v>
      </c>
    </row>
    <row r="22" spans="1:20">
      <c r="A22" s="39">
        <v>18</v>
      </c>
      <c r="B22" s="144" t="s">
        <v>182</v>
      </c>
      <c r="C22" s="145"/>
      <c r="D22" s="141">
        <v>0</v>
      </c>
      <c r="E22" s="141">
        <v>0</v>
      </c>
      <c r="F22" s="141">
        <v>0</v>
      </c>
      <c r="G22" s="137">
        <v>3800</v>
      </c>
      <c r="H22" s="137"/>
      <c r="I22" s="36">
        <v>0</v>
      </c>
      <c r="J22" s="36">
        <v>0</v>
      </c>
      <c r="K22" s="37">
        <v>0</v>
      </c>
      <c r="L22" s="138">
        <v>0</v>
      </c>
      <c r="M22" s="138">
        <v>0</v>
      </c>
      <c r="N22" s="138">
        <v>0</v>
      </c>
      <c r="O22" s="138">
        <v>0</v>
      </c>
      <c r="P22" s="138">
        <v>54340</v>
      </c>
      <c r="Q22" s="138">
        <v>0</v>
      </c>
      <c r="R22" s="138">
        <v>0</v>
      </c>
      <c r="S22" s="138">
        <v>0</v>
      </c>
      <c r="T22" s="138">
        <v>54340</v>
      </c>
    </row>
    <row r="23" spans="1:20">
      <c r="A23" s="39">
        <v>19</v>
      </c>
      <c r="B23" s="144" t="s">
        <v>183</v>
      </c>
      <c r="C23" s="145"/>
      <c r="D23" s="141">
        <v>0</v>
      </c>
      <c r="E23" s="141">
        <v>0</v>
      </c>
      <c r="F23" s="141">
        <v>0</v>
      </c>
      <c r="G23" s="137">
        <v>3800</v>
      </c>
      <c r="H23" s="137"/>
      <c r="I23" s="36">
        <v>0</v>
      </c>
      <c r="J23" s="36">
        <v>0</v>
      </c>
      <c r="K23" s="37">
        <v>0</v>
      </c>
      <c r="L23" s="138">
        <v>0</v>
      </c>
      <c r="M23" s="138">
        <v>0</v>
      </c>
      <c r="N23" s="138">
        <v>0</v>
      </c>
      <c r="O23" s="138">
        <v>0</v>
      </c>
      <c r="P23" s="138">
        <v>54340</v>
      </c>
      <c r="Q23" s="138">
        <v>0</v>
      </c>
      <c r="R23" s="138">
        <v>0</v>
      </c>
      <c r="S23" s="138">
        <v>0</v>
      </c>
      <c r="T23" s="138">
        <v>54340</v>
      </c>
    </row>
    <row r="24" spans="1:20">
      <c r="A24" s="39">
        <v>20</v>
      </c>
      <c r="B24" s="144" t="s">
        <v>184</v>
      </c>
      <c r="C24" s="145"/>
      <c r="D24" s="141">
        <v>0</v>
      </c>
      <c r="E24" s="141">
        <v>0</v>
      </c>
      <c r="F24" s="141">
        <v>0</v>
      </c>
      <c r="G24" s="137">
        <v>3800</v>
      </c>
      <c r="H24" s="137"/>
      <c r="I24" s="36">
        <v>0</v>
      </c>
      <c r="J24" s="36">
        <v>0</v>
      </c>
      <c r="K24" s="37">
        <v>0</v>
      </c>
      <c r="L24" s="138">
        <v>0</v>
      </c>
      <c r="M24" s="138">
        <v>0</v>
      </c>
      <c r="N24" s="138">
        <v>0</v>
      </c>
      <c r="O24" s="138">
        <v>0</v>
      </c>
      <c r="P24" s="138">
        <v>54340</v>
      </c>
      <c r="Q24" s="138">
        <v>0</v>
      </c>
      <c r="R24" s="138">
        <v>0</v>
      </c>
      <c r="S24" s="138">
        <v>0</v>
      </c>
      <c r="T24" s="138">
        <v>54340</v>
      </c>
    </row>
    <row r="25" spans="1:20">
      <c r="A25" s="39">
        <v>21</v>
      </c>
      <c r="B25" s="144" t="s">
        <v>185</v>
      </c>
      <c r="C25" s="145"/>
      <c r="D25" s="141">
        <v>0</v>
      </c>
      <c r="E25" s="141">
        <v>0</v>
      </c>
      <c r="F25" s="141">
        <v>0</v>
      </c>
      <c r="G25" s="137">
        <v>3800</v>
      </c>
      <c r="H25" s="137"/>
      <c r="I25" s="36">
        <v>0</v>
      </c>
      <c r="J25" s="36">
        <v>0</v>
      </c>
      <c r="K25" s="37">
        <v>0</v>
      </c>
      <c r="L25" s="138">
        <v>0</v>
      </c>
      <c r="M25" s="138">
        <v>0</v>
      </c>
      <c r="N25" s="138">
        <v>0</v>
      </c>
      <c r="O25" s="138">
        <v>0</v>
      </c>
      <c r="P25" s="138">
        <v>54340</v>
      </c>
      <c r="Q25" s="138">
        <v>0</v>
      </c>
      <c r="R25" s="138">
        <v>0</v>
      </c>
      <c r="S25" s="138">
        <v>0</v>
      </c>
      <c r="T25" s="138">
        <v>54340</v>
      </c>
    </row>
    <row r="26" spans="1:20">
      <c r="A26" s="39">
        <v>22</v>
      </c>
      <c r="B26" s="144" t="s">
        <v>186</v>
      </c>
      <c r="C26" s="145"/>
      <c r="D26" s="141">
        <v>0</v>
      </c>
      <c r="E26" s="141">
        <v>0</v>
      </c>
      <c r="F26" s="141">
        <v>0</v>
      </c>
      <c r="G26" s="137">
        <v>3800</v>
      </c>
      <c r="H26" s="137"/>
      <c r="I26" s="36">
        <v>0</v>
      </c>
      <c r="J26" s="36">
        <v>0</v>
      </c>
      <c r="K26" s="37">
        <v>0</v>
      </c>
      <c r="L26" s="138">
        <v>0</v>
      </c>
      <c r="M26" s="138">
        <v>0</v>
      </c>
      <c r="N26" s="138">
        <v>0</v>
      </c>
      <c r="O26" s="138">
        <v>0</v>
      </c>
      <c r="P26" s="138">
        <v>54340</v>
      </c>
      <c r="Q26" s="138">
        <v>0</v>
      </c>
      <c r="R26" s="138">
        <v>0</v>
      </c>
      <c r="S26" s="138">
        <v>0</v>
      </c>
      <c r="T26" s="138">
        <v>54340</v>
      </c>
    </row>
    <row r="27" spans="1:20">
      <c r="A27" s="39">
        <v>23</v>
      </c>
      <c r="B27" s="144" t="s">
        <v>187</v>
      </c>
      <c r="C27" s="145"/>
      <c r="D27" s="141">
        <v>0</v>
      </c>
      <c r="E27" s="141">
        <v>0</v>
      </c>
      <c r="F27" s="141">
        <v>0</v>
      </c>
      <c r="G27" s="137">
        <v>3800</v>
      </c>
      <c r="H27" s="137"/>
      <c r="I27" s="36">
        <v>0</v>
      </c>
      <c r="J27" s="36">
        <v>0</v>
      </c>
      <c r="K27" s="37">
        <v>0</v>
      </c>
      <c r="L27" s="138">
        <v>0</v>
      </c>
      <c r="M27" s="138">
        <v>0</v>
      </c>
      <c r="N27" s="138">
        <v>0</v>
      </c>
      <c r="O27" s="138">
        <v>0</v>
      </c>
      <c r="P27" s="138">
        <v>54340</v>
      </c>
      <c r="Q27" s="138">
        <v>0</v>
      </c>
      <c r="R27" s="138">
        <v>0</v>
      </c>
      <c r="S27" s="138">
        <v>0</v>
      </c>
      <c r="T27" s="138">
        <v>54340</v>
      </c>
    </row>
    <row r="28" spans="1:20">
      <c r="A28" s="39">
        <v>24</v>
      </c>
      <c r="B28" s="144" t="s">
        <v>188</v>
      </c>
      <c r="C28" s="145"/>
      <c r="D28" s="141">
        <v>0</v>
      </c>
      <c r="E28" s="141">
        <v>0</v>
      </c>
      <c r="F28" s="141">
        <v>0</v>
      </c>
      <c r="G28" s="137">
        <v>3800</v>
      </c>
      <c r="H28" s="137"/>
      <c r="I28" s="36">
        <v>0</v>
      </c>
      <c r="J28" s="36">
        <v>0</v>
      </c>
      <c r="K28" s="37">
        <v>0</v>
      </c>
      <c r="L28" s="138">
        <v>0</v>
      </c>
      <c r="M28" s="138">
        <v>0</v>
      </c>
      <c r="N28" s="138">
        <v>0</v>
      </c>
      <c r="O28" s="138">
        <v>0</v>
      </c>
      <c r="P28" s="138">
        <v>54340</v>
      </c>
      <c r="Q28" s="138">
        <v>0</v>
      </c>
      <c r="R28" s="138">
        <v>0</v>
      </c>
      <c r="S28" s="138">
        <v>0</v>
      </c>
      <c r="T28" s="138">
        <v>54340</v>
      </c>
    </row>
    <row r="29" spans="1:20">
      <c r="A29" s="39">
        <v>25</v>
      </c>
      <c r="B29" s="144" t="s">
        <v>189</v>
      </c>
      <c r="C29" s="145"/>
      <c r="D29" s="141">
        <v>0</v>
      </c>
      <c r="E29" s="141">
        <v>0</v>
      </c>
      <c r="F29" s="141">
        <v>0</v>
      </c>
      <c r="G29" s="137">
        <v>3800</v>
      </c>
      <c r="H29" s="137"/>
      <c r="I29" s="36">
        <v>0</v>
      </c>
      <c r="J29" s="36">
        <v>0</v>
      </c>
      <c r="K29" s="37">
        <v>0</v>
      </c>
      <c r="L29" s="138">
        <v>0</v>
      </c>
      <c r="M29" s="138">
        <v>0</v>
      </c>
      <c r="N29" s="138">
        <v>0</v>
      </c>
      <c r="O29" s="138">
        <v>0</v>
      </c>
      <c r="P29" s="138">
        <v>54340</v>
      </c>
      <c r="Q29" s="138">
        <v>0</v>
      </c>
      <c r="R29" s="138">
        <v>0</v>
      </c>
      <c r="S29" s="138">
        <v>0</v>
      </c>
      <c r="T29" s="138">
        <v>54340</v>
      </c>
    </row>
    <row r="30" spans="1:20">
      <c r="A30" s="39">
        <v>26</v>
      </c>
      <c r="B30" s="144" t="s">
        <v>190</v>
      </c>
      <c r="C30" s="145"/>
      <c r="D30" s="141">
        <v>0</v>
      </c>
      <c r="E30" s="141">
        <v>0</v>
      </c>
      <c r="F30" s="141">
        <v>0</v>
      </c>
      <c r="G30" s="137">
        <v>3800</v>
      </c>
      <c r="H30" s="137"/>
      <c r="I30" s="36">
        <v>0</v>
      </c>
      <c r="J30" s="36">
        <v>0</v>
      </c>
      <c r="K30" s="37">
        <v>0</v>
      </c>
      <c r="L30" s="138">
        <v>0</v>
      </c>
      <c r="M30" s="138">
        <v>0</v>
      </c>
      <c r="N30" s="138">
        <v>0</v>
      </c>
      <c r="O30" s="138">
        <v>0</v>
      </c>
      <c r="P30" s="138">
        <v>54340</v>
      </c>
      <c r="Q30" s="138">
        <v>0</v>
      </c>
      <c r="R30" s="138">
        <v>0</v>
      </c>
      <c r="S30" s="138">
        <v>0</v>
      </c>
      <c r="T30" s="138">
        <v>54340</v>
      </c>
    </row>
    <row r="31" spans="1:20">
      <c r="A31" s="39">
        <v>27</v>
      </c>
      <c r="B31" s="144" t="s">
        <v>191</v>
      </c>
      <c r="C31" s="145"/>
      <c r="D31" s="141">
        <v>0</v>
      </c>
      <c r="E31" s="141">
        <v>0</v>
      </c>
      <c r="F31" s="141">
        <v>0</v>
      </c>
      <c r="G31" s="137">
        <v>3800</v>
      </c>
      <c r="H31" s="137"/>
      <c r="I31" s="36">
        <v>0</v>
      </c>
      <c r="J31" s="36">
        <v>0</v>
      </c>
      <c r="K31" s="37">
        <v>0</v>
      </c>
      <c r="L31" s="138">
        <v>0</v>
      </c>
      <c r="M31" s="138">
        <v>0</v>
      </c>
      <c r="N31" s="138">
        <v>0</v>
      </c>
      <c r="O31" s="138">
        <v>0</v>
      </c>
      <c r="P31" s="138">
        <v>54340</v>
      </c>
      <c r="Q31" s="138">
        <v>0</v>
      </c>
      <c r="R31" s="138">
        <v>0</v>
      </c>
      <c r="S31" s="138">
        <v>0</v>
      </c>
      <c r="T31" s="138">
        <v>54340</v>
      </c>
    </row>
    <row r="32" spans="1:20">
      <c r="A32" s="39">
        <v>28</v>
      </c>
      <c r="B32" s="144" t="s">
        <v>192</v>
      </c>
      <c r="C32" s="145"/>
      <c r="D32" s="141">
        <v>0</v>
      </c>
      <c r="E32" s="141">
        <v>0</v>
      </c>
      <c r="F32" s="141">
        <v>0</v>
      </c>
      <c r="G32" s="137">
        <v>3800</v>
      </c>
      <c r="H32" s="137"/>
      <c r="I32" s="36">
        <v>0</v>
      </c>
      <c r="J32" s="36">
        <v>0</v>
      </c>
      <c r="K32" s="37">
        <v>0</v>
      </c>
      <c r="L32" s="138">
        <v>0</v>
      </c>
      <c r="M32" s="138">
        <v>0</v>
      </c>
      <c r="N32" s="138">
        <v>0</v>
      </c>
      <c r="O32" s="138">
        <v>0</v>
      </c>
      <c r="P32" s="138">
        <v>54340</v>
      </c>
      <c r="Q32" s="138">
        <v>0</v>
      </c>
      <c r="R32" s="138">
        <v>0</v>
      </c>
      <c r="S32" s="138">
        <v>0</v>
      </c>
      <c r="T32" s="138">
        <v>54340</v>
      </c>
    </row>
    <row r="33" spans="1:20">
      <c r="A33" s="39">
        <v>29</v>
      </c>
      <c r="B33" s="144" t="s">
        <v>193</v>
      </c>
      <c r="C33" s="145"/>
      <c r="D33" s="141">
        <v>0</v>
      </c>
      <c r="E33" s="141">
        <v>0</v>
      </c>
      <c r="F33" s="141">
        <v>0</v>
      </c>
      <c r="G33" s="137">
        <v>3800</v>
      </c>
      <c r="H33" s="137"/>
      <c r="I33" s="36">
        <v>0</v>
      </c>
      <c r="J33" s="36">
        <v>0</v>
      </c>
      <c r="K33" s="37">
        <v>0</v>
      </c>
      <c r="L33" s="138">
        <v>0</v>
      </c>
      <c r="M33" s="138">
        <v>0</v>
      </c>
      <c r="N33" s="138">
        <v>0</v>
      </c>
      <c r="O33" s="138">
        <v>0</v>
      </c>
      <c r="P33" s="138">
        <v>54340</v>
      </c>
      <c r="Q33" s="138">
        <v>0</v>
      </c>
      <c r="R33" s="138">
        <v>0</v>
      </c>
      <c r="S33" s="138">
        <v>0</v>
      </c>
      <c r="T33" s="138">
        <v>54340</v>
      </c>
    </row>
    <row r="34" spans="1:20">
      <c r="A34" s="39">
        <v>30</v>
      </c>
      <c r="B34" s="144" t="s">
        <v>194</v>
      </c>
      <c r="C34" s="145"/>
      <c r="D34" s="141">
        <v>0</v>
      </c>
      <c r="E34" s="141">
        <v>0</v>
      </c>
      <c r="F34" s="141">
        <v>0</v>
      </c>
      <c r="G34" s="137">
        <v>3800</v>
      </c>
      <c r="H34" s="137"/>
      <c r="I34" s="36">
        <v>0</v>
      </c>
      <c r="J34" s="36">
        <v>0</v>
      </c>
      <c r="K34" s="37">
        <v>0</v>
      </c>
      <c r="L34" s="138">
        <v>0</v>
      </c>
      <c r="M34" s="138">
        <v>0</v>
      </c>
      <c r="N34" s="138">
        <v>0</v>
      </c>
      <c r="O34" s="138">
        <v>0</v>
      </c>
      <c r="P34" s="138">
        <v>54340</v>
      </c>
      <c r="Q34" s="138">
        <v>0</v>
      </c>
      <c r="R34" s="138">
        <v>0</v>
      </c>
      <c r="S34" s="138">
        <v>0</v>
      </c>
      <c r="T34" s="138">
        <v>54340</v>
      </c>
    </row>
    <row r="35" spans="1:20">
      <c r="A35" s="39">
        <v>31</v>
      </c>
      <c r="B35" s="144"/>
      <c r="C35" s="145"/>
      <c r="D35" s="141">
        <v>0</v>
      </c>
      <c r="E35" s="141">
        <v>0</v>
      </c>
      <c r="F35" s="141">
        <v>0</v>
      </c>
      <c r="G35" s="137">
        <v>0</v>
      </c>
      <c r="H35" s="137"/>
      <c r="I35" s="36">
        <v>0</v>
      </c>
      <c r="J35" s="36">
        <v>0</v>
      </c>
      <c r="K35" s="37">
        <v>0</v>
      </c>
      <c r="L35" s="138">
        <v>0</v>
      </c>
      <c r="M35" s="138">
        <v>0</v>
      </c>
      <c r="N35" s="138">
        <v>0</v>
      </c>
      <c r="O35" s="138">
        <v>0</v>
      </c>
      <c r="P35" s="138">
        <v>0</v>
      </c>
      <c r="Q35" s="138">
        <v>0</v>
      </c>
      <c r="R35" s="138">
        <v>0</v>
      </c>
      <c r="S35" s="138">
        <v>0</v>
      </c>
      <c r="T35" s="138">
        <v>0</v>
      </c>
    </row>
    <row r="36" spans="1:20">
      <c r="D36" s="43">
        <v>0</v>
      </c>
      <c r="E36" s="43">
        <v>1306.79</v>
      </c>
      <c r="F36" s="43">
        <v>12649.563999999998</v>
      </c>
      <c r="G36" s="43">
        <v>101350.43599999999</v>
      </c>
      <c r="H36" s="43">
        <v>0</v>
      </c>
      <c r="I36" s="43">
        <v>0</v>
      </c>
      <c r="J36" s="43">
        <v>0</v>
      </c>
      <c r="K36" s="44">
        <v>0</v>
      </c>
      <c r="L36" s="139">
        <v>0</v>
      </c>
      <c r="M36" s="139">
        <v>0</v>
      </c>
      <c r="N36" s="139">
        <v>150280.85</v>
      </c>
      <c r="O36" s="139">
        <v>180888.77</v>
      </c>
      <c r="P36" s="139">
        <v>1449311.23</v>
      </c>
      <c r="Q36" s="139">
        <v>0</v>
      </c>
      <c r="R36" s="139">
        <v>0</v>
      </c>
      <c r="S36" s="139">
        <v>0</v>
      </c>
      <c r="T36" s="139">
        <v>1780480.85</v>
      </c>
    </row>
    <row r="37" spans="1:20">
      <c r="R37" s="46"/>
      <c r="S37" s="46"/>
      <c r="T37" s="140">
        <v>2172186.64</v>
      </c>
    </row>
  </sheetData>
  <mergeCells count="50"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DB588-80AD-4B11-A3B7-5962B593A782}">
  <sheetPr>
    <pageSetUpPr fitToPage="1"/>
  </sheetPr>
  <dimension ref="A1:T37"/>
  <sheetViews>
    <sheetView topLeftCell="A14" workbookViewId="0">
      <selection activeCell="G5" sqref="G5:G35"/>
    </sheetView>
  </sheetViews>
  <sheetFormatPr defaultRowHeight="15"/>
  <cols>
    <col min="1" max="3" width="9.140625" style="28"/>
    <col min="4" max="4" width="10.7109375" style="28" customWidth="1"/>
    <col min="5" max="6" width="12" style="28" customWidth="1"/>
    <col min="7" max="7" width="11.85546875" style="28" customWidth="1"/>
    <col min="8" max="8" width="11.42578125" style="28" customWidth="1"/>
    <col min="9" max="9" width="10.5703125" style="28" bestFit="1" customWidth="1"/>
    <col min="10" max="10" width="9.42578125" style="28" bestFit="1" customWidth="1"/>
    <col min="11" max="12" width="9.140625" style="28"/>
    <col min="13" max="13" width="13.140625" style="28" customWidth="1"/>
    <col min="14" max="14" width="13.5703125" style="28" customWidth="1"/>
    <col min="15" max="15" width="14.5703125" style="28" customWidth="1"/>
    <col min="16" max="16" width="14.5703125" style="28" bestFit="1" customWidth="1"/>
    <col min="17" max="17" width="15" style="28" customWidth="1"/>
    <col min="18" max="18" width="13.28515625" style="28" customWidth="1"/>
    <col min="19" max="19" width="11.7109375" style="28" customWidth="1"/>
    <col min="20" max="20" width="24.28515625" style="28" customWidth="1"/>
    <col min="21" max="16384" width="9.140625" style="28"/>
  </cols>
  <sheetData>
    <row r="1" spans="1:20">
      <c r="I1" s="29"/>
    </row>
    <row r="2" spans="1:20" ht="28.9" customHeight="1">
      <c r="A2" s="149" t="s">
        <v>214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</row>
    <row r="3" spans="1:20" ht="28.9" customHeight="1">
      <c r="A3" s="146" t="s">
        <v>0</v>
      </c>
      <c r="B3" s="150" t="s">
        <v>1</v>
      </c>
      <c r="C3" s="151"/>
      <c r="D3" s="146" t="s">
        <v>2</v>
      </c>
      <c r="E3" s="146" t="s">
        <v>3</v>
      </c>
      <c r="F3" s="30" t="s">
        <v>4</v>
      </c>
      <c r="G3" s="146" t="s">
        <v>213</v>
      </c>
      <c r="H3" s="146" t="s">
        <v>157</v>
      </c>
      <c r="I3" s="146" t="s">
        <v>7</v>
      </c>
      <c r="J3" s="146" t="s">
        <v>8</v>
      </c>
      <c r="K3" s="146" t="s">
        <v>158</v>
      </c>
      <c r="L3" s="146" t="s">
        <v>159</v>
      </c>
      <c r="M3" s="146" t="s">
        <v>11</v>
      </c>
      <c r="N3" s="146" t="s">
        <v>12</v>
      </c>
      <c r="O3" s="146" t="s">
        <v>13</v>
      </c>
      <c r="P3" s="146" t="s">
        <v>14</v>
      </c>
      <c r="Q3" s="146" t="s">
        <v>15</v>
      </c>
      <c r="R3" s="146" t="s">
        <v>16</v>
      </c>
      <c r="S3" s="146" t="s">
        <v>17</v>
      </c>
      <c r="T3" s="146" t="s">
        <v>18</v>
      </c>
    </row>
    <row r="4" spans="1:20">
      <c r="A4" s="147"/>
      <c r="B4" s="152"/>
      <c r="C4" s="153"/>
      <c r="D4" s="147"/>
      <c r="E4" s="147"/>
      <c r="F4" s="31"/>
      <c r="G4" s="147"/>
      <c r="H4" s="147"/>
      <c r="I4" s="147"/>
      <c r="J4" s="147"/>
      <c r="K4" s="148"/>
      <c r="L4" s="148"/>
      <c r="M4" s="147"/>
      <c r="N4" s="147"/>
      <c r="O4" s="147"/>
      <c r="P4" s="147"/>
      <c r="Q4" s="147"/>
      <c r="R4" s="147"/>
      <c r="S4" s="147"/>
      <c r="T4" s="147"/>
    </row>
    <row r="5" spans="1:20">
      <c r="A5" s="39">
        <v>1</v>
      </c>
      <c r="B5" s="144" t="s">
        <v>165</v>
      </c>
      <c r="C5" s="145"/>
      <c r="D5" s="141">
        <v>0</v>
      </c>
      <c r="E5" s="141">
        <v>0</v>
      </c>
      <c r="F5" s="141">
        <v>1306.79</v>
      </c>
      <c r="G5" s="137">
        <v>2493.21</v>
      </c>
      <c r="H5" s="137"/>
      <c r="I5" s="36">
        <v>0</v>
      </c>
      <c r="J5" s="36">
        <v>0</v>
      </c>
      <c r="K5" s="37">
        <v>0</v>
      </c>
      <c r="L5" s="138">
        <v>0</v>
      </c>
      <c r="M5" s="138">
        <v>0</v>
      </c>
      <c r="N5" s="138">
        <v>0</v>
      </c>
      <c r="O5" s="138">
        <v>18687.099999999999</v>
      </c>
      <c r="P5" s="138">
        <v>35652.9</v>
      </c>
      <c r="Q5" s="138">
        <v>0</v>
      </c>
      <c r="R5" s="138">
        <v>0</v>
      </c>
      <c r="S5" s="138">
        <v>0</v>
      </c>
      <c r="T5" s="138">
        <v>54340</v>
      </c>
    </row>
    <row r="6" spans="1:20">
      <c r="A6" s="39">
        <v>2</v>
      </c>
      <c r="B6" s="144" t="s">
        <v>166</v>
      </c>
      <c r="C6" s="145"/>
      <c r="D6" s="141">
        <v>0</v>
      </c>
      <c r="E6" s="141">
        <v>22</v>
      </c>
      <c r="F6" s="141">
        <v>1284.79</v>
      </c>
      <c r="G6" s="137">
        <v>2515.21</v>
      </c>
      <c r="H6" s="137"/>
      <c r="I6" s="36">
        <v>0</v>
      </c>
      <c r="J6" s="36">
        <v>0</v>
      </c>
      <c r="K6" s="37">
        <v>0</v>
      </c>
      <c r="L6" s="138">
        <v>0</v>
      </c>
      <c r="M6" s="138">
        <v>0</v>
      </c>
      <c r="N6" s="138">
        <v>2530</v>
      </c>
      <c r="O6" s="138">
        <v>18372.5</v>
      </c>
      <c r="P6" s="138">
        <v>35967.5</v>
      </c>
      <c r="Q6" s="138">
        <v>0</v>
      </c>
      <c r="R6" s="138">
        <v>0</v>
      </c>
      <c r="S6" s="138">
        <v>0</v>
      </c>
      <c r="T6" s="138">
        <v>56870</v>
      </c>
    </row>
    <row r="7" spans="1:20">
      <c r="A7" s="39">
        <v>3</v>
      </c>
      <c r="B7" s="144" t="s">
        <v>167</v>
      </c>
      <c r="C7" s="145"/>
      <c r="D7" s="141">
        <v>0</v>
      </c>
      <c r="E7" s="141">
        <v>0</v>
      </c>
      <c r="F7" s="141">
        <v>1284.79</v>
      </c>
      <c r="G7" s="137">
        <v>2515.21</v>
      </c>
      <c r="H7" s="137"/>
      <c r="I7" s="36">
        <v>0</v>
      </c>
      <c r="J7" s="36">
        <v>0</v>
      </c>
      <c r="K7" s="37">
        <v>0</v>
      </c>
      <c r="L7" s="138">
        <v>0</v>
      </c>
      <c r="M7" s="138">
        <v>0</v>
      </c>
      <c r="N7" s="138">
        <v>0</v>
      </c>
      <c r="O7" s="138">
        <v>18372.5</v>
      </c>
      <c r="P7" s="138">
        <v>35967.5</v>
      </c>
      <c r="Q7" s="138">
        <v>0</v>
      </c>
      <c r="R7" s="138">
        <v>0</v>
      </c>
      <c r="S7" s="138">
        <v>0</v>
      </c>
      <c r="T7" s="138">
        <v>54340</v>
      </c>
    </row>
    <row r="8" spans="1:20">
      <c r="A8" s="39">
        <v>4</v>
      </c>
      <c r="B8" s="144" t="s">
        <v>168</v>
      </c>
      <c r="C8" s="145"/>
      <c r="D8" s="141">
        <v>0</v>
      </c>
      <c r="E8" s="141">
        <v>22</v>
      </c>
      <c r="F8" s="141">
        <v>1262.79</v>
      </c>
      <c r="G8" s="137">
        <v>2537.21</v>
      </c>
      <c r="H8" s="137"/>
      <c r="I8" s="36">
        <v>0</v>
      </c>
      <c r="J8" s="36">
        <v>0</v>
      </c>
      <c r="K8" s="37">
        <v>0</v>
      </c>
      <c r="L8" s="138">
        <v>0</v>
      </c>
      <c r="M8" s="138">
        <v>0</v>
      </c>
      <c r="N8" s="138">
        <v>2530</v>
      </c>
      <c r="O8" s="138">
        <v>18057.900000000001</v>
      </c>
      <c r="P8" s="138">
        <v>36282.1</v>
      </c>
      <c r="Q8" s="138">
        <v>0</v>
      </c>
      <c r="R8" s="138">
        <v>0</v>
      </c>
      <c r="S8" s="138">
        <v>0</v>
      </c>
      <c r="T8" s="138">
        <v>56870</v>
      </c>
    </row>
    <row r="9" spans="1:20">
      <c r="A9" s="39">
        <v>5</v>
      </c>
      <c r="B9" s="144" t="s">
        <v>169</v>
      </c>
      <c r="C9" s="145"/>
      <c r="D9" s="141">
        <v>0</v>
      </c>
      <c r="E9" s="141">
        <v>22</v>
      </c>
      <c r="F9" s="141">
        <v>1240.79</v>
      </c>
      <c r="G9" s="137">
        <v>2559.21</v>
      </c>
      <c r="H9" s="137"/>
      <c r="I9" s="36">
        <v>0</v>
      </c>
      <c r="J9" s="36">
        <v>0</v>
      </c>
      <c r="K9" s="37">
        <v>0</v>
      </c>
      <c r="L9" s="138">
        <v>0</v>
      </c>
      <c r="M9" s="138">
        <v>0</v>
      </c>
      <c r="N9" s="138">
        <v>2530</v>
      </c>
      <c r="O9" s="138">
        <v>17743.3</v>
      </c>
      <c r="P9" s="138">
        <v>36596.699999999997</v>
      </c>
      <c r="Q9" s="138">
        <v>0</v>
      </c>
      <c r="R9" s="138">
        <v>0</v>
      </c>
      <c r="S9" s="138">
        <v>0</v>
      </c>
      <c r="T9" s="138">
        <v>56870</v>
      </c>
    </row>
    <row r="10" spans="1:20">
      <c r="A10" s="39">
        <v>6</v>
      </c>
      <c r="B10" s="144" t="s">
        <v>170</v>
      </c>
      <c r="C10" s="145"/>
      <c r="D10" s="141">
        <v>0</v>
      </c>
      <c r="E10" s="141">
        <v>0</v>
      </c>
      <c r="F10" s="141">
        <v>1240.79</v>
      </c>
      <c r="G10" s="137">
        <v>2559.21</v>
      </c>
      <c r="H10" s="137"/>
      <c r="I10" s="36">
        <v>0</v>
      </c>
      <c r="J10" s="36">
        <v>0</v>
      </c>
      <c r="K10" s="37">
        <v>0</v>
      </c>
      <c r="L10" s="138">
        <v>0</v>
      </c>
      <c r="M10" s="138">
        <v>0</v>
      </c>
      <c r="N10" s="138">
        <v>0</v>
      </c>
      <c r="O10" s="138">
        <v>17743.3</v>
      </c>
      <c r="P10" s="138">
        <v>36596.699999999997</v>
      </c>
      <c r="Q10" s="138">
        <v>0</v>
      </c>
      <c r="R10" s="138">
        <v>0</v>
      </c>
      <c r="S10" s="138">
        <v>0</v>
      </c>
      <c r="T10" s="138">
        <v>54340</v>
      </c>
    </row>
    <row r="11" spans="1:20">
      <c r="A11" s="39">
        <v>7</v>
      </c>
      <c r="B11" s="144" t="s">
        <v>171</v>
      </c>
      <c r="C11" s="145"/>
      <c r="D11" s="141">
        <v>0</v>
      </c>
      <c r="E11" s="141">
        <v>0</v>
      </c>
      <c r="F11" s="141">
        <v>1240.79</v>
      </c>
      <c r="G11" s="137">
        <v>2559.21</v>
      </c>
      <c r="H11" s="137"/>
      <c r="I11" s="36">
        <v>0</v>
      </c>
      <c r="J11" s="36">
        <v>0</v>
      </c>
      <c r="K11" s="37">
        <v>0</v>
      </c>
      <c r="L11" s="138">
        <v>0</v>
      </c>
      <c r="M11" s="138">
        <v>0</v>
      </c>
      <c r="N11" s="138">
        <v>0</v>
      </c>
      <c r="O11" s="138">
        <v>17743.3</v>
      </c>
      <c r="P11" s="138">
        <v>36596.699999999997</v>
      </c>
      <c r="Q11" s="138">
        <v>0</v>
      </c>
      <c r="R11" s="138">
        <v>0</v>
      </c>
      <c r="S11" s="138">
        <v>0</v>
      </c>
      <c r="T11" s="138">
        <v>54340</v>
      </c>
    </row>
    <row r="12" spans="1:20">
      <c r="A12" s="39">
        <v>8</v>
      </c>
      <c r="B12" s="144" t="s">
        <v>172</v>
      </c>
      <c r="C12" s="145"/>
      <c r="D12" s="141">
        <v>0</v>
      </c>
      <c r="E12" s="141">
        <v>43.375</v>
      </c>
      <c r="F12" s="141">
        <v>1197.415</v>
      </c>
      <c r="G12" s="137">
        <v>2602.585</v>
      </c>
      <c r="H12" s="137"/>
      <c r="I12" s="36">
        <v>0</v>
      </c>
      <c r="J12" s="36">
        <v>0</v>
      </c>
      <c r="K12" s="37">
        <v>0</v>
      </c>
      <c r="L12" s="138">
        <v>0</v>
      </c>
      <c r="M12" s="138">
        <v>0</v>
      </c>
      <c r="N12" s="138">
        <v>4988.13</v>
      </c>
      <c r="O12" s="138">
        <v>17123.03</v>
      </c>
      <c r="P12" s="138">
        <v>37216.97</v>
      </c>
      <c r="Q12" s="138">
        <v>0</v>
      </c>
      <c r="R12" s="138">
        <v>0</v>
      </c>
      <c r="S12" s="138">
        <v>0</v>
      </c>
      <c r="T12" s="138">
        <v>59328.13</v>
      </c>
    </row>
    <row r="13" spans="1:20">
      <c r="A13" s="39">
        <v>9</v>
      </c>
      <c r="B13" s="144" t="s">
        <v>173</v>
      </c>
      <c r="C13" s="145"/>
      <c r="D13" s="141">
        <v>0</v>
      </c>
      <c r="E13" s="141">
        <v>239.71899999999999</v>
      </c>
      <c r="F13" s="141">
        <v>957.69600000000003</v>
      </c>
      <c r="G13" s="137">
        <v>2842.3040000000001</v>
      </c>
      <c r="H13" s="137"/>
      <c r="I13" s="36">
        <v>0</v>
      </c>
      <c r="J13" s="36">
        <v>0</v>
      </c>
      <c r="K13" s="37">
        <v>0</v>
      </c>
      <c r="L13" s="138">
        <v>0</v>
      </c>
      <c r="M13" s="138">
        <v>0</v>
      </c>
      <c r="N13" s="138">
        <v>27567.69</v>
      </c>
      <c r="O13" s="138">
        <v>13695.05</v>
      </c>
      <c r="P13" s="138">
        <v>40644.949999999997</v>
      </c>
      <c r="Q13" s="138">
        <v>0</v>
      </c>
      <c r="R13" s="138">
        <v>0</v>
      </c>
      <c r="S13" s="138">
        <v>0</v>
      </c>
      <c r="T13" s="138">
        <v>81907.69</v>
      </c>
    </row>
    <row r="14" spans="1:20">
      <c r="A14" s="39">
        <v>10</v>
      </c>
      <c r="B14" s="144" t="s">
        <v>174</v>
      </c>
      <c r="C14" s="145"/>
      <c r="D14" s="141">
        <v>0</v>
      </c>
      <c r="E14" s="141">
        <v>217.52199999999999</v>
      </c>
      <c r="F14" s="141">
        <v>740.17399999999998</v>
      </c>
      <c r="G14" s="137">
        <v>3059.826</v>
      </c>
      <c r="H14" s="137"/>
      <c r="I14" s="36">
        <v>0</v>
      </c>
      <c r="J14" s="36">
        <v>0</v>
      </c>
      <c r="K14" s="37">
        <v>0</v>
      </c>
      <c r="L14" s="138">
        <v>0</v>
      </c>
      <c r="M14" s="138">
        <v>0</v>
      </c>
      <c r="N14" s="138">
        <v>25015.03</v>
      </c>
      <c r="O14" s="138">
        <v>10584.49</v>
      </c>
      <c r="P14" s="138">
        <v>43755.51</v>
      </c>
      <c r="Q14" s="138">
        <v>0</v>
      </c>
      <c r="R14" s="138">
        <v>0</v>
      </c>
      <c r="S14" s="138">
        <v>0</v>
      </c>
      <c r="T14" s="138">
        <v>79355.03</v>
      </c>
    </row>
    <row r="15" spans="1:20">
      <c r="A15" s="39">
        <v>11</v>
      </c>
      <c r="B15" s="144" t="s">
        <v>175</v>
      </c>
      <c r="C15" s="145"/>
      <c r="D15" s="141">
        <v>0</v>
      </c>
      <c r="E15" s="141">
        <v>258.71300000000002</v>
      </c>
      <c r="F15" s="141">
        <v>481.46100000000001</v>
      </c>
      <c r="G15" s="137">
        <v>3318.5389999999998</v>
      </c>
      <c r="H15" s="137"/>
      <c r="I15" s="36">
        <v>0</v>
      </c>
      <c r="J15" s="36">
        <v>0</v>
      </c>
      <c r="K15" s="37">
        <v>0</v>
      </c>
      <c r="L15" s="138">
        <v>0</v>
      </c>
      <c r="M15" s="138">
        <v>0</v>
      </c>
      <c r="N15" s="138">
        <v>29752</v>
      </c>
      <c r="O15" s="138">
        <v>6884.89</v>
      </c>
      <c r="P15" s="138">
        <v>47455.11</v>
      </c>
      <c r="Q15" s="138">
        <v>0</v>
      </c>
      <c r="R15" s="138">
        <v>0</v>
      </c>
      <c r="S15" s="138">
        <v>0</v>
      </c>
      <c r="T15" s="138">
        <v>84092</v>
      </c>
    </row>
    <row r="16" spans="1:20">
      <c r="A16" s="39">
        <v>12</v>
      </c>
      <c r="B16" s="144" t="s">
        <v>176</v>
      </c>
      <c r="C16" s="145"/>
      <c r="D16" s="141">
        <v>0</v>
      </c>
      <c r="E16" s="141">
        <v>153.80000000000001</v>
      </c>
      <c r="F16" s="141">
        <v>327.661</v>
      </c>
      <c r="G16" s="137">
        <v>3472.3389999999999</v>
      </c>
      <c r="H16" s="137"/>
      <c r="I16" s="36">
        <v>0</v>
      </c>
      <c r="J16" s="36">
        <v>0</v>
      </c>
      <c r="K16" s="37">
        <v>0</v>
      </c>
      <c r="L16" s="138">
        <v>0</v>
      </c>
      <c r="M16" s="138">
        <v>0</v>
      </c>
      <c r="N16" s="138">
        <v>17687</v>
      </c>
      <c r="O16" s="138">
        <v>4685.55</v>
      </c>
      <c r="P16" s="138">
        <v>49654.45</v>
      </c>
      <c r="Q16" s="138">
        <v>0</v>
      </c>
      <c r="R16" s="138">
        <v>0</v>
      </c>
      <c r="S16" s="138">
        <v>0</v>
      </c>
      <c r="T16" s="138">
        <v>72027</v>
      </c>
    </row>
    <row r="17" spans="1:20">
      <c r="A17" s="39">
        <v>13</v>
      </c>
      <c r="B17" s="144" t="s">
        <v>177</v>
      </c>
      <c r="C17" s="145"/>
      <c r="D17" s="141">
        <v>0</v>
      </c>
      <c r="E17" s="141">
        <v>244.03399999999999</v>
      </c>
      <c r="F17" s="141">
        <v>83.626999999999995</v>
      </c>
      <c r="G17" s="137">
        <v>3716.373</v>
      </c>
      <c r="H17" s="137"/>
      <c r="I17" s="36">
        <v>0</v>
      </c>
      <c r="J17" s="36">
        <v>0</v>
      </c>
      <c r="K17" s="37">
        <v>0</v>
      </c>
      <c r="L17" s="138">
        <v>0</v>
      </c>
      <c r="M17" s="138">
        <v>0</v>
      </c>
      <c r="N17" s="138">
        <v>28063.91</v>
      </c>
      <c r="O17" s="138">
        <v>1195.8699999999999</v>
      </c>
      <c r="P17" s="138">
        <v>53144.13</v>
      </c>
      <c r="Q17" s="138">
        <v>0</v>
      </c>
      <c r="R17" s="138">
        <v>0</v>
      </c>
      <c r="S17" s="138">
        <v>0</v>
      </c>
      <c r="T17" s="138">
        <v>82403.91</v>
      </c>
    </row>
    <row r="18" spans="1:20">
      <c r="A18" s="39">
        <v>14</v>
      </c>
      <c r="B18" s="144" t="s">
        <v>178</v>
      </c>
      <c r="C18" s="145"/>
      <c r="D18" s="141">
        <v>0</v>
      </c>
      <c r="E18" s="141">
        <v>83.626999999999995</v>
      </c>
      <c r="F18" s="141">
        <v>0</v>
      </c>
      <c r="G18" s="137">
        <v>3800</v>
      </c>
      <c r="H18" s="137"/>
      <c r="I18" s="36">
        <v>0</v>
      </c>
      <c r="J18" s="36">
        <v>0</v>
      </c>
      <c r="K18" s="37">
        <v>0</v>
      </c>
      <c r="L18" s="138">
        <v>0</v>
      </c>
      <c r="M18" s="138">
        <v>0</v>
      </c>
      <c r="N18" s="138">
        <v>9617.11</v>
      </c>
      <c r="O18" s="138">
        <v>0</v>
      </c>
      <c r="P18" s="138">
        <v>54340</v>
      </c>
      <c r="Q18" s="138">
        <v>0</v>
      </c>
      <c r="R18" s="138">
        <v>0</v>
      </c>
      <c r="S18" s="138">
        <v>0</v>
      </c>
      <c r="T18" s="138">
        <v>63957.11</v>
      </c>
    </row>
    <row r="19" spans="1:20">
      <c r="A19" s="39">
        <v>15</v>
      </c>
      <c r="B19" s="144"/>
      <c r="C19" s="145"/>
      <c r="D19" s="141">
        <v>0</v>
      </c>
      <c r="E19" s="141">
        <v>0</v>
      </c>
      <c r="F19" s="141">
        <v>0</v>
      </c>
      <c r="G19" s="137">
        <v>0</v>
      </c>
      <c r="H19" s="137"/>
      <c r="I19" s="36">
        <v>0</v>
      </c>
      <c r="J19" s="36">
        <v>0</v>
      </c>
      <c r="K19" s="37">
        <v>0</v>
      </c>
      <c r="L19" s="138">
        <v>0</v>
      </c>
      <c r="M19" s="138">
        <v>0</v>
      </c>
      <c r="N19" s="138">
        <v>0</v>
      </c>
      <c r="O19" s="138">
        <v>0</v>
      </c>
      <c r="P19" s="138">
        <v>0</v>
      </c>
      <c r="Q19" s="138">
        <v>0</v>
      </c>
      <c r="R19" s="138">
        <v>0</v>
      </c>
      <c r="S19" s="138">
        <v>0</v>
      </c>
      <c r="T19" s="138">
        <v>0</v>
      </c>
    </row>
    <row r="20" spans="1:20">
      <c r="A20" s="39">
        <v>16</v>
      </c>
      <c r="B20" s="144"/>
      <c r="C20" s="145"/>
      <c r="D20" s="141">
        <v>0</v>
      </c>
      <c r="E20" s="141">
        <v>0</v>
      </c>
      <c r="F20" s="141">
        <v>0</v>
      </c>
      <c r="G20" s="137">
        <v>0</v>
      </c>
      <c r="H20" s="137"/>
      <c r="I20" s="36">
        <v>0</v>
      </c>
      <c r="J20" s="36">
        <v>0</v>
      </c>
      <c r="K20" s="37">
        <v>0</v>
      </c>
      <c r="L20" s="138">
        <v>0</v>
      </c>
      <c r="M20" s="138">
        <v>0</v>
      </c>
      <c r="N20" s="138">
        <v>0</v>
      </c>
      <c r="O20" s="138">
        <v>0</v>
      </c>
      <c r="P20" s="138">
        <v>0</v>
      </c>
      <c r="Q20" s="138">
        <v>0</v>
      </c>
      <c r="R20" s="138">
        <v>0</v>
      </c>
      <c r="S20" s="138">
        <v>0</v>
      </c>
      <c r="T20" s="138">
        <v>0</v>
      </c>
    </row>
    <row r="21" spans="1:20">
      <c r="A21" s="39">
        <v>17</v>
      </c>
      <c r="B21" s="144"/>
      <c r="C21" s="145"/>
      <c r="D21" s="141">
        <v>0</v>
      </c>
      <c r="E21" s="141">
        <v>0</v>
      </c>
      <c r="F21" s="141">
        <v>0</v>
      </c>
      <c r="G21" s="137">
        <v>0</v>
      </c>
      <c r="H21" s="137"/>
      <c r="I21" s="36">
        <v>0</v>
      </c>
      <c r="J21" s="36">
        <v>0</v>
      </c>
      <c r="K21" s="37">
        <v>0</v>
      </c>
      <c r="L21" s="138">
        <v>0</v>
      </c>
      <c r="M21" s="138">
        <v>0</v>
      </c>
      <c r="N21" s="138">
        <v>0</v>
      </c>
      <c r="O21" s="138">
        <v>0</v>
      </c>
      <c r="P21" s="138">
        <v>0</v>
      </c>
      <c r="Q21" s="138">
        <v>0</v>
      </c>
      <c r="R21" s="138">
        <v>0</v>
      </c>
      <c r="S21" s="138">
        <v>0</v>
      </c>
      <c r="T21" s="138">
        <v>0</v>
      </c>
    </row>
    <row r="22" spans="1:20">
      <c r="A22" s="39">
        <v>18</v>
      </c>
      <c r="B22" s="144"/>
      <c r="C22" s="145"/>
      <c r="D22" s="141">
        <v>0</v>
      </c>
      <c r="E22" s="141">
        <v>0</v>
      </c>
      <c r="F22" s="141">
        <v>0</v>
      </c>
      <c r="G22" s="137">
        <v>0</v>
      </c>
      <c r="H22" s="137"/>
      <c r="I22" s="36">
        <v>0</v>
      </c>
      <c r="J22" s="36">
        <v>0</v>
      </c>
      <c r="K22" s="37">
        <v>0</v>
      </c>
      <c r="L22" s="138">
        <v>0</v>
      </c>
      <c r="M22" s="138">
        <v>0</v>
      </c>
      <c r="N22" s="138">
        <v>0</v>
      </c>
      <c r="O22" s="138">
        <v>0</v>
      </c>
      <c r="P22" s="138">
        <v>0</v>
      </c>
      <c r="Q22" s="138">
        <v>0</v>
      </c>
      <c r="R22" s="138">
        <v>0</v>
      </c>
      <c r="S22" s="138">
        <v>0</v>
      </c>
      <c r="T22" s="138">
        <v>0</v>
      </c>
    </row>
    <row r="23" spans="1:20">
      <c r="A23" s="39">
        <v>19</v>
      </c>
      <c r="B23" s="144"/>
      <c r="C23" s="145"/>
      <c r="D23" s="141">
        <v>0</v>
      </c>
      <c r="E23" s="141">
        <v>0</v>
      </c>
      <c r="F23" s="141">
        <v>0</v>
      </c>
      <c r="G23" s="137">
        <v>0</v>
      </c>
      <c r="H23" s="137"/>
      <c r="I23" s="36">
        <v>0</v>
      </c>
      <c r="J23" s="36">
        <v>0</v>
      </c>
      <c r="K23" s="37">
        <v>0</v>
      </c>
      <c r="L23" s="138">
        <v>0</v>
      </c>
      <c r="M23" s="138">
        <v>0</v>
      </c>
      <c r="N23" s="138">
        <v>0</v>
      </c>
      <c r="O23" s="138">
        <v>0</v>
      </c>
      <c r="P23" s="138">
        <v>0</v>
      </c>
      <c r="Q23" s="138">
        <v>0</v>
      </c>
      <c r="R23" s="138">
        <v>0</v>
      </c>
      <c r="S23" s="138">
        <v>0</v>
      </c>
      <c r="T23" s="138">
        <v>0</v>
      </c>
    </row>
    <row r="24" spans="1:20">
      <c r="A24" s="39">
        <v>20</v>
      </c>
      <c r="B24" s="144"/>
      <c r="C24" s="145"/>
      <c r="D24" s="141">
        <v>0</v>
      </c>
      <c r="E24" s="141">
        <v>0</v>
      </c>
      <c r="F24" s="141">
        <v>0</v>
      </c>
      <c r="G24" s="137">
        <v>0</v>
      </c>
      <c r="H24" s="137"/>
      <c r="I24" s="36">
        <v>0</v>
      </c>
      <c r="J24" s="36">
        <v>0</v>
      </c>
      <c r="K24" s="37">
        <v>0</v>
      </c>
      <c r="L24" s="138">
        <v>0</v>
      </c>
      <c r="M24" s="138">
        <v>0</v>
      </c>
      <c r="N24" s="138">
        <v>0</v>
      </c>
      <c r="O24" s="138">
        <v>0</v>
      </c>
      <c r="P24" s="138">
        <v>0</v>
      </c>
      <c r="Q24" s="138">
        <v>0</v>
      </c>
      <c r="R24" s="138">
        <v>0</v>
      </c>
      <c r="S24" s="138">
        <v>0</v>
      </c>
      <c r="T24" s="138">
        <v>0</v>
      </c>
    </row>
    <row r="25" spans="1:20">
      <c r="A25" s="39">
        <v>21</v>
      </c>
      <c r="B25" s="144"/>
      <c r="C25" s="145"/>
      <c r="D25" s="141">
        <v>0</v>
      </c>
      <c r="E25" s="141">
        <v>0</v>
      </c>
      <c r="F25" s="141">
        <v>0</v>
      </c>
      <c r="G25" s="137">
        <v>0</v>
      </c>
      <c r="H25" s="137"/>
      <c r="I25" s="36">
        <v>0</v>
      </c>
      <c r="J25" s="36">
        <v>0</v>
      </c>
      <c r="K25" s="37">
        <v>0</v>
      </c>
      <c r="L25" s="138">
        <v>0</v>
      </c>
      <c r="M25" s="138">
        <v>0</v>
      </c>
      <c r="N25" s="138">
        <v>0</v>
      </c>
      <c r="O25" s="138">
        <v>0</v>
      </c>
      <c r="P25" s="138">
        <v>0</v>
      </c>
      <c r="Q25" s="138">
        <v>0</v>
      </c>
      <c r="R25" s="138">
        <v>0</v>
      </c>
      <c r="S25" s="138">
        <v>0</v>
      </c>
      <c r="T25" s="138">
        <v>0</v>
      </c>
    </row>
    <row r="26" spans="1:20">
      <c r="A26" s="39">
        <v>22</v>
      </c>
      <c r="B26" s="144"/>
      <c r="C26" s="145"/>
      <c r="D26" s="141">
        <v>0</v>
      </c>
      <c r="E26" s="141">
        <v>0</v>
      </c>
      <c r="F26" s="141">
        <v>0</v>
      </c>
      <c r="G26" s="137">
        <v>0</v>
      </c>
      <c r="H26" s="137"/>
      <c r="I26" s="36">
        <v>0</v>
      </c>
      <c r="J26" s="36">
        <v>0</v>
      </c>
      <c r="K26" s="37">
        <v>0</v>
      </c>
      <c r="L26" s="138">
        <v>0</v>
      </c>
      <c r="M26" s="138">
        <v>0</v>
      </c>
      <c r="N26" s="138">
        <v>0</v>
      </c>
      <c r="O26" s="138">
        <v>0</v>
      </c>
      <c r="P26" s="138">
        <v>0</v>
      </c>
      <c r="Q26" s="138">
        <v>0</v>
      </c>
      <c r="R26" s="138">
        <v>0</v>
      </c>
      <c r="S26" s="138">
        <v>0</v>
      </c>
      <c r="T26" s="138">
        <v>0</v>
      </c>
    </row>
    <row r="27" spans="1:20">
      <c r="A27" s="39">
        <v>23</v>
      </c>
      <c r="B27" s="144"/>
      <c r="C27" s="145"/>
      <c r="D27" s="141">
        <v>0</v>
      </c>
      <c r="E27" s="141">
        <v>0</v>
      </c>
      <c r="F27" s="141">
        <v>0</v>
      </c>
      <c r="G27" s="137">
        <v>0</v>
      </c>
      <c r="H27" s="137"/>
      <c r="I27" s="36">
        <v>0</v>
      </c>
      <c r="J27" s="36">
        <v>0</v>
      </c>
      <c r="K27" s="37">
        <v>0</v>
      </c>
      <c r="L27" s="138">
        <v>0</v>
      </c>
      <c r="M27" s="138">
        <v>0</v>
      </c>
      <c r="N27" s="138">
        <v>0</v>
      </c>
      <c r="O27" s="138">
        <v>0</v>
      </c>
      <c r="P27" s="138">
        <v>0</v>
      </c>
      <c r="Q27" s="138">
        <v>0</v>
      </c>
      <c r="R27" s="138">
        <v>0</v>
      </c>
      <c r="S27" s="138">
        <v>0</v>
      </c>
      <c r="T27" s="138">
        <v>0</v>
      </c>
    </row>
    <row r="28" spans="1:20">
      <c r="A28" s="39">
        <v>24</v>
      </c>
      <c r="B28" s="144"/>
      <c r="C28" s="145"/>
      <c r="D28" s="141">
        <v>0</v>
      </c>
      <c r="E28" s="141">
        <v>0</v>
      </c>
      <c r="F28" s="141">
        <v>0</v>
      </c>
      <c r="G28" s="137">
        <v>0</v>
      </c>
      <c r="H28" s="137"/>
      <c r="I28" s="36">
        <v>0</v>
      </c>
      <c r="J28" s="36">
        <v>0</v>
      </c>
      <c r="K28" s="37">
        <v>0</v>
      </c>
      <c r="L28" s="138">
        <v>0</v>
      </c>
      <c r="M28" s="138">
        <v>0</v>
      </c>
      <c r="N28" s="138">
        <v>0</v>
      </c>
      <c r="O28" s="138">
        <v>0</v>
      </c>
      <c r="P28" s="138">
        <v>0</v>
      </c>
      <c r="Q28" s="138">
        <v>0</v>
      </c>
      <c r="R28" s="138">
        <v>0</v>
      </c>
      <c r="S28" s="138">
        <v>0</v>
      </c>
      <c r="T28" s="138">
        <v>0</v>
      </c>
    </row>
    <row r="29" spans="1:20">
      <c r="A29" s="39">
        <v>25</v>
      </c>
      <c r="B29" s="144"/>
      <c r="C29" s="145"/>
      <c r="D29" s="141">
        <v>0</v>
      </c>
      <c r="E29" s="141">
        <v>0</v>
      </c>
      <c r="F29" s="141">
        <v>0</v>
      </c>
      <c r="G29" s="137">
        <v>0</v>
      </c>
      <c r="H29" s="137"/>
      <c r="I29" s="36">
        <v>0</v>
      </c>
      <c r="J29" s="36">
        <v>0</v>
      </c>
      <c r="K29" s="37">
        <v>0</v>
      </c>
      <c r="L29" s="138">
        <v>0</v>
      </c>
      <c r="M29" s="138">
        <v>0</v>
      </c>
      <c r="N29" s="138">
        <v>0</v>
      </c>
      <c r="O29" s="138">
        <v>0</v>
      </c>
      <c r="P29" s="138">
        <v>0</v>
      </c>
      <c r="Q29" s="138">
        <v>0</v>
      </c>
      <c r="R29" s="138">
        <v>0</v>
      </c>
      <c r="S29" s="138">
        <v>0</v>
      </c>
      <c r="T29" s="138">
        <v>0</v>
      </c>
    </row>
    <row r="30" spans="1:20">
      <c r="A30" s="39">
        <v>26</v>
      </c>
      <c r="B30" s="144"/>
      <c r="C30" s="145"/>
      <c r="D30" s="141">
        <v>0</v>
      </c>
      <c r="E30" s="141">
        <v>0</v>
      </c>
      <c r="F30" s="141">
        <v>0</v>
      </c>
      <c r="G30" s="137">
        <v>0</v>
      </c>
      <c r="H30" s="137"/>
      <c r="I30" s="36">
        <v>0</v>
      </c>
      <c r="J30" s="36">
        <v>0</v>
      </c>
      <c r="K30" s="37">
        <v>0</v>
      </c>
      <c r="L30" s="138">
        <v>0</v>
      </c>
      <c r="M30" s="138">
        <v>0</v>
      </c>
      <c r="N30" s="138">
        <v>0</v>
      </c>
      <c r="O30" s="138">
        <v>0</v>
      </c>
      <c r="P30" s="138">
        <v>0</v>
      </c>
      <c r="Q30" s="138">
        <v>0</v>
      </c>
      <c r="R30" s="138">
        <v>0</v>
      </c>
      <c r="S30" s="138">
        <v>0</v>
      </c>
      <c r="T30" s="138">
        <v>0</v>
      </c>
    </row>
    <row r="31" spans="1:20">
      <c r="A31" s="39">
        <v>27</v>
      </c>
      <c r="B31" s="144"/>
      <c r="C31" s="145"/>
      <c r="D31" s="141">
        <v>0</v>
      </c>
      <c r="E31" s="141">
        <v>0</v>
      </c>
      <c r="F31" s="141">
        <v>0</v>
      </c>
      <c r="G31" s="137">
        <v>0</v>
      </c>
      <c r="H31" s="137"/>
      <c r="I31" s="36">
        <v>0</v>
      </c>
      <c r="J31" s="36">
        <v>0</v>
      </c>
      <c r="K31" s="37">
        <v>0</v>
      </c>
      <c r="L31" s="138">
        <v>0</v>
      </c>
      <c r="M31" s="138">
        <v>0</v>
      </c>
      <c r="N31" s="138">
        <v>0</v>
      </c>
      <c r="O31" s="138">
        <v>0</v>
      </c>
      <c r="P31" s="138">
        <v>0</v>
      </c>
      <c r="Q31" s="138">
        <v>0</v>
      </c>
      <c r="R31" s="138">
        <v>0</v>
      </c>
      <c r="S31" s="138">
        <v>0</v>
      </c>
      <c r="T31" s="138">
        <v>0</v>
      </c>
    </row>
    <row r="32" spans="1:20">
      <c r="A32" s="39">
        <v>28</v>
      </c>
      <c r="B32" s="144"/>
      <c r="C32" s="145"/>
      <c r="D32" s="141">
        <v>0</v>
      </c>
      <c r="E32" s="141">
        <v>0</v>
      </c>
      <c r="F32" s="141">
        <v>0</v>
      </c>
      <c r="G32" s="137">
        <v>0</v>
      </c>
      <c r="H32" s="137"/>
      <c r="I32" s="36">
        <v>0</v>
      </c>
      <c r="J32" s="36">
        <v>0</v>
      </c>
      <c r="K32" s="37">
        <v>0</v>
      </c>
      <c r="L32" s="138">
        <v>0</v>
      </c>
      <c r="M32" s="138">
        <v>0</v>
      </c>
      <c r="N32" s="138">
        <v>0</v>
      </c>
      <c r="O32" s="138">
        <v>0</v>
      </c>
      <c r="P32" s="138">
        <v>0</v>
      </c>
      <c r="Q32" s="138">
        <v>0</v>
      </c>
      <c r="R32" s="138">
        <v>0</v>
      </c>
      <c r="S32" s="138">
        <v>0</v>
      </c>
      <c r="T32" s="138">
        <v>0</v>
      </c>
    </row>
    <row r="33" spans="1:20">
      <c r="A33" s="39">
        <v>29</v>
      </c>
      <c r="B33" s="144"/>
      <c r="C33" s="145"/>
      <c r="D33" s="141">
        <v>0</v>
      </c>
      <c r="E33" s="141">
        <v>0</v>
      </c>
      <c r="F33" s="141">
        <v>0</v>
      </c>
      <c r="G33" s="137">
        <v>0</v>
      </c>
      <c r="H33" s="137"/>
      <c r="I33" s="36">
        <v>0</v>
      </c>
      <c r="J33" s="36">
        <v>0</v>
      </c>
      <c r="K33" s="37">
        <v>0</v>
      </c>
      <c r="L33" s="138">
        <v>0</v>
      </c>
      <c r="M33" s="138">
        <v>0</v>
      </c>
      <c r="N33" s="138">
        <v>0</v>
      </c>
      <c r="O33" s="138">
        <v>0</v>
      </c>
      <c r="P33" s="138">
        <v>0</v>
      </c>
      <c r="Q33" s="138">
        <v>0</v>
      </c>
      <c r="R33" s="138">
        <v>0</v>
      </c>
      <c r="S33" s="138">
        <v>0</v>
      </c>
      <c r="T33" s="138">
        <v>0</v>
      </c>
    </row>
    <row r="34" spans="1:20">
      <c r="A34" s="39">
        <v>30</v>
      </c>
      <c r="B34" s="144"/>
      <c r="C34" s="145"/>
      <c r="D34" s="141">
        <v>0</v>
      </c>
      <c r="E34" s="141">
        <v>0</v>
      </c>
      <c r="F34" s="141">
        <v>0</v>
      </c>
      <c r="G34" s="137">
        <v>0</v>
      </c>
      <c r="H34" s="137"/>
      <c r="I34" s="36">
        <v>0</v>
      </c>
      <c r="J34" s="36">
        <v>0</v>
      </c>
      <c r="K34" s="37">
        <v>0</v>
      </c>
      <c r="L34" s="138">
        <v>0</v>
      </c>
      <c r="M34" s="138">
        <v>0</v>
      </c>
      <c r="N34" s="138">
        <v>0</v>
      </c>
      <c r="O34" s="138">
        <v>0</v>
      </c>
      <c r="P34" s="138">
        <v>0</v>
      </c>
      <c r="Q34" s="138">
        <v>0</v>
      </c>
      <c r="R34" s="138">
        <v>0</v>
      </c>
      <c r="S34" s="138">
        <v>0</v>
      </c>
      <c r="T34" s="138">
        <v>0</v>
      </c>
    </row>
    <row r="35" spans="1:20">
      <c r="A35" s="39">
        <v>31</v>
      </c>
      <c r="B35" s="144"/>
      <c r="C35" s="145"/>
      <c r="D35" s="141">
        <v>0</v>
      </c>
      <c r="E35" s="141">
        <v>0</v>
      </c>
      <c r="F35" s="141">
        <v>0</v>
      </c>
      <c r="G35" s="137">
        <v>0</v>
      </c>
      <c r="H35" s="137"/>
      <c r="I35" s="36">
        <v>0</v>
      </c>
      <c r="J35" s="36">
        <v>0</v>
      </c>
      <c r="K35" s="37">
        <v>0</v>
      </c>
      <c r="L35" s="138">
        <v>0</v>
      </c>
      <c r="M35" s="138">
        <v>0</v>
      </c>
      <c r="N35" s="138">
        <v>0</v>
      </c>
      <c r="O35" s="138">
        <v>0</v>
      </c>
      <c r="P35" s="138">
        <v>0</v>
      </c>
      <c r="Q35" s="138">
        <v>0</v>
      </c>
      <c r="R35" s="138">
        <v>0</v>
      </c>
      <c r="S35" s="138">
        <v>0</v>
      </c>
      <c r="T35" s="138">
        <v>0</v>
      </c>
    </row>
    <row r="36" spans="1:20">
      <c r="D36" s="43">
        <v>0</v>
      </c>
      <c r="E36" s="43">
        <v>1306.79</v>
      </c>
      <c r="F36" s="43">
        <v>12649.563999999998</v>
      </c>
      <c r="G36" s="43">
        <v>40550.435999999994</v>
      </c>
      <c r="H36" s="43">
        <v>0</v>
      </c>
      <c r="I36" s="43">
        <v>0</v>
      </c>
      <c r="J36" s="43">
        <v>0</v>
      </c>
      <c r="K36" s="44">
        <v>0</v>
      </c>
      <c r="L36" s="139">
        <v>0</v>
      </c>
      <c r="M36" s="139">
        <v>0</v>
      </c>
      <c r="N36" s="139">
        <v>150280.85</v>
      </c>
      <c r="O36" s="139">
        <v>180888.77</v>
      </c>
      <c r="P36" s="139">
        <v>579871.23</v>
      </c>
      <c r="Q36" s="139">
        <v>0</v>
      </c>
      <c r="R36" s="139">
        <v>0</v>
      </c>
      <c r="S36" s="139">
        <v>0</v>
      </c>
      <c r="T36" s="139">
        <v>911040.85</v>
      </c>
    </row>
    <row r="37" spans="1:20">
      <c r="R37" s="46"/>
      <c r="S37" s="46"/>
      <c r="T37" s="140">
        <v>1111469.8400000001</v>
      </c>
    </row>
  </sheetData>
  <mergeCells count="50"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7D4D7-EEDE-44C1-A9C4-C1C0AF7D8F44}">
  <sheetPr>
    <pageSetUpPr fitToPage="1"/>
  </sheetPr>
  <dimension ref="A1:T37"/>
  <sheetViews>
    <sheetView topLeftCell="B16" workbookViewId="0">
      <selection activeCell="T37" sqref="T37"/>
    </sheetView>
  </sheetViews>
  <sheetFormatPr defaultRowHeight="15"/>
  <cols>
    <col min="1" max="3" width="9.140625" style="28"/>
    <col min="4" max="4" width="11.7109375" style="28" customWidth="1"/>
    <col min="5" max="5" width="12.140625" style="28" customWidth="1"/>
    <col min="6" max="6" width="13.28515625" style="28" customWidth="1"/>
    <col min="7" max="7" width="11.42578125" style="28" customWidth="1"/>
    <col min="8" max="8" width="10.42578125" style="28" customWidth="1"/>
    <col min="9" max="9" width="10.5703125" style="28" bestFit="1" customWidth="1"/>
    <col min="10" max="10" width="9.42578125" style="28" bestFit="1" customWidth="1"/>
    <col min="11" max="12" width="9.140625" style="28"/>
    <col min="13" max="13" width="15.140625" style="28" customWidth="1"/>
    <col min="14" max="14" width="13.5703125" style="28" customWidth="1"/>
    <col min="15" max="15" width="14.5703125" style="28" customWidth="1"/>
    <col min="16" max="16" width="14.5703125" style="28" bestFit="1" customWidth="1"/>
    <col min="17" max="17" width="15" style="28" customWidth="1"/>
    <col min="18" max="18" width="13.28515625" style="28" customWidth="1"/>
    <col min="19" max="19" width="11.7109375" style="28" customWidth="1"/>
    <col min="20" max="20" width="24.28515625" style="28" customWidth="1"/>
    <col min="21" max="16384" width="9.140625" style="28"/>
  </cols>
  <sheetData>
    <row r="1" spans="1:20">
      <c r="I1" s="29"/>
    </row>
    <row r="2" spans="1:20" ht="28.9" customHeight="1">
      <c r="A2" s="149" t="s">
        <v>215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</row>
    <row r="3" spans="1:20" ht="28.9" customHeight="1">
      <c r="A3" s="146" t="s">
        <v>0</v>
      </c>
      <c r="B3" s="150" t="s">
        <v>1</v>
      </c>
      <c r="C3" s="151"/>
      <c r="D3" s="146" t="s">
        <v>2</v>
      </c>
      <c r="E3" s="146" t="s">
        <v>3</v>
      </c>
      <c r="F3" s="30" t="s">
        <v>4</v>
      </c>
      <c r="G3" s="146" t="s">
        <v>156</v>
      </c>
      <c r="H3" s="146" t="s">
        <v>157</v>
      </c>
      <c r="I3" s="146" t="s">
        <v>7</v>
      </c>
      <c r="J3" s="146" t="s">
        <v>8</v>
      </c>
      <c r="K3" s="146" t="s">
        <v>158</v>
      </c>
      <c r="L3" s="146" t="s">
        <v>159</v>
      </c>
      <c r="M3" s="146" t="s">
        <v>160</v>
      </c>
      <c r="N3" s="146" t="s">
        <v>161</v>
      </c>
      <c r="O3" s="146" t="s">
        <v>162</v>
      </c>
      <c r="P3" s="146" t="s">
        <v>163</v>
      </c>
      <c r="Q3" s="146" t="s">
        <v>164</v>
      </c>
      <c r="R3" s="146" t="s">
        <v>16</v>
      </c>
      <c r="S3" s="146" t="s">
        <v>17</v>
      </c>
      <c r="T3" s="146" t="s">
        <v>18</v>
      </c>
    </row>
    <row r="4" spans="1:20" ht="27" customHeight="1">
      <c r="A4" s="147"/>
      <c r="B4" s="152"/>
      <c r="C4" s="153"/>
      <c r="D4" s="147"/>
      <c r="E4" s="147"/>
      <c r="F4" s="31"/>
      <c r="G4" s="147"/>
      <c r="H4" s="147"/>
      <c r="I4" s="147"/>
      <c r="J4" s="147"/>
      <c r="K4" s="148"/>
      <c r="L4" s="148"/>
      <c r="M4" s="147"/>
      <c r="N4" s="147"/>
      <c r="O4" s="147"/>
      <c r="P4" s="147"/>
      <c r="Q4" s="147"/>
      <c r="R4" s="147"/>
      <c r="S4" s="147"/>
      <c r="T4" s="147"/>
    </row>
    <row r="5" spans="1:20">
      <c r="A5" s="39">
        <v>1</v>
      </c>
      <c r="B5" s="144" t="s">
        <v>165</v>
      </c>
      <c r="C5" s="145"/>
      <c r="D5" s="141">
        <v>0</v>
      </c>
      <c r="E5" s="141">
        <v>0</v>
      </c>
      <c r="F5" s="141">
        <v>30.452999999999999</v>
      </c>
      <c r="G5" s="137">
        <v>0</v>
      </c>
      <c r="H5" s="137">
        <v>0</v>
      </c>
      <c r="I5" s="36">
        <v>0</v>
      </c>
      <c r="J5" s="36">
        <v>0</v>
      </c>
      <c r="K5" s="37">
        <v>0</v>
      </c>
      <c r="L5" s="138">
        <v>0</v>
      </c>
      <c r="M5" s="138">
        <v>0</v>
      </c>
      <c r="N5" s="138">
        <v>0</v>
      </c>
      <c r="O5" s="138">
        <v>0</v>
      </c>
      <c r="P5" s="138">
        <v>0</v>
      </c>
      <c r="Q5" s="138">
        <v>0</v>
      </c>
      <c r="R5" s="138">
        <v>0</v>
      </c>
      <c r="S5" s="138">
        <v>0</v>
      </c>
      <c r="T5" s="138">
        <v>0</v>
      </c>
    </row>
    <row r="6" spans="1:20">
      <c r="A6" s="39">
        <v>2</v>
      </c>
      <c r="B6" s="144" t="s">
        <v>166</v>
      </c>
      <c r="C6" s="145"/>
      <c r="D6" s="141">
        <v>0</v>
      </c>
      <c r="E6" s="141">
        <v>0</v>
      </c>
      <c r="F6" s="141">
        <v>30.452999999999999</v>
      </c>
      <c r="G6" s="137">
        <v>0</v>
      </c>
      <c r="H6" s="137">
        <v>0</v>
      </c>
      <c r="I6" s="36">
        <v>0</v>
      </c>
      <c r="J6" s="36">
        <v>0</v>
      </c>
      <c r="K6" s="37">
        <v>0</v>
      </c>
      <c r="L6" s="138">
        <v>0</v>
      </c>
      <c r="M6" s="138">
        <v>0</v>
      </c>
      <c r="N6" s="138">
        <v>0</v>
      </c>
      <c r="O6" s="138">
        <v>0</v>
      </c>
      <c r="P6" s="138">
        <v>0</v>
      </c>
      <c r="Q6" s="138">
        <v>0</v>
      </c>
      <c r="R6" s="138">
        <v>0</v>
      </c>
      <c r="S6" s="138">
        <v>0</v>
      </c>
      <c r="T6" s="138">
        <v>0</v>
      </c>
    </row>
    <row r="7" spans="1:20">
      <c r="A7" s="39">
        <v>3</v>
      </c>
      <c r="B7" s="144" t="s">
        <v>167</v>
      </c>
      <c r="C7" s="145"/>
      <c r="D7" s="141">
        <v>0</v>
      </c>
      <c r="E7" s="141">
        <v>0</v>
      </c>
      <c r="F7" s="141">
        <v>30.452999999999999</v>
      </c>
      <c r="G7" s="137">
        <v>0</v>
      </c>
      <c r="H7" s="137">
        <v>0</v>
      </c>
      <c r="I7" s="36">
        <v>0</v>
      </c>
      <c r="J7" s="36">
        <v>0</v>
      </c>
      <c r="K7" s="37">
        <v>0</v>
      </c>
      <c r="L7" s="138">
        <v>0</v>
      </c>
      <c r="M7" s="138">
        <v>0</v>
      </c>
      <c r="N7" s="138">
        <v>0</v>
      </c>
      <c r="O7" s="138">
        <v>0</v>
      </c>
      <c r="P7" s="138">
        <v>0</v>
      </c>
      <c r="Q7" s="138">
        <v>0</v>
      </c>
      <c r="R7" s="138">
        <v>0</v>
      </c>
      <c r="S7" s="138">
        <v>0</v>
      </c>
      <c r="T7" s="138">
        <v>0</v>
      </c>
    </row>
    <row r="8" spans="1:20">
      <c r="A8" s="39">
        <v>4</v>
      </c>
      <c r="B8" s="144" t="s">
        <v>168</v>
      </c>
      <c r="C8" s="145"/>
      <c r="D8" s="141">
        <v>0</v>
      </c>
      <c r="E8" s="141">
        <v>0</v>
      </c>
      <c r="F8" s="141">
        <v>30.452999999999999</v>
      </c>
      <c r="G8" s="137">
        <v>0</v>
      </c>
      <c r="H8" s="137">
        <v>0</v>
      </c>
      <c r="I8" s="36">
        <v>0</v>
      </c>
      <c r="J8" s="36">
        <v>0</v>
      </c>
      <c r="K8" s="37">
        <v>0</v>
      </c>
      <c r="L8" s="138">
        <v>0</v>
      </c>
      <c r="M8" s="138">
        <v>0</v>
      </c>
      <c r="N8" s="138">
        <v>0</v>
      </c>
      <c r="O8" s="138">
        <v>0</v>
      </c>
      <c r="P8" s="138">
        <v>0</v>
      </c>
      <c r="Q8" s="138">
        <v>0</v>
      </c>
      <c r="R8" s="138">
        <v>0</v>
      </c>
      <c r="S8" s="138">
        <v>0</v>
      </c>
      <c r="T8" s="138">
        <v>0</v>
      </c>
    </row>
    <row r="9" spans="1:20">
      <c r="A9" s="39">
        <v>5</v>
      </c>
      <c r="B9" s="144" t="s">
        <v>169</v>
      </c>
      <c r="C9" s="145"/>
      <c r="D9" s="141">
        <v>0</v>
      </c>
      <c r="E9" s="141">
        <v>0</v>
      </c>
      <c r="F9" s="141">
        <v>30.452999999999999</v>
      </c>
      <c r="G9" s="137">
        <v>0</v>
      </c>
      <c r="H9" s="137">
        <v>0</v>
      </c>
      <c r="I9" s="36">
        <v>0</v>
      </c>
      <c r="J9" s="36">
        <v>0</v>
      </c>
      <c r="K9" s="37">
        <v>0</v>
      </c>
      <c r="L9" s="138">
        <v>0</v>
      </c>
      <c r="M9" s="138">
        <v>0</v>
      </c>
      <c r="N9" s="138">
        <v>0</v>
      </c>
      <c r="O9" s="138">
        <v>0</v>
      </c>
      <c r="P9" s="138">
        <v>0</v>
      </c>
      <c r="Q9" s="138">
        <v>0</v>
      </c>
      <c r="R9" s="138">
        <v>0</v>
      </c>
      <c r="S9" s="138">
        <v>0</v>
      </c>
      <c r="T9" s="138">
        <v>0</v>
      </c>
    </row>
    <row r="10" spans="1:20">
      <c r="A10" s="39">
        <v>6</v>
      </c>
      <c r="B10" s="144" t="s">
        <v>170</v>
      </c>
      <c r="C10" s="145"/>
      <c r="D10" s="141">
        <v>0</v>
      </c>
      <c r="E10" s="141">
        <v>0</v>
      </c>
      <c r="F10" s="141">
        <v>30.452999999999999</v>
      </c>
      <c r="G10" s="137">
        <v>0</v>
      </c>
      <c r="H10" s="137">
        <v>0</v>
      </c>
      <c r="I10" s="36">
        <v>0</v>
      </c>
      <c r="J10" s="36">
        <v>0</v>
      </c>
      <c r="K10" s="37">
        <v>0</v>
      </c>
      <c r="L10" s="138">
        <v>0</v>
      </c>
      <c r="M10" s="138">
        <v>0</v>
      </c>
      <c r="N10" s="138">
        <v>0</v>
      </c>
      <c r="O10" s="138">
        <v>0</v>
      </c>
      <c r="P10" s="138">
        <v>0</v>
      </c>
      <c r="Q10" s="138">
        <v>0</v>
      </c>
      <c r="R10" s="138">
        <v>0</v>
      </c>
      <c r="S10" s="138">
        <v>0</v>
      </c>
      <c r="T10" s="138">
        <v>0</v>
      </c>
    </row>
    <row r="11" spans="1:20">
      <c r="A11" s="39">
        <v>7</v>
      </c>
      <c r="B11" s="144" t="s">
        <v>171</v>
      </c>
      <c r="C11" s="145"/>
      <c r="D11" s="141">
        <v>0</v>
      </c>
      <c r="E11" s="141">
        <v>0</v>
      </c>
      <c r="F11" s="141">
        <v>30.452999999999999</v>
      </c>
      <c r="G11" s="137">
        <v>0</v>
      </c>
      <c r="H11" s="137">
        <v>0</v>
      </c>
      <c r="I11" s="36">
        <v>0</v>
      </c>
      <c r="J11" s="36">
        <v>0</v>
      </c>
      <c r="K11" s="37">
        <v>0</v>
      </c>
      <c r="L11" s="138">
        <v>0</v>
      </c>
      <c r="M11" s="138">
        <v>0</v>
      </c>
      <c r="N11" s="138">
        <v>0</v>
      </c>
      <c r="O11" s="138">
        <v>0</v>
      </c>
      <c r="P11" s="138">
        <v>0</v>
      </c>
      <c r="Q11" s="138">
        <v>0</v>
      </c>
      <c r="R11" s="138">
        <v>0</v>
      </c>
      <c r="S11" s="138">
        <v>0</v>
      </c>
      <c r="T11" s="138">
        <v>0</v>
      </c>
    </row>
    <row r="12" spans="1:20">
      <c r="A12" s="39">
        <v>8</v>
      </c>
      <c r="B12" s="144" t="s">
        <v>172</v>
      </c>
      <c r="C12" s="145"/>
      <c r="D12" s="141">
        <v>0</v>
      </c>
      <c r="E12" s="141">
        <v>0</v>
      </c>
      <c r="F12" s="141">
        <v>30.452999999999999</v>
      </c>
      <c r="G12" s="137">
        <v>0</v>
      </c>
      <c r="H12" s="137">
        <v>0</v>
      </c>
      <c r="I12" s="36">
        <v>0</v>
      </c>
      <c r="J12" s="36">
        <v>0</v>
      </c>
      <c r="K12" s="37">
        <v>0</v>
      </c>
      <c r="L12" s="138">
        <v>0</v>
      </c>
      <c r="M12" s="138">
        <v>0</v>
      </c>
      <c r="N12" s="138">
        <v>0</v>
      </c>
      <c r="O12" s="138">
        <v>0</v>
      </c>
      <c r="P12" s="138">
        <v>0</v>
      </c>
      <c r="Q12" s="138">
        <v>0</v>
      </c>
      <c r="R12" s="138">
        <v>0</v>
      </c>
      <c r="S12" s="138">
        <v>0</v>
      </c>
      <c r="T12" s="138">
        <v>0</v>
      </c>
    </row>
    <row r="13" spans="1:20">
      <c r="A13" s="39">
        <v>9</v>
      </c>
      <c r="B13" s="144" t="s">
        <v>173</v>
      </c>
      <c r="C13" s="145"/>
      <c r="D13" s="141">
        <v>0</v>
      </c>
      <c r="E13" s="141">
        <v>0</v>
      </c>
      <c r="F13" s="141">
        <v>30.452999999999999</v>
      </c>
      <c r="G13" s="137">
        <v>0</v>
      </c>
      <c r="H13" s="137">
        <v>0</v>
      </c>
      <c r="I13" s="36">
        <v>0</v>
      </c>
      <c r="J13" s="36">
        <v>0</v>
      </c>
      <c r="K13" s="37">
        <v>0</v>
      </c>
      <c r="L13" s="138">
        <v>0</v>
      </c>
      <c r="M13" s="138">
        <v>0</v>
      </c>
      <c r="N13" s="138">
        <v>0</v>
      </c>
      <c r="O13" s="138">
        <v>0</v>
      </c>
      <c r="P13" s="138">
        <v>0</v>
      </c>
      <c r="Q13" s="138">
        <v>0</v>
      </c>
      <c r="R13" s="138">
        <v>0</v>
      </c>
      <c r="S13" s="138">
        <v>0</v>
      </c>
      <c r="T13" s="138">
        <v>0</v>
      </c>
    </row>
    <row r="14" spans="1:20">
      <c r="A14" s="39">
        <v>10</v>
      </c>
      <c r="B14" s="144" t="s">
        <v>174</v>
      </c>
      <c r="C14" s="145"/>
      <c r="D14" s="141">
        <v>0</v>
      </c>
      <c r="E14" s="141">
        <v>0</v>
      </c>
      <c r="F14" s="141">
        <v>30.452999999999999</v>
      </c>
      <c r="G14" s="137">
        <v>0</v>
      </c>
      <c r="H14" s="137">
        <v>0</v>
      </c>
      <c r="I14" s="36">
        <v>0</v>
      </c>
      <c r="J14" s="36">
        <v>0</v>
      </c>
      <c r="K14" s="37">
        <v>0</v>
      </c>
      <c r="L14" s="138">
        <v>0</v>
      </c>
      <c r="M14" s="138">
        <v>0</v>
      </c>
      <c r="N14" s="138">
        <v>0</v>
      </c>
      <c r="O14" s="138">
        <v>0</v>
      </c>
      <c r="P14" s="138">
        <v>0</v>
      </c>
      <c r="Q14" s="138">
        <v>0</v>
      </c>
      <c r="R14" s="138">
        <v>0</v>
      </c>
      <c r="S14" s="138">
        <v>0</v>
      </c>
      <c r="T14" s="138">
        <v>0</v>
      </c>
    </row>
    <row r="15" spans="1:20">
      <c r="A15" s="39">
        <v>11</v>
      </c>
      <c r="B15" s="144" t="s">
        <v>175</v>
      </c>
      <c r="C15" s="145"/>
      <c r="D15" s="141">
        <v>0</v>
      </c>
      <c r="E15" s="141">
        <v>0</v>
      </c>
      <c r="F15" s="141">
        <v>30.452999999999999</v>
      </c>
      <c r="G15" s="137">
        <v>0</v>
      </c>
      <c r="H15" s="137">
        <v>0</v>
      </c>
      <c r="I15" s="36">
        <v>0</v>
      </c>
      <c r="J15" s="36">
        <v>0</v>
      </c>
      <c r="K15" s="37">
        <v>0</v>
      </c>
      <c r="L15" s="138">
        <v>0</v>
      </c>
      <c r="M15" s="138">
        <v>0</v>
      </c>
      <c r="N15" s="138">
        <v>0</v>
      </c>
      <c r="O15" s="138">
        <v>0</v>
      </c>
      <c r="P15" s="138">
        <v>0</v>
      </c>
      <c r="Q15" s="138">
        <v>0</v>
      </c>
      <c r="R15" s="138">
        <v>0</v>
      </c>
      <c r="S15" s="138">
        <v>0</v>
      </c>
      <c r="T15" s="138">
        <v>0</v>
      </c>
    </row>
    <row r="16" spans="1:20">
      <c r="A16" s="39">
        <v>12</v>
      </c>
      <c r="B16" s="144" t="s">
        <v>176</v>
      </c>
      <c r="C16" s="145"/>
      <c r="D16" s="141">
        <v>0</v>
      </c>
      <c r="E16" s="141">
        <v>0</v>
      </c>
      <c r="F16" s="141">
        <v>30.452999999999999</v>
      </c>
      <c r="G16" s="137">
        <v>0</v>
      </c>
      <c r="H16" s="137">
        <v>0</v>
      </c>
      <c r="I16" s="36">
        <v>0</v>
      </c>
      <c r="J16" s="36">
        <v>0</v>
      </c>
      <c r="K16" s="37">
        <v>0</v>
      </c>
      <c r="L16" s="138">
        <v>0</v>
      </c>
      <c r="M16" s="138">
        <v>0</v>
      </c>
      <c r="N16" s="138">
        <v>0</v>
      </c>
      <c r="O16" s="138">
        <v>0</v>
      </c>
      <c r="P16" s="138">
        <v>0</v>
      </c>
      <c r="Q16" s="138">
        <v>0</v>
      </c>
      <c r="R16" s="138">
        <v>0</v>
      </c>
      <c r="S16" s="138">
        <v>0</v>
      </c>
      <c r="T16" s="138">
        <v>0</v>
      </c>
    </row>
    <row r="17" spans="1:20">
      <c r="A17" s="39">
        <v>13</v>
      </c>
      <c r="B17" s="144" t="s">
        <v>177</v>
      </c>
      <c r="C17" s="145"/>
      <c r="D17" s="141">
        <v>0</v>
      </c>
      <c r="E17" s="141">
        <v>0</v>
      </c>
      <c r="F17" s="141">
        <v>30.452999999999999</v>
      </c>
      <c r="G17" s="137">
        <v>0</v>
      </c>
      <c r="H17" s="137">
        <v>0</v>
      </c>
      <c r="I17" s="36">
        <v>0</v>
      </c>
      <c r="J17" s="36">
        <v>0</v>
      </c>
      <c r="K17" s="37">
        <v>0</v>
      </c>
      <c r="L17" s="138">
        <v>0</v>
      </c>
      <c r="M17" s="138">
        <v>0</v>
      </c>
      <c r="N17" s="138">
        <v>0</v>
      </c>
      <c r="O17" s="138">
        <v>0</v>
      </c>
      <c r="P17" s="138">
        <v>0</v>
      </c>
      <c r="Q17" s="138">
        <v>0</v>
      </c>
      <c r="R17" s="138">
        <v>0</v>
      </c>
      <c r="S17" s="138">
        <v>0</v>
      </c>
      <c r="T17" s="138">
        <v>0</v>
      </c>
    </row>
    <row r="18" spans="1:20">
      <c r="A18" s="39">
        <v>14</v>
      </c>
      <c r="B18" s="144" t="s">
        <v>178</v>
      </c>
      <c r="C18" s="145"/>
      <c r="D18" s="141">
        <v>0</v>
      </c>
      <c r="E18" s="141">
        <v>0</v>
      </c>
      <c r="F18" s="141">
        <v>30.452999999999999</v>
      </c>
      <c r="G18" s="137">
        <v>0</v>
      </c>
      <c r="H18" s="137">
        <v>0</v>
      </c>
      <c r="I18" s="36">
        <v>0</v>
      </c>
      <c r="J18" s="36">
        <v>0</v>
      </c>
      <c r="K18" s="37">
        <v>0</v>
      </c>
      <c r="L18" s="138">
        <v>0</v>
      </c>
      <c r="M18" s="138">
        <v>0</v>
      </c>
      <c r="N18" s="138">
        <v>0</v>
      </c>
      <c r="O18" s="138">
        <v>0</v>
      </c>
      <c r="P18" s="138">
        <v>0</v>
      </c>
      <c r="Q18" s="138">
        <v>0</v>
      </c>
      <c r="R18" s="138">
        <v>0</v>
      </c>
      <c r="S18" s="138">
        <v>0</v>
      </c>
      <c r="T18" s="138">
        <v>0</v>
      </c>
    </row>
    <row r="19" spans="1:20">
      <c r="A19" s="39">
        <v>15</v>
      </c>
      <c r="B19" s="144" t="s">
        <v>179</v>
      </c>
      <c r="C19" s="145"/>
      <c r="D19" s="141">
        <v>0</v>
      </c>
      <c r="E19" s="141">
        <v>0</v>
      </c>
      <c r="F19" s="141">
        <v>30.452999999999999</v>
      </c>
      <c r="G19" s="137">
        <v>0</v>
      </c>
      <c r="H19" s="137">
        <v>0</v>
      </c>
      <c r="I19" s="36">
        <v>0</v>
      </c>
      <c r="J19" s="36">
        <v>0</v>
      </c>
      <c r="K19" s="37">
        <v>0</v>
      </c>
      <c r="L19" s="138">
        <v>0</v>
      </c>
      <c r="M19" s="138">
        <v>0</v>
      </c>
      <c r="N19" s="138">
        <v>0</v>
      </c>
      <c r="O19" s="138">
        <v>0</v>
      </c>
      <c r="P19" s="138">
        <v>0</v>
      </c>
      <c r="Q19" s="138">
        <v>0</v>
      </c>
      <c r="R19" s="138">
        <v>0</v>
      </c>
      <c r="S19" s="138">
        <v>0</v>
      </c>
      <c r="T19" s="138">
        <v>0</v>
      </c>
    </row>
    <row r="20" spans="1:20">
      <c r="A20" s="39">
        <v>16</v>
      </c>
      <c r="B20" s="144" t="s">
        <v>180</v>
      </c>
      <c r="C20" s="145"/>
      <c r="D20" s="141">
        <v>0</v>
      </c>
      <c r="E20" s="141">
        <v>0</v>
      </c>
      <c r="F20" s="141">
        <v>30.452999999999999</v>
      </c>
      <c r="G20" s="137">
        <v>0</v>
      </c>
      <c r="H20" s="137">
        <v>0</v>
      </c>
      <c r="I20" s="36">
        <v>0</v>
      </c>
      <c r="J20" s="36">
        <v>0</v>
      </c>
      <c r="K20" s="37">
        <v>0</v>
      </c>
      <c r="L20" s="138">
        <v>0</v>
      </c>
      <c r="M20" s="138">
        <v>0</v>
      </c>
      <c r="N20" s="138">
        <v>0</v>
      </c>
      <c r="O20" s="138">
        <v>0</v>
      </c>
      <c r="P20" s="138">
        <v>0</v>
      </c>
      <c r="Q20" s="138">
        <v>0</v>
      </c>
      <c r="R20" s="138">
        <v>0</v>
      </c>
      <c r="S20" s="138">
        <v>0</v>
      </c>
      <c r="T20" s="138">
        <v>0</v>
      </c>
    </row>
    <row r="21" spans="1:20">
      <c r="A21" s="39">
        <v>17</v>
      </c>
      <c r="B21" s="144" t="s">
        <v>181</v>
      </c>
      <c r="C21" s="145"/>
      <c r="D21" s="141">
        <v>0</v>
      </c>
      <c r="E21" s="141">
        <v>0</v>
      </c>
      <c r="F21" s="141">
        <v>30.452999999999999</v>
      </c>
      <c r="G21" s="137">
        <v>0</v>
      </c>
      <c r="H21" s="137">
        <v>0</v>
      </c>
      <c r="I21" s="36">
        <v>0</v>
      </c>
      <c r="J21" s="36">
        <v>0</v>
      </c>
      <c r="K21" s="37">
        <v>0</v>
      </c>
      <c r="L21" s="138">
        <v>0</v>
      </c>
      <c r="M21" s="138">
        <v>0</v>
      </c>
      <c r="N21" s="138">
        <v>0</v>
      </c>
      <c r="O21" s="138">
        <v>0</v>
      </c>
      <c r="P21" s="138">
        <v>0</v>
      </c>
      <c r="Q21" s="138">
        <v>0</v>
      </c>
      <c r="R21" s="138">
        <v>0</v>
      </c>
      <c r="S21" s="138">
        <v>0</v>
      </c>
      <c r="T21" s="138">
        <v>0</v>
      </c>
    </row>
    <row r="22" spans="1:20">
      <c r="A22" s="39">
        <v>18</v>
      </c>
      <c r="B22" s="144" t="s">
        <v>182</v>
      </c>
      <c r="C22" s="145"/>
      <c r="D22" s="141">
        <v>0</v>
      </c>
      <c r="E22" s="141">
        <v>0</v>
      </c>
      <c r="F22" s="141">
        <v>30.452999999999999</v>
      </c>
      <c r="G22" s="137">
        <v>0</v>
      </c>
      <c r="H22" s="137">
        <v>0</v>
      </c>
      <c r="I22" s="36">
        <v>0</v>
      </c>
      <c r="J22" s="36">
        <v>0</v>
      </c>
      <c r="K22" s="37">
        <v>0</v>
      </c>
      <c r="L22" s="138">
        <v>0</v>
      </c>
      <c r="M22" s="138">
        <v>0</v>
      </c>
      <c r="N22" s="138">
        <v>0</v>
      </c>
      <c r="O22" s="138">
        <v>0</v>
      </c>
      <c r="P22" s="138">
        <v>0</v>
      </c>
      <c r="Q22" s="138">
        <v>0</v>
      </c>
      <c r="R22" s="138">
        <v>0</v>
      </c>
      <c r="S22" s="138">
        <v>0</v>
      </c>
      <c r="T22" s="138">
        <v>0</v>
      </c>
    </row>
    <row r="23" spans="1:20">
      <c r="A23" s="39">
        <v>19</v>
      </c>
      <c r="B23" s="144" t="s">
        <v>183</v>
      </c>
      <c r="C23" s="145"/>
      <c r="D23" s="141">
        <v>0</v>
      </c>
      <c r="E23" s="141">
        <v>0</v>
      </c>
      <c r="F23" s="141">
        <v>30.452999999999999</v>
      </c>
      <c r="G23" s="137">
        <v>0</v>
      </c>
      <c r="H23" s="137">
        <v>0</v>
      </c>
      <c r="I23" s="36">
        <v>0</v>
      </c>
      <c r="J23" s="36">
        <v>0</v>
      </c>
      <c r="K23" s="37">
        <v>0</v>
      </c>
      <c r="L23" s="138">
        <v>0</v>
      </c>
      <c r="M23" s="138">
        <v>0</v>
      </c>
      <c r="N23" s="138">
        <v>0</v>
      </c>
      <c r="O23" s="138">
        <v>0</v>
      </c>
      <c r="P23" s="138">
        <v>0</v>
      </c>
      <c r="Q23" s="138">
        <v>0</v>
      </c>
      <c r="R23" s="138">
        <v>0</v>
      </c>
      <c r="S23" s="138">
        <v>0</v>
      </c>
      <c r="T23" s="138">
        <v>0</v>
      </c>
    </row>
    <row r="24" spans="1:20">
      <c r="A24" s="39">
        <v>20</v>
      </c>
      <c r="B24" s="144" t="s">
        <v>184</v>
      </c>
      <c r="C24" s="145"/>
      <c r="D24" s="141">
        <v>0</v>
      </c>
      <c r="E24" s="141">
        <v>0</v>
      </c>
      <c r="F24" s="141">
        <v>30.452999999999999</v>
      </c>
      <c r="G24" s="137">
        <v>0</v>
      </c>
      <c r="H24" s="137">
        <v>0</v>
      </c>
      <c r="I24" s="36">
        <v>0</v>
      </c>
      <c r="J24" s="36">
        <v>0</v>
      </c>
      <c r="K24" s="37">
        <v>0</v>
      </c>
      <c r="L24" s="138">
        <v>0</v>
      </c>
      <c r="M24" s="138">
        <v>0</v>
      </c>
      <c r="N24" s="138">
        <v>0</v>
      </c>
      <c r="O24" s="138">
        <v>0</v>
      </c>
      <c r="P24" s="138">
        <v>0</v>
      </c>
      <c r="Q24" s="138">
        <v>0</v>
      </c>
      <c r="R24" s="138">
        <v>0</v>
      </c>
      <c r="S24" s="138">
        <v>0</v>
      </c>
      <c r="T24" s="138">
        <v>0</v>
      </c>
    </row>
    <row r="25" spans="1:20">
      <c r="A25" s="39">
        <v>21</v>
      </c>
      <c r="B25" s="144" t="s">
        <v>185</v>
      </c>
      <c r="C25" s="145"/>
      <c r="D25" s="141">
        <v>0</v>
      </c>
      <c r="E25" s="141">
        <v>0</v>
      </c>
      <c r="F25" s="141">
        <v>30.452999999999999</v>
      </c>
      <c r="G25" s="137">
        <v>0</v>
      </c>
      <c r="H25" s="137">
        <v>0</v>
      </c>
      <c r="I25" s="36">
        <v>0</v>
      </c>
      <c r="J25" s="36">
        <v>0</v>
      </c>
      <c r="K25" s="37">
        <v>0</v>
      </c>
      <c r="L25" s="138">
        <v>0</v>
      </c>
      <c r="M25" s="138">
        <v>0</v>
      </c>
      <c r="N25" s="138">
        <v>0</v>
      </c>
      <c r="O25" s="138">
        <v>0</v>
      </c>
      <c r="P25" s="138">
        <v>0</v>
      </c>
      <c r="Q25" s="138">
        <v>0</v>
      </c>
      <c r="R25" s="138">
        <v>0</v>
      </c>
      <c r="S25" s="138">
        <v>0</v>
      </c>
      <c r="T25" s="138">
        <v>0</v>
      </c>
    </row>
    <row r="26" spans="1:20">
      <c r="A26" s="39">
        <v>22</v>
      </c>
      <c r="B26" s="144" t="s">
        <v>186</v>
      </c>
      <c r="C26" s="145"/>
      <c r="D26" s="141">
        <v>0</v>
      </c>
      <c r="E26" s="141">
        <v>0</v>
      </c>
      <c r="F26" s="141">
        <v>30.452999999999999</v>
      </c>
      <c r="G26" s="137">
        <v>0</v>
      </c>
      <c r="H26" s="137">
        <v>0</v>
      </c>
      <c r="I26" s="36">
        <v>0</v>
      </c>
      <c r="J26" s="36">
        <v>0</v>
      </c>
      <c r="K26" s="37">
        <v>0</v>
      </c>
      <c r="L26" s="138">
        <v>0</v>
      </c>
      <c r="M26" s="138">
        <v>0</v>
      </c>
      <c r="N26" s="138">
        <v>0</v>
      </c>
      <c r="O26" s="138">
        <v>0</v>
      </c>
      <c r="P26" s="138">
        <v>0</v>
      </c>
      <c r="Q26" s="138">
        <v>0</v>
      </c>
      <c r="R26" s="138">
        <v>0</v>
      </c>
      <c r="S26" s="138">
        <v>0</v>
      </c>
      <c r="T26" s="138">
        <v>0</v>
      </c>
    </row>
    <row r="27" spans="1:20">
      <c r="A27" s="39">
        <v>23</v>
      </c>
      <c r="B27" s="144" t="s">
        <v>187</v>
      </c>
      <c r="C27" s="145"/>
      <c r="D27" s="141">
        <v>0</v>
      </c>
      <c r="E27" s="141">
        <v>0</v>
      </c>
      <c r="F27" s="141">
        <v>30.452999999999999</v>
      </c>
      <c r="G27" s="137">
        <v>0</v>
      </c>
      <c r="H27" s="137">
        <v>0</v>
      </c>
      <c r="I27" s="36">
        <v>0</v>
      </c>
      <c r="J27" s="36">
        <v>0</v>
      </c>
      <c r="K27" s="37">
        <v>0</v>
      </c>
      <c r="L27" s="138">
        <v>0</v>
      </c>
      <c r="M27" s="138">
        <v>0</v>
      </c>
      <c r="N27" s="138">
        <v>0</v>
      </c>
      <c r="O27" s="138">
        <v>0</v>
      </c>
      <c r="P27" s="138">
        <v>0</v>
      </c>
      <c r="Q27" s="138">
        <v>0</v>
      </c>
      <c r="R27" s="138">
        <v>0</v>
      </c>
      <c r="S27" s="138">
        <v>0</v>
      </c>
      <c r="T27" s="138">
        <v>0</v>
      </c>
    </row>
    <row r="28" spans="1:20">
      <c r="A28" s="39">
        <v>24</v>
      </c>
      <c r="B28" s="144" t="s">
        <v>188</v>
      </c>
      <c r="C28" s="145"/>
      <c r="D28" s="141">
        <v>0</v>
      </c>
      <c r="E28" s="141">
        <v>0</v>
      </c>
      <c r="F28" s="141">
        <v>30.452999999999999</v>
      </c>
      <c r="G28" s="137">
        <v>0</v>
      </c>
      <c r="H28" s="137">
        <v>0</v>
      </c>
      <c r="I28" s="36">
        <v>0</v>
      </c>
      <c r="J28" s="36">
        <v>0</v>
      </c>
      <c r="K28" s="37">
        <v>0</v>
      </c>
      <c r="L28" s="138">
        <v>0</v>
      </c>
      <c r="M28" s="138">
        <v>0</v>
      </c>
      <c r="N28" s="138">
        <v>0</v>
      </c>
      <c r="O28" s="138">
        <v>0</v>
      </c>
      <c r="P28" s="138">
        <v>0</v>
      </c>
      <c r="Q28" s="138">
        <v>0</v>
      </c>
      <c r="R28" s="138">
        <v>0</v>
      </c>
      <c r="S28" s="138">
        <v>0</v>
      </c>
      <c r="T28" s="138">
        <v>0</v>
      </c>
    </row>
    <row r="29" spans="1:20">
      <c r="A29" s="39">
        <v>25</v>
      </c>
      <c r="B29" s="144" t="s">
        <v>189</v>
      </c>
      <c r="C29" s="145"/>
      <c r="D29" s="141">
        <v>0</v>
      </c>
      <c r="E29" s="141">
        <v>0</v>
      </c>
      <c r="F29" s="141">
        <v>30.452999999999999</v>
      </c>
      <c r="G29" s="137">
        <v>0</v>
      </c>
      <c r="H29" s="137">
        <v>0</v>
      </c>
      <c r="I29" s="36">
        <v>0</v>
      </c>
      <c r="J29" s="36">
        <v>0</v>
      </c>
      <c r="K29" s="37">
        <v>0</v>
      </c>
      <c r="L29" s="138">
        <v>0</v>
      </c>
      <c r="M29" s="138">
        <v>0</v>
      </c>
      <c r="N29" s="138">
        <v>0</v>
      </c>
      <c r="O29" s="138">
        <v>0</v>
      </c>
      <c r="P29" s="138">
        <v>0</v>
      </c>
      <c r="Q29" s="138">
        <v>0</v>
      </c>
      <c r="R29" s="138">
        <v>0</v>
      </c>
      <c r="S29" s="138">
        <v>0</v>
      </c>
      <c r="T29" s="138">
        <v>0</v>
      </c>
    </row>
    <row r="30" spans="1:20">
      <c r="A30" s="39">
        <v>26</v>
      </c>
      <c r="B30" s="144" t="s">
        <v>190</v>
      </c>
      <c r="C30" s="145"/>
      <c r="D30" s="141">
        <v>0</v>
      </c>
      <c r="E30" s="141">
        <v>0</v>
      </c>
      <c r="F30" s="141">
        <v>30.452999999999999</v>
      </c>
      <c r="G30" s="137">
        <v>0</v>
      </c>
      <c r="H30" s="137">
        <v>0</v>
      </c>
      <c r="I30" s="36">
        <v>0</v>
      </c>
      <c r="J30" s="36">
        <v>0</v>
      </c>
      <c r="K30" s="37">
        <v>0</v>
      </c>
      <c r="L30" s="138">
        <v>0</v>
      </c>
      <c r="M30" s="138">
        <v>0</v>
      </c>
      <c r="N30" s="138">
        <v>0</v>
      </c>
      <c r="O30" s="138">
        <v>0</v>
      </c>
      <c r="P30" s="138">
        <v>0</v>
      </c>
      <c r="Q30" s="138">
        <v>0</v>
      </c>
      <c r="R30" s="138">
        <v>0</v>
      </c>
      <c r="S30" s="138">
        <v>0</v>
      </c>
      <c r="T30" s="138">
        <v>0</v>
      </c>
    </row>
    <row r="31" spans="1:20">
      <c r="A31" s="39">
        <v>27</v>
      </c>
      <c r="B31" s="144" t="s">
        <v>191</v>
      </c>
      <c r="C31" s="145"/>
      <c r="D31" s="141">
        <v>0</v>
      </c>
      <c r="E31" s="141">
        <v>0</v>
      </c>
      <c r="F31" s="141">
        <v>30.452999999999999</v>
      </c>
      <c r="G31" s="137">
        <v>0</v>
      </c>
      <c r="H31" s="137">
        <v>0</v>
      </c>
      <c r="I31" s="36">
        <v>0</v>
      </c>
      <c r="J31" s="36">
        <v>0</v>
      </c>
      <c r="K31" s="37">
        <v>0</v>
      </c>
      <c r="L31" s="138">
        <v>0</v>
      </c>
      <c r="M31" s="138">
        <v>0</v>
      </c>
      <c r="N31" s="138">
        <v>0</v>
      </c>
      <c r="O31" s="138">
        <v>0</v>
      </c>
      <c r="P31" s="138">
        <v>0</v>
      </c>
      <c r="Q31" s="138">
        <v>0</v>
      </c>
      <c r="R31" s="138">
        <v>0</v>
      </c>
      <c r="S31" s="138">
        <v>0</v>
      </c>
      <c r="T31" s="138">
        <v>0</v>
      </c>
    </row>
    <row r="32" spans="1:20">
      <c r="A32" s="39">
        <v>28</v>
      </c>
      <c r="B32" s="144" t="s">
        <v>192</v>
      </c>
      <c r="C32" s="145"/>
      <c r="D32" s="141">
        <v>0</v>
      </c>
      <c r="E32" s="141">
        <v>0</v>
      </c>
      <c r="F32" s="141">
        <v>30.452999999999999</v>
      </c>
      <c r="G32" s="137">
        <v>0</v>
      </c>
      <c r="H32" s="137">
        <v>0</v>
      </c>
      <c r="I32" s="36">
        <v>0</v>
      </c>
      <c r="J32" s="36">
        <v>0</v>
      </c>
      <c r="K32" s="37">
        <v>0</v>
      </c>
      <c r="L32" s="138">
        <v>0</v>
      </c>
      <c r="M32" s="138">
        <v>0</v>
      </c>
      <c r="N32" s="138">
        <v>0</v>
      </c>
      <c r="O32" s="138">
        <v>0</v>
      </c>
      <c r="P32" s="138">
        <v>0</v>
      </c>
      <c r="Q32" s="138">
        <v>0</v>
      </c>
      <c r="R32" s="138">
        <v>0</v>
      </c>
      <c r="S32" s="138">
        <v>0</v>
      </c>
      <c r="T32" s="138">
        <v>0</v>
      </c>
    </row>
    <row r="33" spans="1:20">
      <c r="A33" s="39">
        <v>29</v>
      </c>
      <c r="B33" s="144" t="s">
        <v>193</v>
      </c>
      <c r="C33" s="145"/>
      <c r="D33" s="141">
        <v>0</v>
      </c>
      <c r="E33" s="141">
        <v>0</v>
      </c>
      <c r="F33" s="141">
        <v>30.452999999999999</v>
      </c>
      <c r="G33" s="137">
        <v>0</v>
      </c>
      <c r="H33" s="137">
        <v>0</v>
      </c>
      <c r="I33" s="36">
        <v>0</v>
      </c>
      <c r="J33" s="36">
        <v>0</v>
      </c>
      <c r="K33" s="37">
        <v>0</v>
      </c>
      <c r="L33" s="138">
        <v>0</v>
      </c>
      <c r="M33" s="138">
        <v>0</v>
      </c>
      <c r="N33" s="138">
        <v>0</v>
      </c>
      <c r="O33" s="138">
        <v>0</v>
      </c>
      <c r="P33" s="138">
        <v>0</v>
      </c>
      <c r="Q33" s="138">
        <v>0</v>
      </c>
      <c r="R33" s="138">
        <v>0</v>
      </c>
      <c r="S33" s="138">
        <v>0</v>
      </c>
      <c r="T33" s="138">
        <v>0</v>
      </c>
    </row>
    <row r="34" spans="1:20">
      <c r="A34" s="39">
        <v>30</v>
      </c>
      <c r="B34" s="144" t="s">
        <v>194</v>
      </c>
      <c r="C34" s="145"/>
      <c r="D34" s="141">
        <v>0</v>
      </c>
      <c r="E34" s="141">
        <v>0</v>
      </c>
      <c r="F34" s="141">
        <v>30.452999999999999</v>
      </c>
      <c r="G34" s="137">
        <v>0</v>
      </c>
      <c r="H34" s="137">
        <v>0</v>
      </c>
      <c r="I34" s="36">
        <v>0</v>
      </c>
      <c r="J34" s="36">
        <v>0</v>
      </c>
      <c r="K34" s="37">
        <v>0</v>
      </c>
      <c r="L34" s="138">
        <v>0</v>
      </c>
      <c r="M34" s="138">
        <v>0</v>
      </c>
      <c r="N34" s="138">
        <v>0</v>
      </c>
      <c r="O34" s="138">
        <v>0</v>
      </c>
      <c r="P34" s="138">
        <v>0</v>
      </c>
      <c r="Q34" s="138">
        <v>0</v>
      </c>
      <c r="R34" s="138">
        <v>0</v>
      </c>
      <c r="S34" s="138">
        <v>0</v>
      </c>
      <c r="T34" s="138">
        <v>0</v>
      </c>
    </row>
    <row r="35" spans="1:20">
      <c r="A35" s="39">
        <v>31</v>
      </c>
      <c r="B35" s="144"/>
      <c r="C35" s="145"/>
      <c r="D35" s="141">
        <v>0</v>
      </c>
      <c r="E35" s="141">
        <v>0</v>
      </c>
      <c r="F35" s="141">
        <v>0</v>
      </c>
      <c r="G35" s="137">
        <v>0</v>
      </c>
      <c r="H35" s="137">
        <v>0</v>
      </c>
      <c r="I35" s="36">
        <v>0</v>
      </c>
      <c r="J35" s="36">
        <v>0</v>
      </c>
      <c r="K35" s="37">
        <v>0</v>
      </c>
      <c r="L35" s="138">
        <v>0</v>
      </c>
      <c r="M35" s="138">
        <v>0</v>
      </c>
      <c r="N35" s="138">
        <v>0</v>
      </c>
      <c r="O35" s="138">
        <v>0</v>
      </c>
      <c r="P35" s="138">
        <v>0</v>
      </c>
      <c r="Q35" s="138">
        <v>0</v>
      </c>
      <c r="R35" s="138">
        <v>0</v>
      </c>
      <c r="S35" s="138">
        <v>0</v>
      </c>
      <c r="T35" s="138">
        <v>0</v>
      </c>
    </row>
    <row r="36" spans="1:20">
      <c r="D36" s="43">
        <v>0</v>
      </c>
      <c r="E36" s="43">
        <v>0</v>
      </c>
      <c r="F36" s="43">
        <v>913.58999999999946</v>
      </c>
      <c r="G36" s="43">
        <v>0</v>
      </c>
      <c r="H36" s="43">
        <v>0</v>
      </c>
      <c r="I36" s="43">
        <v>0</v>
      </c>
      <c r="J36" s="43">
        <v>0</v>
      </c>
      <c r="K36" s="43">
        <v>0</v>
      </c>
      <c r="L36" s="139">
        <v>0</v>
      </c>
      <c r="M36" s="139">
        <v>0</v>
      </c>
      <c r="N36" s="139">
        <v>0</v>
      </c>
      <c r="O36" s="139">
        <v>32398.49</v>
      </c>
      <c r="P36" s="139">
        <v>0</v>
      </c>
      <c r="Q36" s="139">
        <v>0</v>
      </c>
      <c r="R36" s="139">
        <v>0</v>
      </c>
      <c r="S36" s="139">
        <v>0</v>
      </c>
      <c r="T36" s="139">
        <v>32398.49</v>
      </c>
    </row>
    <row r="37" spans="1:20">
      <c r="R37" s="46"/>
      <c r="S37" s="46"/>
      <c r="T37" s="140">
        <v>39526.160000000003</v>
      </c>
    </row>
  </sheetData>
  <mergeCells count="50"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43694-6D04-4D42-B587-3E9808EC9EFB}">
  <sheetPr>
    <pageSetUpPr fitToPage="1"/>
  </sheetPr>
  <dimension ref="A1:T37"/>
  <sheetViews>
    <sheetView topLeftCell="B16" workbookViewId="0">
      <selection activeCell="T37" sqref="T37"/>
    </sheetView>
  </sheetViews>
  <sheetFormatPr defaultRowHeight="15"/>
  <cols>
    <col min="1" max="3" width="9.140625" style="28"/>
    <col min="4" max="4" width="11.7109375" style="28" customWidth="1"/>
    <col min="5" max="5" width="12.140625" style="28" customWidth="1"/>
    <col min="6" max="6" width="13.28515625" style="28" customWidth="1"/>
    <col min="7" max="7" width="11.42578125" style="28" customWidth="1"/>
    <col min="8" max="8" width="10.42578125" style="28" customWidth="1"/>
    <col min="9" max="9" width="10.5703125" style="28" bestFit="1" customWidth="1"/>
    <col min="10" max="10" width="9.42578125" style="28" bestFit="1" customWidth="1"/>
    <col min="11" max="12" width="9.140625" style="28"/>
    <col min="13" max="13" width="15.140625" style="28" customWidth="1"/>
    <col min="14" max="14" width="13.5703125" style="28" customWidth="1"/>
    <col min="15" max="15" width="14.5703125" style="28" customWidth="1"/>
    <col min="16" max="16" width="14.5703125" style="28" bestFit="1" customWidth="1"/>
    <col min="17" max="17" width="15" style="28" customWidth="1"/>
    <col min="18" max="18" width="13.28515625" style="28" customWidth="1"/>
    <col min="19" max="19" width="11.7109375" style="28" customWidth="1"/>
    <col min="20" max="20" width="24.28515625" style="28" customWidth="1"/>
    <col min="21" max="16384" width="9.140625" style="28"/>
  </cols>
  <sheetData>
    <row r="1" spans="1:20">
      <c r="I1" s="29"/>
    </row>
    <row r="2" spans="1:20" ht="28.9" customHeight="1">
      <c r="A2" s="149" t="s">
        <v>216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</row>
    <row r="3" spans="1:20" ht="28.9" customHeight="1">
      <c r="A3" s="146" t="s">
        <v>0</v>
      </c>
      <c r="B3" s="150" t="s">
        <v>1</v>
      </c>
      <c r="C3" s="151"/>
      <c r="D3" s="146" t="s">
        <v>2</v>
      </c>
      <c r="E3" s="146" t="s">
        <v>3</v>
      </c>
      <c r="F3" s="30" t="s">
        <v>4</v>
      </c>
      <c r="G3" s="146" t="s">
        <v>156</v>
      </c>
      <c r="H3" s="146" t="s">
        <v>157</v>
      </c>
      <c r="I3" s="146" t="s">
        <v>7</v>
      </c>
      <c r="J3" s="146" t="s">
        <v>8</v>
      </c>
      <c r="K3" s="146" t="s">
        <v>158</v>
      </c>
      <c r="L3" s="146" t="s">
        <v>159</v>
      </c>
      <c r="M3" s="146" t="s">
        <v>160</v>
      </c>
      <c r="N3" s="146" t="s">
        <v>161</v>
      </c>
      <c r="O3" s="146" t="s">
        <v>162</v>
      </c>
      <c r="P3" s="146" t="s">
        <v>163</v>
      </c>
      <c r="Q3" s="146" t="s">
        <v>164</v>
      </c>
      <c r="R3" s="146" t="s">
        <v>16</v>
      </c>
      <c r="S3" s="146" t="s">
        <v>17</v>
      </c>
      <c r="T3" s="146" t="s">
        <v>18</v>
      </c>
    </row>
    <row r="4" spans="1:20" ht="27" customHeight="1">
      <c r="A4" s="147"/>
      <c r="B4" s="152"/>
      <c r="C4" s="153"/>
      <c r="D4" s="147"/>
      <c r="E4" s="147"/>
      <c r="F4" s="31"/>
      <c r="G4" s="147"/>
      <c r="H4" s="147"/>
      <c r="I4" s="147"/>
      <c r="J4" s="147"/>
      <c r="K4" s="148"/>
      <c r="L4" s="148"/>
      <c r="M4" s="147"/>
      <c r="N4" s="147"/>
      <c r="O4" s="147"/>
      <c r="P4" s="147"/>
      <c r="Q4" s="147"/>
      <c r="R4" s="147"/>
      <c r="S4" s="147"/>
      <c r="T4" s="147"/>
    </row>
    <row r="5" spans="1:20">
      <c r="A5" s="39">
        <v>1</v>
      </c>
      <c r="B5" s="144" t="s">
        <v>165</v>
      </c>
      <c r="C5" s="145"/>
      <c r="D5" s="141">
        <v>44</v>
      </c>
      <c r="E5" s="141">
        <v>192.375</v>
      </c>
      <c r="F5" s="141">
        <v>4588.5600000000004</v>
      </c>
      <c r="G5" s="137">
        <v>0</v>
      </c>
      <c r="H5" s="137">
        <v>0</v>
      </c>
      <c r="I5" s="36">
        <v>0</v>
      </c>
      <c r="J5" s="36">
        <v>0</v>
      </c>
      <c r="K5" s="37">
        <v>0</v>
      </c>
      <c r="L5" s="138">
        <v>0</v>
      </c>
      <c r="M5" s="138">
        <v>0</v>
      </c>
      <c r="N5" s="138">
        <v>0</v>
      </c>
      <c r="O5" s="138">
        <v>0</v>
      </c>
      <c r="P5" s="138">
        <v>0</v>
      </c>
      <c r="Q5" s="138">
        <v>0</v>
      </c>
      <c r="R5" s="138">
        <v>0</v>
      </c>
      <c r="S5" s="138">
        <v>0</v>
      </c>
      <c r="T5" s="138">
        <v>0</v>
      </c>
    </row>
    <row r="6" spans="1:20">
      <c r="A6" s="39">
        <v>2</v>
      </c>
      <c r="B6" s="144" t="s">
        <v>166</v>
      </c>
      <c r="C6" s="145"/>
      <c r="D6" s="141">
        <v>198</v>
      </c>
      <c r="E6" s="141">
        <v>224</v>
      </c>
      <c r="F6" s="141">
        <v>4562.5600000000004</v>
      </c>
      <c r="G6" s="137">
        <v>0</v>
      </c>
      <c r="H6" s="137">
        <v>0</v>
      </c>
      <c r="I6" s="36">
        <v>0</v>
      </c>
      <c r="J6" s="36">
        <v>0</v>
      </c>
      <c r="K6" s="37">
        <v>0</v>
      </c>
      <c r="L6" s="138">
        <v>0</v>
      </c>
      <c r="M6" s="138">
        <v>0</v>
      </c>
      <c r="N6" s="138">
        <v>0</v>
      </c>
      <c r="O6" s="138">
        <v>0</v>
      </c>
      <c r="P6" s="138">
        <v>0</v>
      </c>
      <c r="Q6" s="138">
        <v>0</v>
      </c>
      <c r="R6" s="138">
        <v>0</v>
      </c>
      <c r="S6" s="138">
        <v>0</v>
      </c>
      <c r="T6" s="138">
        <v>0</v>
      </c>
    </row>
    <row r="7" spans="1:20">
      <c r="A7" s="39">
        <v>3</v>
      </c>
      <c r="B7" s="144" t="s">
        <v>167</v>
      </c>
      <c r="C7" s="145"/>
      <c r="D7" s="141">
        <v>396</v>
      </c>
      <c r="E7" s="141">
        <v>67.5</v>
      </c>
      <c r="F7" s="141">
        <v>4891.0600000000004</v>
      </c>
      <c r="G7" s="137">
        <v>0</v>
      </c>
      <c r="H7" s="137">
        <v>0</v>
      </c>
      <c r="I7" s="36">
        <v>0</v>
      </c>
      <c r="J7" s="36">
        <v>0</v>
      </c>
      <c r="K7" s="37">
        <v>0</v>
      </c>
      <c r="L7" s="138">
        <v>0</v>
      </c>
      <c r="M7" s="138">
        <v>0</v>
      </c>
      <c r="N7" s="138">
        <v>0</v>
      </c>
      <c r="O7" s="138">
        <v>0</v>
      </c>
      <c r="P7" s="138">
        <v>0</v>
      </c>
      <c r="Q7" s="138">
        <v>0</v>
      </c>
      <c r="R7" s="138">
        <v>0</v>
      </c>
      <c r="S7" s="138">
        <v>0</v>
      </c>
      <c r="T7" s="138">
        <v>0</v>
      </c>
    </row>
    <row r="8" spans="1:20">
      <c r="A8" s="39">
        <v>4</v>
      </c>
      <c r="B8" s="144" t="s">
        <v>168</v>
      </c>
      <c r="C8" s="145"/>
      <c r="D8" s="141">
        <v>132.5</v>
      </c>
      <c r="E8" s="141">
        <v>22.5</v>
      </c>
      <c r="F8" s="141">
        <v>5001.0600000000004</v>
      </c>
      <c r="G8" s="137">
        <v>0</v>
      </c>
      <c r="H8" s="137">
        <v>0</v>
      </c>
      <c r="I8" s="36">
        <v>0</v>
      </c>
      <c r="J8" s="36">
        <v>0</v>
      </c>
      <c r="K8" s="37">
        <v>0</v>
      </c>
      <c r="L8" s="138">
        <v>0</v>
      </c>
      <c r="M8" s="138">
        <v>0</v>
      </c>
      <c r="N8" s="138">
        <v>0</v>
      </c>
      <c r="O8" s="138">
        <v>0</v>
      </c>
      <c r="P8" s="138">
        <v>0</v>
      </c>
      <c r="Q8" s="138">
        <v>0</v>
      </c>
      <c r="R8" s="138">
        <v>0</v>
      </c>
      <c r="S8" s="138">
        <v>0</v>
      </c>
      <c r="T8" s="138">
        <v>0</v>
      </c>
    </row>
    <row r="9" spans="1:20">
      <c r="A9" s="39">
        <v>5</v>
      </c>
      <c r="B9" s="144" t="s">
        <v>169</v>
      </c>
      <c r="C9" s="145"/>
      <c r="D9" s="141">
        <v>111</v>
      </c>
      <c r="E9" s="141">
        <v>22</v>
      </c>
      <c r="F9" s="141">
        <v>5090.0600000000004</v>
      </c>
      <c r="G9" s="137">
        <v>0</v>
      </c>
      <c r="H9" s="137">
        <v>0</v>
      </c>
      <c r="I9" s="36">
        <v>0</v>
      </c>
      <c r="J9" s="36">
        <v>0</v>
      </c>
      <c r="K9" s="37">
        <v>0</v>
      </c>
      <c r="L9" s="138">
        <v>0</v>
      </c>
      <c r="M9" s="138">
        <v>0</v>
      </c>
      <c r="N9" s="138">
        <v>0</v>
      </c>
      <c r="O9" s="138">
        <v>0</v>
      </c>
      <c r="P9" s="138">
        <v>0</v>
      </c>
      <c r="Q9" s="138">
        <v>0</v>
      </c>
      <c r="R9" s="138">
        <v>0</v>
      </c>
      <c r="S9" s="138">
        <v>0</v>
      </c>
      <c r="T9" s="138">
        <v>0</v>
      </c>
    </row>
    <row r="10" spans="1:20">
      <c r="A10" s="39">
        <v>6</v>
      </c>
      <c r="B10" s="144" t="s">
        <v>170</v>
      </c>
      <c r="C10" s="145"/>
      <c r="D10" s="141">
        <v>67.5</v>
      </c>
      <c r="E10" s="141">
        <v>16.875</v>
      </c>
      <c r="F10" s="141">
        <v>5140.6850000000004</v>
      </c>
      <c r="G10" s="137">
        <v>0</v>
      </c>
      <c r="H10" s="137">
        <v>0</v>
      </c>
      <c r="I10" s="36">
        <v>0</v>
      </c>
      <c r="J10" s="36">
        <v>0</v>
      </c>
      <c r="K10" s="37">
        <v>0</v>
      </c>
      <c r="L10" s="138">
        <v>0</v>
      </c>
      <c r="M10" s="138">
        <v>0</v>
      </c>
      <c r="N10" s="138">
        <v>0</v>
      </c>
      <c r="O10" s="138">
        <v>0</v>
      </c>
      <c r="P10" s="138">
        <v>0</v>
      </c>
      <c r="Q10" s="138">
        <v>0</v>
      </c>
      <c r="R10" s="138">
        <v>0</v>
      </c>
      <c r="S10" s="138">
        <v>0</v>
      </c>
      <c r="T10" s="138">
        <v>0</v>
      </c>
    </row>
    <row r="11" spans="1:20">
      <c r="A11" s="39">
        <v>7</v>
      </c>
      <c r="B11" s="144" t="s">
        <v>171</v>
      </c>
      <c r="C11" s="145"/>
      <c r="D11" s="141">
        <v>155</v>
      </c>
      <c r="E11" s="141">
        <v>1.375</v>
      </c>
      <c r="F11" s="141">
        <v>5294.31</v>
      </c>
      <c r="G11" s="137">
        <v>0</v>
      </c>
      <c r="H11" s="137">
        <v>0</v>
      </c>
      <c r="I11" s="36">
        <v>0</v>
      </c>
      <c r="J11" s="36">
        <v>0</v>
      </c>
      <c r="K11" s="37">
        <v>0</v>
      </c>
      <c r="L11" s="138">
        <v>0</v>
      </c>
      <c r="M11" s="138">
        <v>0</v>
      </c>
      <c r="N11" s="138">
        <v>0</v>
      </c>
      <c r="O11" s="138">
        <v>0</v>
      </c>
      <c r="P11" s="138">
        <v>0</v>
      </c>
      <c r="Q11" s="138">
        <v>0</v>
      </c>
      <c r="R11" s="138">
        <v>0</v>
      </c>
      <c r="S11" s="138">
        <v>0</v>
      </c>
      <c r="T11" s="138">
        <v>0</v>
      </c>
    </row>
    <row r="12" spans="1:20">
      <c r="A12" s="39">
        <v>8</v>
      </c>
      <c r="B12" s="144" t="s">
        <v>172</v>
      </c>
      <c r="C12" s="145"/>
      <c r="D12" s="141">
        <v>199.5</v>
      </c>
      <c r="E12" s="141">
        <v>12.375</v>
      </c>
      <c r="F12" s="141">
        <v>5481.4350000000004</v>
      </c>
      <c r="G12" s="137">
        <v>0</v>
      </c>
      <c r="H12" s="137">
        <v>0</v>
      </c>
      <c r="I12" s="36">
        <v>0</v>
      </c>
      <c r="J12" s="36">
        <v>0</v>
      </c>
      <c r="K12" s="37">
        <v>0</v>
      </c>
      <c r="L12" s="138">
        <v>0</v>
      </c>
      <c r="M12" s="138">
        <v>0</v>
      </c>
      <c r="N12" s="138">
        <v>0</v>
      </c>
      <c r="O12" s="138">
        <v>0</v>
      </c>
      <c r="P12" s="138">
        <v>0</v>
      </c>
      <c r="Q12" s="138">
        <v>0</v>
      </c>
      <c r="R12" s="138">
        <v>0</v>
      </c>
      <c r="S12" s="138">
        <v>0</v>
      </c>
      <c r="T12" s="138">
        <v>0</v>
      </c>
    </row>
    <row r="13" spans="1:20">
      <c r="A13" s="39">
        <v>9</v>
      </c>
      <c r="B13" s="144" t="s">
        <v>173</v>
      </c>
      <c r="C13" s="145"/>
      <c r="D13" s="141">
        <v>176.5</v>
      </c>
      <c r="E13" s="141">
        <v>44.5</v>
      </c>
      <c r="F13" s="141">
        <v>5613.4350000000004</v>
      </c>
      <c r="G13" s="137">
        <v>0</v>
      </c>
      <c r="H13" s="137">
        <v>0</v>
      </c>
      <c r="I13" s="36">
        <v>0</v>
      </c>
      <c r="J13" s="36">
        <v>0</v>
      </c>
      <c r="K13" s="37">
        <v>0</v>
      </c>
      <c r="L13" s="138">
        <v>0</v>
      </c>
      <c r="M13" s="138">
        <v>0</v>
      </c>
      <c r="N13" s="138">
        <v>0</v>
      </c>
      <c r="O13" s="138">
        <v>0</v>
      </c>
      <c r="P13" s="138">
        <v>0</v>
      </c>
      <c r="Q13" s="138">
        <v>0</v>
      </c>
      <c r="R13" s="138">
        <v>0</v>
      </c>
      <c r="S13" s="138">
        <v>0</v>
      </c>
      <c r="T13" s="138">
        <v>0</v>
      </c>
    </row>
    <row r="14" spans="1:20">
      <c r="A14" s="39">
        <v>10</v>
      </c>
      <c r="B14" s="144" t="s">
        <v>174</v>
      </c>
      <c r="C14" s="145"/>
      <c r="D14" s="141">
        <v>199.5</v>
      </c>
      <c r="E14" s="141">
        <v>45</v>
      </c>
      <c r="F14" s="141">
        <v>5767.9350000000004</v>
      </c>
      <c r="G14" s="137">
        <v>0</v>
      </c>
      <c r="H14" s="137">
        <v>0</v>
      </c>
      <c r="I14" s="36">
        <v>0</v>
      </c>
      <c r="J14" s="36">
        <v>0</v>
      </c>
      <c r="K14" s="37">
        <v>0</v>
      </c>
      <c r="L14" s="138">
        <v>0</v>
      </c>
      <c r="M14" s="138">
        <v>0</v>
      </c>
      <c r="N14" s="138">
        <v>0</v>
      </c>
      <c r="O14" s="138">
        <v>0</v>
      </c>
      <c r="P14" s="138">
        <v>0</v>
      </c>
      <c r="Q14" s="138">
        <v>0</v>
      </c>
      <c r="R14" s="138">
        <v>0</v>
      </c>
      <c r="S14" s="138">
        <v>0</v>
      </c>
      <c r="T14" s="138">
        <v>0</v>
      </c>
    </row>
    <row r="15" spans="1:20">
      <c r="A15" s="39">
        <v>11</v>
      </c>
      <c r="B15" s="144" t="s">
        <v>175</v>
      </c>
      <c r="C15" s="145"/>
      <c r="D15" s="141">
        <v>270.5</v>
      </c>
      <c r="E15" s="141">
        <v>0</v>
      </c>
      <c r="F15" s="141">
        <v>6038.4350000000004</v>
      </c>
      <c r="G15" s="137">
        <v>0</v>
      </c>
      <c r="H15" s="137">
        <v>0</v>
      </c>
      <c r="I15" s="36">
        <v>0</v>
      </c>
      <c r="J15" s="36">
        <v>0</v>
      </c>
      <c r="K15" s="37">
        <v>0</v>
      </c>
      <c r="L15" s="138">
        <v>0</v>
      </c>
      <c r="M15" s="138">
        <v>0</v>
      </c>
      <c r="N15" s="138">
        <v>0</v>
      </c>
      <c r="O15" s="138">
        <v>0</v>
      </c>
      <c r="P15" s="138">
        <v>0</v>
      </c>
      <c r="Q15" s="138">
        <v>0</v>
      </c>
      <c r="R15" s="138">
        <v>0</v>
      </c>
      <c r="S15" s="138">
        <v>0</v>
      </c>
      <c r="T15" s="138">
        <v>0</v>
      </c>
    </row>
    <row r="16" spans="1:20">
      <c r="A16" s="39">
        <v>12</v>
      </c>
      <c r="B16" s="144" t="s">
        <v>176</v>
      </c>
      <c r="C16" s="145"/>
      <c r="D16" s="141">
        <v>220.5</v>
      </c>
      <c r="E16" s="141">
        <v>180</v>
      </c>
      <c r="F16" s="141">
        <v>6078.9350000000004</v>
      </c>
      <c r="G16" s="137">
        <v>0</v>
      </c>
      <c r="H16" s="137">
        <v>0</v>
      </c>
      <c r="I16" s="36">
        <v>0</v>
      </c>
      <c r="J16" s="36">
        <v>0</v>
      </c>
      <c r="K16" s="37">
        <v>0</v>
      </c>
      <c r="L16" s="138">
        <v>0</v>
      </c>
      <c r="M16" s="138">
        <v>0</v>
      </c>
      <c r="N16" s="138">
        <v>0</v>
      </c>
      <c r="O16" s="138">
        <v>0</v>
      </c>
      <c r="P16" s="138">
        <v>0</v>
      </c>
      <c r="Q16" s="138">
        <v>0</v>
      </c>
      <c r="R16" s="138">
        <v>0</v>
      </c>
      <c r="S16" s="138">
        <v>0</v>
      </c>
      <c r="T16" s="138">
        <v>0</v>
      </c>
    </row>
    <row r="17" spans="1:20">
      <c r="A17" s="39">
        <v>13</v>
      </c>
      <c r="B17" s="144" t="s">
        <v>177</v>
      </c>
      <c r="C17" s="145"/>
      <c r="D17" s="141">
        <v>66</v>
      </c>
      <c r="E17" s="141">
        <v>224</v>
      </c>
      <c r="F17" s="141">
        <v>5920.9350000000004</v>
      </c>
      <c r="G17" s="137">
        <v>0</v>
      </c>
      <c r="H17" s="137">
        <v>0</v>
      </c>
      <c r="I17" s="36">
        <v>0</v>
      </c>
      <c r="J17" s="36">
        <v>0</v>
      </c>
      <c r="K17" s="37">
        <v>0</v>
      </c>
      <c r="L17" s="138">
        <v>0</v>
      </c>
      <c r="M17" s="138">
        <v>0</v>
      </c>
      <c r="N17" s="138">
        <v>0</v>
      </c>
      <c r="O17" s="138">
        <v>0</v>
      </c>
      <c r="P17" s="138">
        <v>0</v>
      </c>
      <c r="Q17" s="138">
        <v>0</v>
      </c>
      <c r="R17" s="138">
        <v>0</v>
      </c>
      <c r="S17" s="138">
        <v>0</v>
      </c>
      <c r="T17" s="138">
        <v>0</v>
      </c>
    </row>
    <row r="18" spans="1:20">
      <c r="A18" s="39">
        <v>14</v>
      </c>
      <c r="B18" s="144" t="s">
        <v>178</v>
      </c>
      <c r="C18" s="145"/>
      <c r="D18" s="141">
        <v>220</v>
      </c>
      <c r="E18" s="141">
        <v>134.1</v>
      </c>
      <c r="F18" s="141">
        <v>6006.835</v>
      </c>
      <c r="G18" s="137">
        <v>0</v>
      </c>
      <c r="H18" s="137">
        <v>0</v>
      </c>
      <c r="I18" s="36">
        <v>0</v>
      </c>
      <c r="J18" s="36">
        <v>0</v>
      </c>
      <c r="K18" s="37">
        <v>0</v>
      </c>
      <c r="L18" s="138">
        <v>0</v>
      </c>
      <c r="M18" s="138">
        <v>0</v>
      </c>
      <c r="N18" s="138">
        <v>0</v>
      </c>
      <c r="O18" s="138">
        <v>0</v>
      </c>
      <c r="P18" s="138">
        <v>0</v>
      </c>
      <c r="Q18" s="138">
        <v>0</v>
      </c>
      <c r="R18" s="138">
        <v>0</v>
      </c>
      <c r="S18" s="138">
        <v>0</v>
      </c>
      <c r="T18" s="138">
        <v>0</v>
      </c>
    </row>
    <row r="19" spans="1:20">
      <c r="A19" s="39">
        <v>15</v>
      </c>
      <c r="B19" s="144" t="s">
        <v>179</v>
      </c>
      <c r="C19" s="145"/>
      <c r="D19" s="141">
        <v>198.5</v>
      </c>
      <c r="E19" s="141">
        <v>44</v>
      </c>
      <c r="F19" s="141">
        <v>6161.335</v>
      </c>
      <c r="G19" s="137">
        <v>0</v>
      </c>
      <c r="H19" s="137">
        <v>0</v>
      </c>
      <c r="I19" s="36">
        <v>0</v>
      </c>
      <c r="J19" s="36">
        <v>0</v>
      </c>
      <c r="K19" s="37">
        <v>0</v>
      </c>
      <c r="L19" s="138">
        <v>0</v>
      </c>
      <c r="M19" s="138">
        <v>0</v>
      </c>
      <c r="N19" s="138">
        <v>0</v>
      </c>
      <c r="O19" s="138">
        <v>0</v>
      </c>
      <c r="P19" s="138">
        <v>0</v>
      </c>
      <c r="Q19" s="138">
        <v>0</v>
      </c>
      <c r="R19" s="138">
        <v>0</v>
      </c>
      <c r="S19" s="138">
        <v>0</v>
      </c>
      <c r="T19" s="138">
        <v>0</v>
      </c>
    </row>
    <row r="20" spans="1:20">
      <c r="A20" s="39">
        <v>16</v>
      </c>
      <c r="B20" s="144" t="s">
        <v>180</v>
      </c>
      <c r="C20" s="145"/>
      <c r="D20" s="141">
        <v>198</v>
      </c>
      <c r="E20" s="141">
        <v>0</v>
      </c>
      <c r="F20" s="141">
        <v>6359.335</v>
      </c>
      <c r="G20" s="137">
        <v>0</v>
      </c>
      <c r="H20" s="137">
        <v>0</v>
      </c>
      <c r="I20" s="36">
        <v>0</v>
      </c>
      <c r="J20" s="36">
        <v>0</v>
      </c>
      <c r="K20" s="37">
        <v>0</v>
      </c>
      <c r="L20" s="138">
        <v>0</v>
      </c>
      <c r="M20" s="138">
        <v>0</v>
      </c>
      <c r="N20" s="138">
        <v>0</v>
      </c>
      <c r="O20" s="138">
        <v>0</v>
      </c>
      <c r="P20" s="138">
        <v>0</v>
      </c>
      <c r="Q20" s="138">
        <v>0</v>
      </c>
      <c r="R20" s="138">
        <v>0</v>
      </c>
      <c r="S20" s="138">
        <v>0</v>
      </c>
      <c r="T20" s="138">
        <v>0</v>
      </c>
    </row>
    <row r="21" spans="1:20">
      <c r="A21" s="39">
        <v>17</v>
      </c>
      <c r="B21" s="144" t="s">
        <v>181</v>
      </c>
      <c r="C21" s="145"/>
      <c r="D21" s="141">
        <v>264</v>
      </c>
      <c r="E21" s="141">
        <v>0</v>
      </c>
      <c r="F21" s="141">
        <v>6623.335</v>
      </c>
      <c r="G21" s="137">
        <v>0</v>
      </c>
      <c r="H21" s="137">
        <v>0</v>
      </c>
      <c r="I21" s="36">
        <v>0</v>
      </c>
      <c r="J21" s="36">
        <v>0</v>
      </c>
      <c r="K21" s="37">
        <v>0</v>
      </c>
      <c r="L21" s="138">
        <v>0</v>
      </c>
      <c r="M21" s="138">
        <v>0</v>
      </c>
      <c r="N21" s="138">
        <v>0</v>
      </c>
      <c r="O21" s="138">
        <v>0</v>
      </c>
      <c r="P21" s="138">
        <v>0</v>
      </c>
      <c r="Q21" s="138">
        <v>0</v>
      </c>
      <c r="R21" s="138">
        <v>0</v>
      </c>
      <c r="S21" s="138">
        <v>0</v>
      </c>
      <c r="T21" s="138">
        <v>0</v>
      </c>
    </row>
    <row r="22" spans="1:20">
      <c r="A22" s="39">
        <v>18</v>
      </c>
      <c r="B22" s="144" t="s">
        <v>182</v>
      </c>
      <c r="C22" s="145"/>
      <c r="D22" s="141">
        <v>177</v>
      </c>
      <c r="E22" s="141">
        <v>0</v>
      </c>
      <c r="F22" s="141">
        <v>6800.335</v>
      </c>
      <c r="G22" s="137">
        <v>0</v>
      </c>
      <c r="H22" s="137">
        <v>0</v>
      </c>
      <c r="I22" s="36">
        <v>0</v>
      </c>
      <c r="J22" s="36">
        <v>0</v>
      </c>
      <c r="K22" s="37">
        <v>0</v>
      </c>
      <c r="L22" s="138">
        <v>0</v>
      </c>
      <c r="M22" s="138">
        <v>0</v>
      </c>
      <c r="N22" s="138">
        <v>0</v>
      </c>
      <c r="O22" s="138">
        <v>0</v>
      </c>
      <c r="P22" s="138">
        <v>0</v>
      </c>
      <c r="Q22" s="138">
        <v>0</v>
      </c>
      <c r="R22" s="138">
        <v>0</v>
      </c>
      <c r="S22" s="138">
        <v>0</v>
      </c>
      <c r="T22" s="138">
        <v>0</v>
      </c>
    </row>
    <row r="23" spans="1:20">
      <c r="A23" s="39">
        <v>19</v>
      </c>
      <c r="B23" s="144" t="s">
        <v>183</v>
      </c>
      <c r="C23" s="145"/>
      <c r="D23" s="141">
        <v>265.5</v>
      </c>
      <c r="E23" s="141">
        <v>135</v>
      </c>
      <c r="F23" s="141">
        <v>6930.835</v>
      </c>
      <c r="G23" s="137">
        <v>0</v>
      </c>
      <c r="H23" s="137">
        <v>0</v>
      </c>
      <c r="I23" s="36">
        <v>0</v>
      </c>
      <c r="J23" s="36">
        <v>0</v>
      </c>
      <c r="K23" s="37">
        <v>0</v>
      </c>
      <c r="L23" s="138">
        <v>0</v>
      </c>
      <c r="M23" s="138">
        <v>0</v>
      </c>
      <c r="N23" s="138">
        <v>0</v>
      </c>
      <c r="O23" s="138">
        <v>0</v>
      </c>
      <c r="P23" s="138">
        <v>0</v>
      </c>
      <c r="Q23" s="138">
        <v>0</v>
      </c>
      <c r="R23" s="138">
        <v>0</v>
      </c>
      <c r="S23" s="138">
        <v>0</v>
      </c>
      <c r="T23" s="138">
        <v>0</v>
      </c>
    </row>
    <row r="24" spans="1:20">
      <c r="A24" s="39">
        <v>20</v>
      </c>
      <c r="B24" s="144" t="s">
        <v>184</v>
      </c>
      <c r="C24" s="145"/>
      <c r="D24" s="141">
        <v>154.5</v>
      </c>
      <c r="E24" s="141">
        <v>45</v>
      </c>
      <c r="F24" s="141">
        <v>7040.335</v>
      </c>
      <c r="G24" s="137">
        <v>0</v>
      </c>
      <c r="H24" s="137">
        <v>0</v>
      </c>
      <c r="I24" s="36">
        <v>0</v>
      </c>
      <c r="J24" s="36">
        <v>0</v>
      </c>
      <c r="K24" s="37">
        <v>0</v>
      </c>
      <c r="L24" s="138">
        <v>0</v>
      </c>
      <c r="M24" s="138">
        <v>0</v>
      </c>
      <c r="N24" s="138">
        <v>0</v>
      </c>
      <c r="O24" s="138">
        <v>0</v>
      </c>
      <c r="P24" s="138">
        <v>0</v>
      </c>
      <c r="Q24" s="138">
        <v>0</v>
      </c>
      <c r="R24" s="138">
        <v>0</v>
      </c>
      <c r="S24" s="138">
        <v>0</v>
      </c>
      <c r="T24" s="138">
        <v>0</v>
      </c>
    </row>
    <row r="25" spans="1:20">
      <c r="A25" s="39">
        <v>21</v>
      </c>
      <c r="B25" s="144" t="s">
        <v>185</v>
      </c>
      <c r="C25" s="145"/>
      <c r="D25" s="141">
        <v>334.25</v>
      </c>
      <c r="E25" s="141">
        <v>0.3</v>
      </c>
      <c r="F25" s="141">
        <v>7374.2849999999999</v>
      </c>
      <c r="G25" s="137">
        <v>0</v>
      </c>
      <c r="H25" s="137">
        <v>0</v>
      </c>
      <c r="I25" s="36">
        <v>0</v>
      </c>
      <c r="J25" s="36">
        <v>0</v>
      </c>
      <c r="K25" s="37">
        <v>0</v>
      </c>
      <c r="L25" s="138">
        <v>0</v>
      </c>
      <c r="M25" s="138">
        <v>0</v>
      </c>
      <c r="N25" s="138">
        <v>0</v>
      </c>
      <c r="O25" s="138">
        <v>0</v>
      </c>
      <c r="P25" s="138">
        <v>0</v>
      </c>
      <c r="Q25" s="138">
        <v>0</v>
      </c>
      <c r="R25" s="138">
        <v>0</v>
      </c>
      <c r="S25" s="138">
        <v>0</v>
      </c>
      <c r="T25" s="138">
        <v>0</v>
      </c>
    </row>
    <row r="26" spans="1:20">
      <c r="A26" s="39">
        <v>22</v>
      </c>
      <c r="B26" s="144" t="s">
        <v>186</v>
      </c>
      <c r="C26" s="145"/>
      <c r="D26" s="141">
        <v>89</v>
      </c>
      <c r="E26" s="141">
        <v>88.5</v>
      </c>
      <c r="F26" s="141">
        <v>7374.7849999999999</v>
      </c>
      <c r="G26" s="137">
        <v>0</v>
      </c>
      <c r="H26" s="137">
        <v>0</v>
      </c>
      <c r="I26" s="36">
        <v>0</v>
      </c>
      <c r="J26" s="36">
        <v>0</v>
      </c>
      <c r="K26" s="37">
        <v>0</v>
      </c>
      <c r="L26" s="138">
        <v>0</v>
      </c>
      <c r="M26" s="138">
        <v>0</v>
      </c>
      <c r="N26" s="138">
        <v>0</v>
      </c>
      <c r="O26" s="138">
        <v>0</v>
      </c>
      <c r="P26" s="138">
        <v>0</v>
      </c>
      <c r="Q26" s="138">
        <v>0</v>
      </c>
      <c r="R26" s="138">
        <v>0</v>
      </c>
      <c r="S26" s="138">
        <v>0</v>
      </c>
      <c r="T26" s="138">
        <v>0</v>
      </c>
    </row>
    <row r="27" spans="1:20">
      <c r="A27" s="39">
        <v>23</v>
      </c>
      <c r="B27" s="144" t="s">
        <v>187</v>
      </c>
      <c r="C27" s="145"/>
      <c r="D27" s="141">
        <v>156.5</v>
      </c>
      <c r="E27" s="141">
        <v>0</v>
      </c>
      <c r="F27" s="141">
        <v>7531.2849999999999</v>
      </c>
      <c r="G27" s="137">
        <v>0</v>
      </c>
      <c r="H27" s="137">
        <v>0</v>
      </c>
      <c r="I27" s="36">
        <v>1.5</v>
      </c>
      <c r="J27" s="36">
        <v>0</v>
      </c>
      <c r="K27" s="37">
        <v>0</v>
      </c>
      <c r="L27" s="138">
        <v>0</v>
      </c>
      <c r="M27" s="138">
        <v>0</v>
      </c>
      <c r="N27" s="138">
        <v>0</v>
      </c>
      <c r="O27" s="138">
        <v>0</v>
      </c>
      <c r="P27" s="138">
        <v>0</v>
      </c>
      <c r="Q27" s="138">
        <v>0</v>
      </c>
      <c r="R27" s="138">
        <v>1425</v>
      </c>
      <c r="S27" s="138">
        <v>0</v>
      </c>
      <c r="T27" s="138">
        <v>1425</v>
      </c>
    </row>
    <row r="28" spans="1:20">
      <c r="A28" s="39">
        <v>24</v>
      </c>
      <c r="B28" s="144" t="s">
        <v>188</v>
      </c>
      <c r="C28" s="145"/>
      <c r="D28" s="141">
        <v>90</v>
      </c>
      <c r="E28" s="141">
        <v>23.2</v>
      </c>
      <c r="F28" s="141">
        <v>7598.085</v>
      </c>
      <c r="G28" s="137">
        <v>0</v>
      </c>
      <c r="H28" s="137">
        <v>0</v>
      </c>
      <c r="I28" s="36">
        <v>0</v>
      </c>
      <c r="J28" s="36">
        <v>0</v>
      </c>
      <c r="K28" s="37">
        <v>0</v>
      </c>
      <c r="L28" s="138">
        <v>0</v>
      </c>
      <c r="M28" s="138">
        <v>0</v>
      </c>
      <c r="N28" s="138">
        <v>0</v>
      </c>
      <c r="O28" s="138">
        <v>0</v>
      </c>
      <c r="P28" s="138">
        <v>0</v>
      </c>
      <c r="Q28" s="138">
        <v>0</v>
      </c>
      <c r="R28" s="138">
        <v>0</v>
      </c>
      <c r="S28" s="138">
        <v>0</v>
      </c>
      <c r="T28" s="138">
        <v>0</v>
      </c>
    </row>
    <row r="29" spans="1:20">
      <c r="A29" s="39">
        <v>25</v>
      </c>
      <c r="B29" s="144" t="s">
        <v>189</v>
      </c>
      <c r="C29" s="145"/>
      <c r="D29" s="141">
        <v>67.5</v>
      </c>
      <c r="E29" s="141">
        <v>44</v>
      </c>
      <c r="F29" s="141">
        <v>7621.585</v>
      </c>
      <c r="G29" s="137">
        <v>0</v>
      </c>
      <c r="H29" s="137">
        <v>0</v>
      </c>
      <c r="I29" s="36">
        <v>0</v>
      </c>
      <c r="J29" s="36">
        <v>0</v>
      </c>
      <c r="K29" s="37">
        <v>0</v>
      </c>
      <c r="L29" s="138">
        <v>0</v>
      </c>
      <c r="M29" s="138">
        <v>0</v>
      </c>
      <c r="N29" s="138">
        <v>0</v>
      </c>
      <c r="O29" s="138">
        <v>0</v>
      </c>
      <c r="P29" s="138">
        <v>0</v>
      </c>
      <c r="Q29" s="138">
        <v>0</v>
      </c>
      <c r="R29" s="138">
        <v>0</v>
      </c>
      <c r="S29" s="138">
        <v>0</v>
      </c>
      <c r="T29" s="138">
        <v>0</v>
      </c>
    </row>
    <row r="30" spans="1:20">
      <c r="A30" s="39">
        <v>26</v>
      </c>
      <c r="B30" s="144" t="s">
        <v>190</v>
      </c>
      <c r="C30" s="145"/>
      <c r="D30" s="141">
        <v>0</v>
      </c>
      <c r="E30" s="141">
        <v>44</v>
      </c>
      <c r="F30" s="141">
        <v>7577.585</v>
      </c>
      <c r="G30" s="137">
        <v>0</v>
      </c>
      <c r="H30" s="137">
        <v>0</v>
      </c>
      <c r="I30" s="36">
        <v>0</v>
      </c>
      <c r="J30" s="36">
        <v>0</v>
      </c>
      <c r="K30" s="37">
        <v>0</v>
      </c>
      <c r="L30" s="138">
        <v>0</v>
      </c>
      <c r="M30" s="138">
        <v>0</v>
      </c>
      <c r="N30" s="138">
        <v>0</v>
      </c>
      <c r="O30" s="138">
        <v>0</v>
      </c>
      <c r="P30" s="138">
        <v>0</v>
      </c>
      <c r="Q30" s="138">
        <v>0</v>
      </c>
      <c r="R30" s="138">
        <v>0</v>
      </c>
      <c r="S30" s="138">
        <v>0</v>
      </c>
      <c r="T30" s="138">
        <v>0</v>
      </c>
    </row>
    <row r="31" spans="1:20">
      <c r="A31" s="39">
        <v>27</v>
      </c>
      <c r="B31" s="144" t="s">
        <v>191</v>
      </c>
      <c r="C31" s="145"/>
      <c r="D31" s="141">
        <v>67</v>
      </c>
      <c r="E31" s="141">
        <v>66.5</v>
      </c>
      <c r="F31" s="141">
        <v>7578.085</v>
      </c>
      <c r="G31" s="137">
        <v>0</v>
      </c>
      <c r="H31" s="137">
        <v>0</v>
      </c>
      <c r="I31" s="36">
        <v>0</v>
      </c>
      <c r="J31" s="36">
        <v>0</v>
      </c>
      <c r="K31" s="37">
        <v>0</v>
      </c>
      <c r="L31" s="138">
        <v>0</v>
      </c>
      <c r="M31" s="138">
        <v>0</v>
      </c>
      <c r="N31" s="138">
        <v>0</v>
      </c>
      <c r="O31" s="138">
        <v>0</v>
      </c>
      <c r="P31" s="138">
        <v>0</v>
      </c>
      <c r="Q31" s="138">
        <v>0</v>
      </c>
      <c r="R31" s="138">
        <v>0</v>
      </c>
      <c r="S31" s="138">
        <v>0</v>
      </c>
      <c r="T31" s="138">
        <v>0</v>
      </c>
    </row>
    <row r="32" spans="1:20">
      <c r="A32" s="39">
        <v>28</v>
      </c>
      <c r="B32" s="144" t="s">
        <v>192</v>
      </c>
      <c r="C32" s="145"/>
      <c r="D32" s="141">
        <v>200</v>
      </c>
      <c r="E32" s="141">
        <v>44</v>
      </c>
      <c r="F32" s="141">
        <v>7734.085</v>
      </c>
      <c r="G32" s="137">
        <v>0</v>
      </c>
      <c r="H32" s="137">
        <v>0</v>
      </c>
      <c r="I32" s="36">
        <v>0</v>
      </c>
      <c r="J32" s="36">
        <v>0</v>
      </c>
      <c r="K32" s="37">
        <v>0</v>
      </c>
      <c r="L32" s="138">
        <v>0</v>
      </c>
      <c r="M32" s="138">
        <v>0</v>
      </c>
      <c r="N32" s="138">
        <v>0</v>
      </c>
      <c r="O32" s="138">
        <v>0</v>
      </c>
      <c r="P32" s="138">
        <v>0</v>
      </c>
      <c r="Q32" s="138">
        <v>0</v>
      </c>
      <c r="R32" s="138">
        <v>0</v>
      </c>
      <c r="S32" s="138">
        <v>0</v>
      </c>
      <c r="T32" s="138">
        <v>0</v>
      </c>
    </row>
    <row r="33" spans="1:20">
      <c r="A33" s="39">
        <v>29</v>
      </c>
      <c r="B33" s="144" t="s">
        <v>193</v>
      </c>
      <c r="C33" s="145"/>
      <c r="D33" s="141">
        <v>178.5</v>
      </c>
      <c r="E33" s="141">
        <v>92.25</v>
      </c>
      <c r="F33" s="141">
        <v>7820.335</v>
      </c>
      <c r="G33" s="137">
        <v>0</v>
      </c>
      <c r="H33" s="137">
        <v>0</v>
      </c>
      <c r="I33" s="36">
        <v>0</v>
      </c>
      <c r="J33" s="36">
        <v>0</v>
      </c>
      <c r="K33" s="37">
        <v>0</v>
      </c>
      <c r="L33" s="138">
        <v>0</v>
      </c>
      <c r="M33" s="138">
        <v>0</v>
      </c>
      <c r="N33" s="138">
        <v>0</v>
      </c>
      <c r="O33" s="138">
        <v>0</v>
      </c>
      <c r="P33" s="138">
        <v>0</v>
      </c>
      <c r="Q33" s="138">
        <v>0</v>
      </c>
      <c r="R33" s="138">
        <v>0</v>
      </c>
      <c r="S33" s="138">
        <v>0</v>
      </c>
      <c r="T33" s="138">
        <v>0</v>
      </c>
    </row>
    <row r="34" spans="1:20">
      <c r="A34" s="39">
        <v>30</v>
      </c>
      <c r="B34" s="144" t="s">
        <v>194</v>
      </c>
      <c r="C34" s="145"/>
      <c r="D34" s="141">
        <v>110</v>
      </c>
      <c r="E34" s="141">
        <v>22.5</v>
      </c>
      <c r="F34" s="141">
        <v>7907.835</v>
      </c>
      <c r="G34" s="137">
        <v>0</v>
      </c>
      <c r="H34" s="137">
        <v>0</v>
      </c>
      <c r="I34" s="36">
        <v>0</v>
      </c>
      <c r="J34" s="36">
        <v>0</v>
      </c>
      <c r="K34" s="37">
        <v>0</v>
      </c>
      <c r="L34" s="138">
        <v>0</v>
      </c>
      <c r="M34" s="138">
        <v>0</v>
      </c>
      <c r="N34" s="138">
        <v>0</v>
      </c>
      <c r="O34" s="138">
        <v>0</v>
      </c>
      <c r="P34" s="138">
        <v>0</v>
      </c>
      <c r="Q34" s="138">
        <v>0</v>
      </c>
      <c r="R34" s="138">
        <v>0</v>
      </c>
      <c r="S34" s="138">
        <v>0</v>
      </c>
      <c r="T34" s="138">
        <v>0</v>
      </c>
    </row>
    <row r="35" spans="1:20">
      <c r="A35" s="39">
        <v>31</v>
      </c>
      <c r="B35" s="144"/>
      <c r="C35" s="145"/>
      <c r="D35" s="141">
        <v>0</v>
      </c>
      <c r="E35" s="141">
        <v>0</v>
      </c>
      <c r="F35" s="141">
        <v>0</v>
      </c>
      <c r="G35" s="137">
        <v>0</v>
      </c>
      <c r="H35" s="137">
        <v>0</v>
      </c>
      <c r="I35" s="36">
        <v>0</v>
      </c>
      <c r="J35" s="36">
        <v>0</v>
      </c>
      <c r="K35" s="37">
        <v>0</v>
      </c>
      <c r="L35" s="138">
        <v>0</v>
      </c>
      <c r="M35" s="138">
        <v>0</v>
      </c>
      <c r="N35" s="138">
        <v>0</v>
      </c>
      <c r="O35" s="138">
        <v>0</v>
      </c>
      <c r="P35" s="138">
        <v>0</v>
      </c>
      <c r="Q35" s="138">
        <v>0</v>
      </c>
      <c r="R35" s="138">
        <v>0</v>
      </c>
      <c r="S35" s="138">
        <v>0</v>
      </c>
      <c r="T35" s="138">
        <v>0</v>
      </c>
    </row>
    <row r="36" spans="1:20">
      <c r="D36" s="43">
        <v>5006.75</v>
      </c>
      <c r="E36" s="43">
        <v>1835.85</v>
      </c>
      <c r="F36" s="43">
        <v>191509.69999999998</v>
      </c>
      <c r="G36" s="43">
        <v>0</v>
      </c>
      <c r="H36" s="43">
        <v>0</v>
      </c>
      <c r="I36" s="43">
        <v>1.5</v>
      </c>
      <c r="J36" s="43">
        <v>0</v>
      </c>
      <c r="K36" s="43">
        <v>0</v>
      </c>
      <c r="L36" s="139">
        <v>0</v>
      </c>
      <c r="M36" s="139">
        <v>912000</v>
      </c>
      <c r="N36" s="139">
        <v>912000</v>
      </c>
      <c r="O36" s="139">
        <v>6791476.21</v>
      </c>
      <c r="P36" s="139">
        <v>0</v>
      </c>
      <c r="Q36" s="139">
        <v>0</v>
      </c>
      <c r="R36" s="139">
        <v>1425</v>
      </c>
      <c r="S36" s="139">
        <v>0</v>
      </c>
      <c r="T36" s="139">
        <v>8616901.2100000009</v>
      </c>
    </row>
    <row r="37" spans="1:20">
      <c r="R37" s="46"/>
      <c r="S37" s="46"/>
      <c r="T37" s="140">
        <v>10512619.48</v>
      </c>
    </row>
  </sheetData>
  <mergeCells count="50"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59E9C-5B1D-4213-AE24-E965E8D2974C}">
  <sheetPr>
    <pageSetUpPr fitToPage="1"/>
  </sheetPr>
  <dimension ref="A1:T37"/>
  <sheetViews>
    <sheetView topLeftCell="B16" workbookViewId="0">
      <selection activeCell="T37" sqref="T37"/>
    </sheetView>
  </sheetViews>
  <sheetFormatPr defaultRowHeight="15"/>
  <cols>
    <col min="1" max="3" width="9.140625" style="28"/>
    <col min="4" max="4" width="11.7109375" style="28" customWidth="1"/>
    <col min="5" max="5" width="12.140625" style="28" customWidth="1"/>
    <col min="6" max="6" width="13.28515625" style="28" customWidth="1"/>
    <col min="7" max="7" width="11.42578125" style="28" customWidth="1"/>
    <col min="8" max="8" width="10.42578125" style="28" customWidth="1"/>
    <col min="9" max="9" width="10.5703125" style="28" bestFit="1" customWidth="1"/>
    <col min="10" max="10" width="9.42578125" style="28" bestFit="1" customWidth="1"/>
    <col min="11" max="12" width="9.140625" style="28"/>
    <col min="13" max="13" width="15.140625" style="28" customWidth="1"/>
    <col min="14" max="14" width="13.5703125" style="28" customWidth="1"/>
    <col min="15" max="15" width="14.5703125" style="28" customWidth="1"/>
    <col min="16" max="16" width="14.5703125" style="28" bestFit="1" customWidth="1"/>
    <col min="17" max="17" width="15" style="28" customWidth="1"/>
    <col min="18" max="18" width="13.28515625" style="28" customWidth="1"/>
    <col min="19" max="19" width="11.7109375" style="28" customWidth="1"/>
    <col min="20" max="20" width="24.28515625" style="28" customWidth="1"/>
    <col min="21" max="16384" width="9.140625" style="28"/>
  </cols>
  <sheetData>
    <row r="1" spans="1:20">
      <c r="I1" s="29"/>
    </row>
    <row r="2" spans="1:20" ht="28.9" customHeight="1">
      <c r="A2" s="149" t="s">
        <v>217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</row>
    <row r="3" spans="1:20" ht="28.9" customHeight="1">
      <c r="A3" s="146" t="s">
        <v>0</v>
      </c>
      <c r="B3" s="150" t="s">
        <v>1</v>
      </c>
      <c r="C3" s="151"/>
      <c r="D3" s="146" t="s">
        <v>2</v>
      </c>
      <c r="E3" s="146" t="s">
        <v>3</v>
      </c>
      <c r="F3" s="30" t="s">
        <v>4</v>
      </c>
      <c r="G3" s="146" t="s">
        <v>156</v>
      </c>
      <c r="H3" s="146" t="s">
        <v>157</v>
      </c>
      <c r="I3" s="146" t="s">
        <v>7</v>
      </c>
      <c r="J3" s="146" t="s">
        <v>8</v>
      </c>
      <c r="K3" s="146" t="s">
        <v>158</v>
      </c>
      <c r="L3" s="146" t="s">
        <v>159</v>
      </c>
      <c r="M3" s="146" t="s">
        <v>160</v>
      </c>
      <c r="N3" s="146" t="s">
        <v>161</v>
      </c>
      <c r="O3" s="146" t="s">
        <v>162</v>
      </c>
      <c r="P3" s="146" t="s">
        <v>163</v>
      </c>
      <c r="Q3" s="146" t="s">
        <v>164</v>
      </c>
      <c r="R3" s="146" t="s">
        <v>16</v>
      </c>
      <c r="S3" s="146" t="s">
        <v>17</v>
      </c>
      <c r="T3" s="146" t="s">
        <v>18</v>
      </c>
    </row>
    <row r="4" spans="1:20" ht="27" customHeight="1">
      <c r="A4" s="147"/>
      <c r="B4" s="152"/>
      <c r="C4" s="153"/>
      <c r="D4" s="147"/>
      <c r="E4" s="147"/>
      <c r="F4" s="31"/>
      <c r="G4" s="147"/>
      <c r="H4" s="147"/>
      <c r="I4" s="147"/>
      <c r="J4" s="147"/>
      <c r="K4" s="148"/>
      <c r="L4" s="148"/>
      <c r="M4" s="147"/>
      <c r="N4" s="147"/>
      <c r="O4" s="147"/>
      <c r="P4" s="147"/>
      <c r="Q4" s="147"/>
      <c r="R4" s="147"/>
      <c r="S4" s="147"/>
      <c r="T4" s="147"/>
    </row>
    <row r="5" spans="1:20">
      <c r="A5" s="39">
        <v>1</v>
      </c>
      <c r="B5" s="144" t="s">
        <v>165</v>
      </c>
      <c r="C5" s="145"/>
      <c r="D5" s="141">
        <v>0</v>
      </c>
      <c r="E5" s="141">
        <v>0</v>
      </c>
      <c r="F5" s="141">
        <v>15.157</v>
      </c>
      <c r="G5" s="137">
        <v>0</v>
      </c>
      <c r="H5" s="137">
        <v>0</v>
      </c>
      <c r="I5" s="36">
        <v>0</v>
      </c>
      <c r="J5" s="36">
        <v>0</v>
      </c>
      <c r="K5" s="37">
        <v>0</v>
      </c>
      <c r="L5" s="138">
        <v>0</v>
      </c>
      <c r="M5" s="138">
        <v>0</v>
      </c>
      <c r="N5" s="138">
        <v>0</v>
      </c>
      <c r="O5" s="138">
        <v>0</v>
      </c>
      <c r="P5" s="138">
        <v>0</v>
      </c>
      <c r="Q5" s="138">
        <v>0</v>
      </c>
      <c r="R5" s="138">
        <v>0</v>
      </c>
      <c r="S5" s="138">
        <v>0</v>
      </c>
      <c r="T5" s="138">
        <v>0</v>
      </c>
    </row>
    <row r="6" spans="1:20">
      <c r="A6" s="39">
        <v>2</v>
      </c>
      <c r="B6" s="144" t="s">
        <v>166</v>
      </c>
      <c r="C6" s="145"/>
      <c r="D6" s="141">
        <v>0</v>
      </c>
      <c r="E6" s="141">
        <v>0</v>
      </c>
      <c r="F6" s="141">
        <v>15.157</v>
      </c>
      <c r="G6" s="137">
        <v>0</v>
      </c>
      <c r="H6" s="137">
        <v>0</v>
      </c>
      <c r="I6" s="36">
        <v>0</v>
      </c>
      <c r="J6" s="36">
        <v>0</v>
      </c>
      <c r="K6" s="37">
        <v>0</v>
      </c>
      <c r="L6" s="138">
        <v>0</v>
      </c>
      <c r="M6" s="138">
        <v>0</v>
      </c>
      <c r="N6" s="138">
        <v>0</v>
      </c>
      <c r="O6" s="138">
        <v>0</v>
      </c>
      <c r="P6" s="138">
        <v>0</v>
      </c>
      <c r="Q6" s="138">
        <v>0</v>
      </c>
      <c r="R6" s="138">
        <v>0</v>
      </c>
      <c r="S6" s="138">
        <v>0</v>
      </c>
      <c r="T6" s="138">
        <v>0</v>
      </c>
    </row>
    <row r="7" spans="1:20">
      <c r="A7" s="39">
        <v>3</v>
      </c>
      <c r="B7" s="144" t="s">
        <v>167</v>
      </c>
      <c r="C7" s="145"/>
      <c r="D7" s="141">
        <v>0</v>
      </c>
      <c r="E7" s="141">
        <v>0</v>
      </c>
      <c r="F7" s="141">
        <v>15.157</v>
      </c>
      <c r="G7" s="137">
        <v>0</v>
      </c>
      <c r="H7" s="137">
        <v>0</v>
      </c>
      <c r="I7" s="36">
        <v>0</v>
      </c>
      <c r="J7" s="36">
        <v>0</v>
      </c>
      <c r="K7" s="37">
        <v>0</v>
      </c>
      <c r="L7" s="138">
        <v>0</v>
      </c>
      <c r="M7" s="138">
        <v>0</v>
      </c>
      <c r="N7" s="138">
        <v>0</v>
      </c>
      <c r="O7" s="138">
        <v>0</v>
      </c>
      <c r="P7" s="138">
        <v>0</v>
      </c>
      <c r="Q7" s="138">
        <v>0</v>
      </c>
      <c r="R7" s="138">
        <v>0</v>
      </c>
      <c r="S7" s="138">
        <v>0</v>
      </c>
      <c r="T7" s="138">
        <v>0</v>
      </c>
    </row>
    <row r="8" spans="1:20">
      <c r="A8" s="39">
        <v>4</v>
      </c>
      <c r="B8" s="144" t="s">
        <v>168</v>
      </c>
      <c r="C8" s="145"/>
      <c r="D8" s="141">
        <v>0</v>
      </c>
      <c r="E8" s="141">
        <v>0</v>
      </c>
      <c r="F8" s="141">
        <v>15.157</v>
      </c>
      <c r="G8" s="137">
        <v>0</v>
      </c>
      <c r="H8" s="137">
        <v>0</v>
      </c>
      <c r="I8" s="36">
        <v>0</v>
      </c>
      <c r="J8" s="36">
        <v>0</v>
      </c>
      <c r="K8" s="37">
        <v>0</v>
      </c>
      <c r="L8" s="138">
        <v>0</v>
      </c>
      <c r="M8" s="138">
        <v>0</v>
      </c>
      <c r="N8" s="138">
        <v>0</v>
      </c>
      <c r="O8" s="138">
        <v>0</v>
      </c>
      <c r="P8" s="138">
        <v>0</v>
      </c>
      <c r="Q8" s="138">
        <v>0</v>
      </c>
      <c r="R8" s="138">
        <v>0</v>
      </c>
      <c r="S8" s="138">
        <v>0</v>
      </c>
      <c r="T8" s="138">
        <v>0</v>
      </c>
    </row>
    <row r="9" spans="1:20">
      <c r="A9" s="39">
        <v>5</v>
      </c>
      <c r="B9" s="144" t="s">
        <v>169</v>
      </c>
      <c r="C9" s="145"/>
      <c r="D9" s="141">
        <v>0</v>
      </c>
      <c r="E9" s="141">
        <v>0</v>
      </c>
      <c r="F9" s="141">
        <v>15.157</v>
      </c>
      <c r="G9" s="137">
        <v>0</v>
      </c>
      <c r="H9" s="137">
        <v>0</v>
      </c>
      <c r="I9" s="36">
        <v>0</v>
      </c>
      <c r="J9" s="36">
        <v>0</v>
      </c>
      <c r="K9" s="37">
        <v>0</v>
      </c>
      <c r="L9" s="138">
        <v>0</v>
      </c>
      <c r="M9" s="138">
        <v>0</v>
      </c>
      <c r="N9" s="138">
        <v>0</v>
      </c>
      <c r="O9" s="138">
        <v>0</v>
      </c>
      <c r="P9" s="138">
        <v>0</v>
      </c>
      <c r="Q9" s="138">
        <v>0</v>
      </c>
      <c r="R9" s="138">
        <v>0</v>
      </c>
      <c r="S9" s="138">
        <v>0</v>
      </c>
      <c r="T9" s="138">
        <v>0</v>
      </c>
    </row>
    <row r="10" spans="1:20">
      <c r="A10" s="39">
        <v>6</v>
      </c>
      <c r="B10" s="144" t="s">
        <v>170</v>
      </c>
      <c r="C10" s="145"/>
      <c r="D10" s="141">
        <v>0</v>
      </c>
      <c r="E10" s="141">
        <v>0</v>
      </c>
      <c r="F10" s="141">
        <v>15.157</v>
      </c>
      <c r="G10" s="137">
        <v>0</v>
      </c>
      <c r="H10" s="137">
        <v>0</v>
      </c>
      <c r="I10" s="36">
        <v>0</v>
      </c>
      <c r="J10" s="36">
        <v>0</v>
      </c>
      <c r="K10" s="37">
        <v>0</v>
      </c>
      <c r="L10" s="138">
        <v>0</v>
      </c>
      <c r="M10" s="138">
        <v>0</v>
      </c>
      <c r="N10" s="138">
        <v>0</v>
      </c>
      <c r="O10" s="138">
        <v>0</v>
      </c>
      <c r="P10" s="138">
        <v>0</v>
      </c>
      <c r="Q10" s="138">
        <v>0</v>
      </c>
      <c r="R10" s="138">
        <v>0</v>
      </c>
      <c r="S10" s="138">
        <v>0</v>
      </c>
      <c r="T10" s="138">
        <v>0</v>
      </c>
    </row>
    <row r="11" spans="1:20">
      <c r="A11" s="39">
        <v>7</v>
      </c>
      <c r="B11" s="144" t="s">
        <v>171</v>
      </c>
      <c r="C11" s="145"/>
      <c r="D11" s="141">
        <v>0</v>
      </c>
      <c r="E11" s="141">
        <v>0</v>
      </c>
      <c r="F11" s="141">
        <v>15.157</v>
      </c>
      <c r="G11" s="137">
        <v>0</v>
      </c>
      <c r="H11" s="137">
        <v>0</v>
      </c>
      <c r="I11" s="36">
        <v>0</v>
      </c>
      <c r="J11" s="36">
        <v>0</v>
      </c>
      <c r="K11" s="37">
        <v>0</v>
      </c>
      <c r="L11" s="138">
        <v>0</v>
      </c>
      <c r="M11" s="138">
        <v>0</v>
      </c>
      <c r="N11" s="138">
        <v>0</v>
      </c>
      <c r="O11" s="138">
        <v>0</v>
      </c>
      <c r="P11" s="138">
        <v>0</v>
      </c>
      <c r="Q11" s="138">
        <v>0</v>
      </c>
      <c r="R11" s="138">
        <v>0</v>
      </c>
      <c r="S11" s="138">
        <v>0</v>
      </c>
      <c r="T11" s="138">
        <v>0</v>
      </c>
    </row>
    <row r="12" spans="1:20">
      <c r="A12" s="39">
        <v>8</v>
      </c>
      <c r="B12" s="144" t="s">
        <v>172</v>
      </c>
      <c r="C12" s="145"/>
      <c r="D12" s="141">
        <v>0</v>
      </c>
      <c r="E12" s="141">
        <v>0</v>
      </c>
      <c r="F12" s="141">
        <v>15.157</v>
      </c>
      <c r="G12" s="137">
        <v>0</v>
      </c>
      <c r="H12" s="137">
        <v>0</v>
      </c>
      <c r="I12" s="36">
        <v>0</v>
      </c>
      <c r="J12" s="36">
        <v>0</v>
      </c>
      <c r="K12" s="37">
        <v>0</v>
      </c>
      <c r="L12" s="138">
        <v>0</v>
      </c>
      <c r="M12" s="138">
        <v>0</v>
      </c>
      <c r="N12" s="138">
        <v>0</v>
      </c>
      <c r="O12" s="138">
        <v>0</v>
      </c>
      <c r="P12" s="138">
        <v>0</v>
      </c>
      <c r="Q12" s="138">
        <v>0</v>
      </c>
      <c r="R12" s="138">
        <v>0</v>
      </c>
      <c r="S12" s="138">
        <v>0</v>
      </c>
      <c r="T12" s="138">
        <v>0</v>
      </c>
    </row>
    <row r="13" spans="1:20">
      <c r="A13" s="39">
        <v>9</v>
      </c>
      <c r="B13" s="144" t="s">
        <v>173</v>
      </c>
      <c r="C13" s="145"/>
      <c r="D13" s="141">
        <v>0</v>
      </c>
      <c r="E13" s="141">
        <v>0</v>
      </c>
      <c r="F13" s="141">
        <v>15.157</v>
      </c>
      <c r="G13" s="137">
        <v>0</v>
      </c>
      <c r="H13" s="137">
        <v>0</v>
      </c>
      <c r="I13" s="36">
        <v>0</v>
      </c>
      <c r="J13" s="36">
        <v>0</v>
      </c>
      <c r="K13" s="37">
        <v>0</v>
      </c>
      <c r="L13" s="138">
        <v>0</v>
      </c>
      <c r="M13" s="138">
        <v>0</v>
      </c>
      <c r="N13" s="138">
        <v>0</v>
      </c>
      <c r="O13" s="138">
        <v>0</v>
      </c>
      <c r="P13" s="138">
        <v>0</v>
      </c>
      <c r="Q13" s="138">
        <v>0</v>
      </c>
      <c r="R13" s="138">
        <v>0</v>
      </c>
      <c r="S13" s="138">
        <v>0</v>
      </c>
      <c r="T13" s="138">
        <v>0</v>
      </c>
    </row>
    <row r="14" spans="1:20">
      <c r="A14" s="39">
        <v>10</v>
      </c>
      <c r="B14" s="144" t="s">
        <v>174</v>
      </c>
      <c r="C14" s="145"/>
      <c r="D14" s="141">
        <v>0</v>
      </c>
      <c r="E14" s="141">
        <v>0</v>
      </c>
      <c r="F14" s="141">
        <v>15.157</v>
      </c>
      <c r="G14" s="137">
        <v>0</v>
      </c>
      <c r="H14" s="137">
        <v>0</v>
      </c>
      <c r="I14" s="36">
        <v>0</v>
      </c>
      <c r="J14" s="36">
        <v>0</v>
      </c>
      <c r="K14" s="37">
        <v>0</v>
      </c>
      <c r="L14" s="138">
        <v>0</v>
      </c>
      <c r="M14" s="138">
        <v>0</v>
      </c>
      <c r="N14" s="138">
        <v>0</v>
      </c>
      <c r="O14" s="138">
        <v>0</v>
      </c>
      <c r="P14" s="138">
        <v>0</v>
      </c>
      <c r="Q14" s="138">
        <v>0</v>
      </c>
      <c r="R14" s="138">
        <v>0</v>
      </c>
      <c r="S14" s="138">
        <v>0</v>
      </c>
      <c r="T14" s="138">
        <v>0</v>
      </c>
    </row>
    <row r="15" spans="1:20">
      <c r="A15" s="39">
        <v>11</v>
      </c>
      <c r="B15" s="144" t="s">
        <v>175</v>
      </c>
      <c r="C15" s="145"/>
      <c r="D15" s="141">
        <v>0</v>
      </c>
      <c r="E15" s="141">
        <v>0</v>
      </c>
      <c r="F15" s="141">
        <v>15.157</v>
      </c>
      <c r="G15" s="137">
        <v>0</v>
      </c>
      <c r="H15" s="137">
        <v>0</v>
      </c>
      <c r="I15" s="36">
        <v>0</v>
      </c>
      <c r="J15" s="36">
        <v>0</v>
      </c>
      <c r="K15" s="37">
        <v>0</v>
      </c>
      <c r="L15" s="138">
        <v>0</v>
      </c>
      <c r="M15" s="138">
        <v>0</v>
      </c>
      <c r="N15" s="138">
        <v>0</v>
      </c>
      <c r="O15" s="138">
        <v>0</v>
      </c>
      <c r="P15" s="138">
        <v>0</v>
      </c>
      <c r="Q15" s="138">
        <v>0</v>
      </c>
      <c r="R15" s="138">
        <v>0</v>
      </c>
      <c r="S15" s="138">
        <v>0</v>
      </c>
      <c r="T15" s="138">
        <v>0</v>
      </c>
    </row>
    <row r="16" spans="1:20">
      <c r="A16" s="39">
        <v>12</v>
      </c>
      <c r="B16" s="144" t="s">
        <v>176</v>
      </c>
      <c r="C16" s="145"/>
      <c r="D16" s="141">
        <v>0</v>
      </c>
      <c r="E16" s="141">
        <v>0</v>
      </c>
      <c r="F16" s="141">
        <v>15.157</v>
      </c>
      <c r="G16" s="137">
        <v>0</v>
      </c>
      <c r="H16" s="137">
        <v>0</v>
      </c>
      <c r="I16" s="36">
        <v>0</v>
      </c>
      <c r="J16" s="36">
        <v>0</v>
      </c>
      <c r="K16" s="37">
        <v>0</v>
      </c>
      <c r="L16" s="138">
        <v>0</v>
      </c>
      <c r="M16" s="138">
        <v>0</v>
      </c>
      <c r="N16" s="138">
        <v>0</v>
      </c>
      <c r="O16" s="138">
        <v>0</v>
      </c>
      <c r="P16" s="138">
        <v>0</v>
      </c>
      <c r="Q16" s="138">
        <v>0</v>
      </c>
      <c r="R16" s="138">
        <v>0</v>
      </c>
      <c r="S16" s="138">
        <v>0</v>
      </c>
      <c r="T16" s="138">
        <v>0</v>
      </c>
    </row>
    <row r="17" spans="1:20">
      <c r="A17" s="39">
        <v>13</v>
      </c>
      <c r="B17" s="144" t="s">
        <v>177</v>
      </c>
      <c r="C17" s="145"/>
      <c r="D17" s="141">
        <v>0</v>
      </c>
      <c r="E17" s="141">
        <v>0</v>
      </c>
      <c r="F17" s="141">
        <v>15.157</v>
      </c>
      <c r="G17" s="137">
        <v>0</v>
      </c>
      <c r="H17" s="137">
        <v>0</v>
      </c>
      <c r="I17" s="36">
        <v>0</v>
      </c>
      <c r="J17" s="36">
        <v>0</v>
      </c>
      <c r="K17" s="37">
        <v>0</v>
      </c>
      <c r="L17" s="138">
        <v>0</v>
      </c>
      <c r="M17" s="138">
        <v>0</v>
      </c>
      <c r="N17" s="138">
        <v>0</v>
      </c>
      <c r="O17" s="138">
        <v>0</v>
      </c>
      <c r="P17" s="138">
        <v>0</v>
      </c>
      <c r="Q17" s="138">
        <v>0</v>
      </c>
      <c r="R17" s="138">
        <v>0</v>
      </c>
      <c r="S17" s="138">
        <v>0</v>
      </c>
      <c r="T17" s="138">
        <v>0</v>
      </c>
    </row>
    <row r="18" spans="1:20">
      <c r="A18" s="39">
        <v>14</v>
      </c>
      <c r="B18" s="144" t="s">
        <v>178</v>
      </c>
      <c r="C18" s="145"/>
      <c r="D18" s="141">
        <v>0</v>
      </c>
      <c r="E18" s="141">
        <v>0</v>
      </c>
      <c r="F18" s="141">
        <v>15.157</v>
      </c>
      <c r="G18" s="137">
        <v>0</v>
      </c>
      <c r="H18" s="137">
        <v>0</v>
      </c>
      <c r="I18" s="36">
        <v>0</v>
      </c>
      <c r="J18" s="36">
        <v>0</v>
      </c>
      <c r="K18" s="37">
        <v>0</v>
      </c>
      <c r="L18" s="138">
        <v>0</v>
      </c>
      <c r="M18" s="138">
        <v>0</v>
      </c>
      <c r="N18" s="138">
        <v>0</v>
      </c>
      <c r="O18" s="138">
        <v>0</v>
      </c>
      <c r="P18" s="138">
        <v>0</v>
      </c>
      <c r="Q18" s="138">
        <v>0</v>
      </c>
      <c r="R18" s="138">
        <v>0</v>
      </c>
      <c r="S18" s="138">
        <v>0</v>
      </c>
      <c r="T18" s="138">
        <v>0</v>
      </c>
    </row>
    <row r="19" spans="1:20">
      <c r="A19" s="39">
        <v>15</v>
      </c>
      <c r="B19" s="144" t="s">
        <v>179</v>
      </c>
      <c r="C19" s="145"/>
      <c r="D19" s="141">
        <v>0</v>
      </c>
      <c r="E19" s="141">
        <v>0</v>
      </c>
      <c r="F19" s="141">
        <v>15.157</v>
      </c>
      <c r="G19" s="137">
        <v>0</v>
      </c>
      <c r="H19" s="137">
        <v>0</v>
      </c>
      <c r="I19" s="36">
        <v>0</v>
      </c>
      <c r="J19" s="36">
        <v>0</v>
      </c>
      <c r="K19" s="37">
        <v>0</v>
      </c>
      <c r="L19" s="138">
        <v>0</v>
      </c>
      <c r="M19" s="138">
        <v>0</v>
      </c>
      <c r="N19" s="138">
        <v>0</v>
      </c>
      <c r="O19" s="138">
        <v>0</v>
      </c>
      <c r="P19" s="138">
        <v>0</v>
      </c>
      <c r="Q19" s="138">
        <v>0</v>
      </c>
      <c r="R19" s="138">
        <v>0</v>
      </c>
      <c r="S19" s="138">
        <v>0</v>
      </c>
      <c r="T19" s="138">
        <v>0</v>
      </c>
    </row>
    <row r="20" spans="1:20">
      <c r="A20" s="39">
        <v>16</v>
      </c>
      <c r="B20" s="144" t="s">
        <v>180</v>
      </c>
      <c r="C20" s="145"/>
      <c r="D20" s="141">
        <v>0</v>
      </c>
      <c r="E20" s="141">
        <v>0</v>
      </c>
      <c r="F20" s="141">
        <v>15.157</v>
      </c>
      <c r="G20" s="137">
        <v>0</v>
      </c>
      <c r="H20" s="137">
        <v>0</v>
      </c>
      <c r="I20" s="36">
        <v>0</v>
      </c>
      <c r="J20" s="36">
        <v>0</v>
      </c>
      <c r="K20" s="37">
        <v>0</v>
      </c>
      <c r="L20" s="138">
        <v>0</v>
      </c>
      <c r="M20" s="138">
        <v>0</v>
      </c>
      <c r="N20" s="138">
        <v>0</v>
      </c>
      <c r="O20" s="138">
        <v>0</v>
      </c>
      <c r="P20" s="138">
        <v>0</v>
      </c>
      <c r="Q20" s="138">
        <v>0</v>
      </c>
      <c r="R20" s="138">
        <v>0</v>
      </c>
      <c r="S20" s="138">
        <v>0</v>
      </c>
      <c r="T20" s="138">
        <v>0</v>
      </c>
    </row>
    <row r="21" spans="1:20">
      <c r="A21" s="39">
        <v>17</v>
      </c>
      <c r="B21" s="144" t="s">
        <v>181</v>
      </c>
      <c r="C21" s="145"/>
      <c r="D21" s="141">
        <v>0</v>
      </c>
      <c r="E21" s="141">
        <v>0</v>
      </c>
      <c r="F21" s="141">
        <v>15.157</v>
      </c>
      <c r="G21" s="137">
        <v>0</v>
      </c>
      <c r="H21" s="137">
        <v>0</v>
      </c>
      <c r="I21" s="36">
        <v>0</v>
      </c>
      <c r="J21" s="36">
        <v>0</v>
      </c>
      <c r="K21" s="37">
        <v>0</v>
      </c>
      <c r="L21" s="138">
        <v>0</v>
      </c>
      <c r="M21" s="138">
        <v>0</v>
      </c>
      <c r="N21" s="138">
        <v>0</v>
      </c>
      <c r="O21" s="138">
        <v>0</v>
      </c>
      <c r="P21" s="138">
        <v>0</v>
      </c>
      <c r="Q21" s="138">
        <v>0</v>
      </c>
      <c r="R21" s="138">
        <v>0</v>
      </c>
      <c r="S21" s="138">
        <v>0</v>
      </c>
      <c r="T21" s="138">
        <v>0</v>
      </c>
    </row>
    <row r="22" spans="1:20">
      <c r="A22" s="39">
        <v>18</v>
      </c>
      <c r="B22" s="144" t="s">
        <v>182</v>
      </c>
      <c r="C22" s="145"/>
      <c r="D22" s="141">
        <v>0</v>
      </c>
      <c r="E22" s="141">
        <v>0</v>
      </c>
      <c r="F22" s="141">
        <v>15.157</v>
      </c>
      <c r="G22" s="137">
        <v>0</v>
      </c>
      <c r="H22" s="137">
        <v>0</v>
      </c>
      <c r="I22" s="36">
        <v>0</v>
      </c>
      <c r="J22" s="36">
        <v>0</v>
      </c>
      <c r="K22" s="37">
        <v>0</v>
      </c>
      <c r="L22" s="138">
        <v>0</v>
      </c>
      <c r="M22" s="138">
        <v>0</v>
      </c>
      <c r="N22" s="138">
        <v>0</v>
      </c>
      <c r="O22" s="138">
        <v>0</v>
      </c>
      <c r="P22" s="138">
        <v>0</v>
      </c>
      <c r="Q22" s="138">
        <v>0</v>
      </c>
      <c r="R22" s="138">
        <v>0</v>
      </c>
      <c r="S22" s="138">
        <v>0</v>
      </c>
      <c r="T22" s="138">
        <v>0</v>
      </c>
    </row>
    <row r="23" spans="1:20">
      <c r="A23" s="39">
        <v>19</v>
      </c>
      <c r="B23" s="144" t="s">
        <v>183</v>
      </c>
      <c r="C23" s="145"/>
      <c r="D23" s="141">
        <v>0</v>
      </c>
      <c r="E23" s="141">
        <v>0</v>
      </c>
      <c r="F23" s="141">
        <v>15.157</v>
      </c>
      <c r="G23" s="137">
        <v>0</v>
      </c>
      <c r="H23" s="137">
        <v>0</v>
      </c>
      <c r="I23" s="36">
        <v>0</v>
      </c>
      <c r="J23" s="36">
        <v>0</v>
      </c>
      <c r="K23" s="37">
        <v>0</v>
      </c>
      <c r="L23" s="138">
        <v>0</v>
      </c>
      <c r="M23" s="138">
        <v>0</v>
      </c>
      <c r="N23" s="138">
        <v>0</v>
      </c>
      <c r="O23" s="138">
        <v>0</v>
      </c>
      <c r="P23" s="138">
        <v>0</v>
      </c>
      <c r="Q23" s="138">
        <v>0</v>
      </c>
      <c r="R23" s="138">
        <v>0</v>
      </c>
      <c r="S23" s="138">
        <v>0</v>
      </c>
      <c r="T23" s="138">
        <v>0</v>
      </c>
    </row>
    <row r="24" spans="1:20">
      <c r="A24" s="39">
        <v>20</v>
      </c>
      <c r="B24" s="144" t="s">
        <v>184</v>
      </c>
      <c r="C24" s="145"/>
      <c r="D24" s="141">
        <v>0</v>
      </c>
      <c r="E24" s="141">
        <v>0</v>
      </c>
      <c r="F24" s="141">
        <v>15.157</v>
      </c>
      <c r="G24" s="137">
        <v>0</v>
      </c>
      <c r="H24" s="137">
        <v>0</v>
      </c>
      <c r="I24" s="36">
        <v>0</v>
      </c>
      <c r="J24" s="36">
        <v>0</v>
      </c>
      <c r="K24" s="37">
        <v>0</v>
      </c>
      <c r="L24" s="138">
        <v>0</v>
      </c>
      <c r="M24" s="138">
        <v>0</v>
      </c>
      <c r="N24" s="138">
        <v>0</v>
      </c>
      <c r="O24" s="138">
        <v>0</v>
      </c>
      <c r="P24" s="138">
        <v>0</v>
      </c>
      <c r="Q24" s="138">
        <v>0</v>
      </c>
      <c r="R24" s="138">
        <v>0</v>
      </c>
      <c r="S24" s="138">
        <v>0</v>
      </c>
      <c r="T24" s="138">
        <v>0</v>
      </c>
    </row>
    <row r="25" spans="1:20">
      <c r="A25" s="39">
        <v>21</v>
      </c>
      <c r="B25" s="144" t="s">
        <v>185</v>
      </c>
      <c r="C25" s="145"/>
      <c r="D25" s="141">
        <v>0</v>
      </c>
      <c r="E25" s="141">
        <v>0</v>
      </c>
      <c r="F25" s="141">
        <v>15.157</v>
      </c>
      <c r="G25" s="137">
        <v>0</v>
      </c>
      <c r="H25" s="137">
        <v>0</v>
      </c>
      <c r="I25" s="36">
        <v>0</v>
      </c>
      <c r="J25" s="36">
        <v>0</v>
      </c>
      <c r="K25" s="37">
        <v>0</v>
      </c>
      <c r="L25" s="138">
        <v>0</v>
      </c>
      <c r="M25" s="138">
        <v>0</v>
      </c>
      <c r="N25" s="138">
        <v>0</v>
      </c>
      <c r="O25" s="138">
        <v>0</v>
      </c>
      <c r="P25" s="138">
        <v>0</v>
      </c>
      <c r="Q25" s="138">
        <v>0</v>
      </c>
      <c r="R25" s="138">
        <v>0</v>
      </c>
      <c r="S25" s="138">
        <v>0</v>
      </c>
      <c r="T25" s="138">
        <v>0</v>
      </c>
    </row>
    <row r="26" spans="1:20">
      <c r="A26" s="39">
        <v>22</v>
      </c>
      <c r="B26" s="144" t="s">
        <v>186</v>
      </c>
      <c r="C26" s="145"/>
      <c r="D26" s="141">
        <v>0</v>
      </c>
      <c r="E26" s="141">
        <v>0</v>
      </c>
      <c r="F26" s="141">
        <v>15.157</v>
      </c>
      <c r="G26" s="137">
        <v>0</v>
      </c>
      <c r="H26" s="137">
        <v>0</v>
      </c>
      <c r="I26" s="36">
        <v>0</v>
      </c>
      <c r="J26" s="36">
        <v>0</v>
      </c>
      <c r="K26" s="37">
        <v>0</v>
      </c>
      <c r="L26" s="138">
        <v>0</v>
      </c>
      <c r="M26" s="138">
        <v>0</v>
      </c>
      <c r="N26" s="138">
        <v>0</v>
      </c>
      <c r="O26" s="138">
        <v>0</v>
      </c>
      <c r="P26" s="138">
        <v>0</v>
      </c>
      <c r="Q26" s="138">
        <v>0</v>
      </c>
      <c r="R26" s="138">
        <v>0</v>
      </c>
      <c r="S26" s="138">
        <v>0</v>
      </c>
      <c r="T26" s="138">
        <v>0</v>
      </c>
    </row>
    <row r="27" spans="1:20">
      <c r="A27" s="39">
        <v>23</v>
      </c>
      <c r="B27" s="144" t="s">
        <v>187</v>
      </c>
      <c r="C27" s="145"/>
      <c r="D27" s="141">
        <v>0</v>
      </c>
      <c r="E27" s="141">
        <v>0</v>
      </c>
      <c r="F27" s="141">
        <v>15.157</v>
      </c>
      <c r="G27" s="137">
        <v>0</v>
      </c>
      <c r="H27" s="137">
        <v>0</v>
      </c>
      <c r="I27" s="36">
        <v>0</v>
      </c>
      <c r="J27" s="36">
        <v>0</v>
      </c>
      <c r="K27" s="37">
        <v>0</v>
      </c>
      <c r="L27" s="138">
        <v>0</v>
      </c>
      <c r="M27" s="138">
        <v>0</v>
      </c>
      <c r="N27" s="138">
        <v>0</v>
      </c>
      <c r="O27" s="138">
        <v>0</v>
      </c>
      <c r="P27" s="138">
        <v>0</v>
      </c>
      <c r="Q27" s="138">
        <v>0</v>
      </c>
      <c r="R27" s="138">
        <v>0</v>
      </c>
      <c r="S27" s="138">
        <v>0</v>
      </c>
      <c r="T27" s="138">
        <v>0</v>
      </c>
    </row>
    <row r="28" spans="1:20">
      <c r="A28" s="39">
        <v>24</v>
      </c>
      <c r="B28" s="144" t="s">
        <v>188</v>
      </c>
      <c r="C28" s="145"/>
      <c r="D28" s="141">
        <v>0</v>
      </c>
      <c r="E28" s="141">
        <v>0</v>
      </c>
      <c r="F28" s="141">
        <v>15.157</v>
      </c>
      <c r="G28" s="137">
        <v>0</v>
      </c>
      <c r="H28" s="137">
        <v>0</v>
      </c>
      <c r="I28" s="36">
        <v>0</v>
      </c>
      <c r="J28" s="36">
        <v>0</v>
      </c>
      <c r="K28" s="37">
        <v>0</v>
      </c>
      <c r="L28" s="138">
        <v>0</v>
      </c>
      <c r="M28" s="138">
        <v>0</v>
      </c>
      <c r="N28" s="138">
        <v>0</v>
      </c>
      <c r="O28" s="138">
        <v>0</v>
      </c>
      <c r="P28" s="138">
        <v>0</v>
      </c>
      <c r="Q28" s="138">
        <v>0</v>
      </c>
      <c r="R28" s="138">
        <v>0</v>
      </c>
      <c r="S28" s="138">
        <v>0</v>
      </c>
      <c r="T28" s="138">
        <v>0</v>
      </c>
    </row>
    <row r="29" spans="1:20">
      <c r="A29" s="39">
        <v>25</v>
      </c>
      <c r="B29" s="144" t="s">
        <v>189</v>
      </c>
      <c r="C29" s="145"/>
      <c r="D29" s="141">
        <v>0</v>
      </c>
      <c r="E29" s="141">
        <v>0</v>
      </c>
      <c r="F29" s="141">
        <v>15.157</v>
      </c>
      <c r="G29" s="137">
        <v>0</v>
      </c>
      <c r="H29" s="137">
        <v>0</v>
      </c>
      <c r="I29" s="36">
        <v>0</v>
      </c>
      <c r="J29" s="36">
        <v>0</v>
      </c>
      <c r="K29" s="37">
        <v>0</v>
      </c>
      <c r="L29" s="138">
        <v>0</v>
      </c>
      <c r="M29" s="138">
        <v>0</v>
      </c>
      <c r="N29" s="138">
        <v>0</v>
      </c>
      <c r="O29" s="138">
        <v>0</v>
      </c>
      <c r="P29" s="138">
        <v>0</v>
      </c>
      <c r="Q29" s="138">
        <v>0</v>
      </c>
      <c r="R29" s="138">
        <v>0</v>
      </c>
      <c r="S29" s="138">
        <v>0</v>
      </c>
      <c r="T29" s="138">
        <v>0</v>
      </c>
    </row>
    <row r="30" spans="1:20">
      <c r="A30" s="39">
        <v>26</v>
      </c>
      <c r="B30" s="144" t="s">
        <v>190</v>
      </c>
      <c r="C30" s="145"/>
      <c r="D30" s="141">
        <v>0</v>
      </c>
      <c r="E30" s="141">
        <v>0</v>
      </c>
      <c r="F30" s="141">
        <v>15.157</v>
      </c>
      <c r="G30" s="137">
        <v>0</v>
      </c>
      <c r="H30" s="137">
        <v>0</v>
      </c>
      <c r="I30" s="36">
        <v>0</v>
      </c>
      <c r="J30" s="36">
        <v>0</v>
      </c>
      <c r="K30" s="37">
        <v>0</v>
      </c>
      <c r="L30" s="138">
        <v>0</v>
      </c>
      <c r="M30" s="138">
        <v>0</v>
      </c>
      <c r="N30" s="138">
        <v>0</v>
      </c>
      <c r="O30" s="138">
        <v>0</v>
      </c>
      <c r="P30" s="138">
        <v>0</v>
      </c>
      <c r="Q30" s="138">
        <v>0</v>
      </c>
      <c r="R30" s="138">
        <v>0</v>
      </c>
      <c r="S30" s="138">
        <v>0</v>
      </c>
      <c r="T30" s="138">
        <v>0</v>
      </c>
    </row>
    <row r="31" spans="1:20">
      <c r="A31" s="39">
        <v>27</v>
      </c>
      <c r="B31" s="144" t="s">
        <v>191</v>
      </c>
      <c r="C31" s="145"/>
      <c r="D31" s="141">
        <v>0</v>
      </c>
      <c r="E31" s="141">
        <v>0</v>
      </c>
      <c r="F31" s="141">
        <v>15.157</v>
      </c>
      <c r="G31" s="137">
        <v>0</v>
      </c>
      <c r="H31" s="137">
        <v>0</v>
      </c>
      <c r="I31" s="36">
        <v>0</v>
      </c>
      <c r="J31" s="36">
        <v>0</v>
      </c>
      <c r="K31" s="37">
        <v>0</v>
      </c>
      <c r="L31" s="138">
        <v>0</v>
      </c>
      <c r="M31" s="138">
        <v>0</v>
      </c>
      <c r="N31" s="138">
        <v>0</v>
      </c>
      <c r="O31" s="138">
        <v>0</v>
      </c>
      <c r="P31" s="138">
        <v>0</v>
      </c>
      <c r="Q31" s="138">
        <v>0</v>
      </c>
      <c r="R31" s="138">
        <v>0</v>
      </c>
      <c r="S31" s="138">
        <v>0</v>
      </c>
      <c r="T31" s="138">
        <v>0</v>
      </c>
    </row>
    <row r="32" spans="1:20">
      <c r="A32" s="39">
        <v>28</v>
      </c>
      <c r="B32" s="144" t="s">
        <v>192</v>
      </c>
      <c r="C32" s="145"/>
      <c r="D32" s="141">
        <v>0</v>
      </c>
      <c r="E32" s="141">
        <v>0</v>
      </c>
      <c r="F32" s="141">
        <v>15.157</v>
      </c>
      <c r="G32" s="137">
        <v>0</v>
      </c>
      <c r="H32" s="137">
        <v>0</v>
      </c>
      <c r="I32" s="36">
        <v>0</v>
      </c>
      <c r="J32" s="36">
        <v>0</v>
      </c>
      <c r="K32" s="37">
        <v>0</v>
      </c>
      <c r="L32" s="138">
        <v>0</v>
      </c>
      <c r="M32" s="138">
        <v>0</v>
      </c>
      <c r="N32" s="138">
        <v>0</v>
      </c>
      <c r="O32" s="138">
        <v>0</v>
      </c>
      <c r="P32" s="138">
        <v>0</v>
      </c>
      <c r="Q32" s="138">
        <v>0</v>
      </c>
      <c r="R32" s="138">
        <v>0</v>
      </c>
      <c r="S32" s="138">
        <v>0</v>
      </c>
      <c r="T32" s="138">
        <v>0</v>
      </c>
    </row>
    <row r="33" spans="1:20">
      <c r="A33" s="39">
        <v>29</v>
      </c>
      <c r="B33" s="144" t="s">
        <v>193</v>
      </c>
      <c r="C33" s="145"/>
      <c r="D33" s="141">
        <v>0</v>
      </c>
      <c r="E33" s="141">
        <v>0</v>
      </c>
      <c r="F33" s="141">
        <v>15.157</v>
      </c>
      <c r="G33" s="137">
        <v>0</v>
      </c>
      <c r="H33" s="137">
        <v>0</v>
      </c>
      <c r="I33" s="36">
        <v>0</v>
      </c>
      <c r="J33" s="36">
        <v>0</v>
      </c>
      <c r="K33" s="37">
        <v>0</v>
      </c>
      <c r="L33" s="138">
        <v>0</v>
      </c>
      <c r="M33" s="138">
        <v>0</v>
      </c>
      <c r="N33" s="138">
        <v>0</v>
      </c>
      <c r="O33" s="138">
        <v>0</v>
      </c>
      <c r="P33" s="138">
        <v>0</v>
      </c>
      <c r="Q33" s="138">
        <v>0</v>
      </c>
      <c r="R33" s="138">
        <v>0</v>
      </c>
      <c r="S33" s="138">
        <v>0</v>
      </c>
      <c r="T33" s="138">
        <v>0</v>
      </c>
    </row>
    <row r="34" spans="1:20">
      <c r="A34" s="39">
        <v>30</v>
      </c>
      <c r="B34" s="144" t="s">
        <v>194</v>
      </c>
      <c r="C34" s="145"/>
      <c r="D34" s="141">
        <v>0</v>
      </c>
      <c r="E34" s="141">
        <v>0</v>
      </c>
      <c r="F34" s="141">
        <v>15.157</v>
      </c>
      <c r="G34" s="137">
        <v>0</v>
      </c>
      <c r="H34" s="137">
        <v>0</v>
      </c>
      <c r="I34" s="36">
        <v>0</v>
      </c>
      <c r="J34" s="36">
        <v>0</v>
      </c>
      <c r="K34" s="37">
        <v>0</v>
      </c>
      <c r="L34" s="138">
        <v>0</v>
      </c>
      <c r="M34" s="138">
        <v>0</v>
      </c>
      <c r="N34" s="138">
        <v>0</v>
      </c>
      <c r="O34" s="138">
        <v>0</v>
      </c>
      <c r="P34" s="138">
        <v>0</v>
      </c>
      <c r="Q34" s="138">
        <v>0</v>
      </c>
      <c r="R34" s="138">
        <v>0</v>
      </c>
      <c r="S34" s="138">
        <v>0</v>
      </c>
      <c r="T34" s="138">
        <v>0</v>
      </c>
    </row>
    <row r="35" spans="1:20">
      <c r="A35" s="39">
        <v>31</v>
      </c>
      <c r="B35" s="144"/>
      <c r="C35" s="145"/>
      <c r="D35" s="141">
        <v>0</v>
      </c>
      <c r="E35" s="141">
        <v>0</v>
      </c>
      <c r="F35" s="141">
        <v>0</v>
      </c>
      <c r="G35" s="137">
        <v>0</v>
      </c>
      <c r="H35" s="137">
        <v>0</v>
      </c>
      <c r="I35" s="36">
        <v>0</v>
      </c>
      <c r="J35" s="36">
        <v>0</v>
      </c>
      <c r="K35" s="37">
        <v>0</v>
      </c>
      <c r="L35" s="138">
        <v>0</v>
      </c>
      <c r="M35" s="138">
        <v>0</v>
      </c>
      <c r="N35" s="138">
        <v>0</v>
      </c>
      <c r="O35" s="138">
        <v>0</v>
      </c>
      <c r="P35" s="138">
        <v>0</v>
      </c>
      <c r="Q35" s="138">
        <v>0</v>
      </c>
      <c r="R35" s="138">
        <v>0</v>
      </c>
      <c r="S35" s="138">
        <v>0</v>
      </c>
      <c r="T35" s="138">
        <v>0</v>
      </c>
    </row>
    <row r="36" spans="1:20">
      <c r="D36" s="43">
        <v>0</v>
      </c>
      <c r="E36" s="43">
        <v>0</v>
      </c>
      <c r="F36" s="43">
        <v>454.70999999999981</v>
      </c>
      <c r="G36" s="43">
        <v>0</v>
      </c>
      <c r="H36" s="43">
        <v>0</v>
      </c>
      <c r="I36" s="43">
        <v>0</v>
      </c>
      <c r="J36" s="43">
        <v>0</v>
      </c>
      <c r="K36" s="43">
        <v>0</v>
      </c>
      <c r="L36" s="139">
        <v>0</v>
      </c>
      <c r="M36" s="139">
        <v>0</v>
      </c>
      <c r="N36" s="139">
        <v>0</v>
      </c>
      <c r="O36" s="139">
        <v>16125.3</v>
      </c>
      <c r="P36" s="139">
        <v>0</v>
      </c>
      <c r="Q36" s="139">
        <v>0</v>
      </c>
      <c r="R36" s="139">
        <v>0</v>
      </c>
      <c r="S36" s="139">
        <v>0</v>
      </c>
      <c r="T36" s="139">
        <v>16125.3</v>
      </c>
    </row>
    <row r="37" spans="1:20">
      <c r="R37" s="46"/>
      <c r="S37" s="46"/>
      <c r="T37" s="140">
        <v>19672.87</v>
      </c>
    </row>
  </sheetData>
  <mergeCells count="50"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9C358-F3BC-4B25-846A-9DB2B858EB99}">
  <sheetPr>
    <pageSetUpPr fitToPage="1"/>
  </sheetPr>
  <dimension ref="A1:T37"/>
  <sheetViews>
    <sheetView topLeftCell="B10" workbookViewId="0">
      <selection activeCell="R5" sqref="R5:S35"/>
    </sheetView>
  </sheetViews>
  <sheetFormatPr defaultRowHeight="15"/>
  <cols>
    <col min="1" max="3" width="9.140625" style="28"/>
    <col min="4" max="4" width="11.7109375" style="28" customWidth="1"/>
    <col min="5" max="5" width="12.140625" style="28" customWidth="1"/>
    <col min="6" max="6" width="13.28515625" style="28" customWidth="1"/>
    <col min="7" max="7" width="11.42578125" style="28" customWidth="1"/>
    <col min="8" max="8" width="10.42578125" style="28" customWidth="1"/>
    <col min="9" max="9" width="10.5703125" style="28" bestFit="1" customWidth="1"/>
    <col min="10" max="10" width="9.42578125" style="28" bestFit="1" customWidth="1"/>
    <col min="11" max="12" width="9.140625" style="28"/>
    <col min="13" max="13" width="15.140625" style="28" customWidth="1"/>
    <col min="14" max="14" width="13.5703125" style="28" customWidth="1"/>
    <col min="15" max="15" width="14.5703125" style="28" customWidth="1"/>
    <col min="16" max="16" width="14.5703125" style="28" bestFit="1" customWidth="1"/>
    <col min="17" max="17" width="15" style="28" customWidth="1"/>
    <col min="18" max="18" width="13.28515625" style="28" customWidth="1"/>
    <col min="19" max="19" width="11.7109375" style="28" customWidth="1"/>
    <col min="20" max="20" width="24.28515625" style="28" customWidth="1"/>
    <col min="21" max="16384" width="9.140625" style="28"/>
  </cols>
  <sheetData>
    <row r="1" spans="1:20">
      <c r="I1" s="29"/>
    </row>
    <row r="2" spans="1:20" ht="28.9" customHeight="1">
      <c r="A2" s="149" t="s">
        <v>218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</row>
    <row r="3" spans="1:20" ht="28.9" customHeight="1">
      <c r="A3" s="146" t="s">
        <v>0</v>
      </c>
      <c r="B3" s="150" t="s">
        <v>1</v>
      </c>
      <c r="C3" s="151"/>
      <c r="D3" s="146" t="s">
        <v>2</v>
      </c>
      <c r="E3" s="146" t="s">
        <v>3</v>
      </c>
      <c r="F3" s="30" t="s">
        <v>4</v>
      </c>
      <c r="G3" s="146" t="s">
        <v>156</v>
      </c>
      <c r="H3" s="146" t="s">
        <v>157</v>
      </c>
      <c r="I3" s="146" t="s">
        <v>7</v>
      </c>
      <c r="J3" s="146" t="s">
        <v>8</v>
      </c>
      <c r="K3" s="146" t="s">
        <v>158</v>
      </c>
      <c r="L3" s="146" t="s">
        <v>159</v>
      </c>
      <c r="M3" s="146" t="s">
        <v>160</v>
      </c>
      <c r="N3" s="146" t="s">
        <v>161</v>
      </c>
      <c r="O3" s="146" t="s">
        <v>162</v>
      </c>
      <c r="P3" s="146" t="s">
        <v>163</v>
      </c>
      <c r="Q3" s="146" t="s">
        <v>164</v>
      </c>
      <c r="R3" s="146" t="s">
        <v>16</v>
      </c>
      <c r="S3" s="146" t="s">
        <v>17</v>
      </c>
      <c r="T3" s="146" t="s">
        <v>18</v>
      </c>
    </row>
    <row r="4" spans="1:20" ht="27" customHeight="1">
      <c r="A4" s="147"/>
      <c r="B4" s="152"/>
      <c r="C4" s="153"/>
      <c r="D4" s="147"/>
      <c r="E4" s="147"/>
      <c r="F4" s="31"/>
      <c r="G4" s="147"/>
      <c r="H4" s="147"/>
      <c r="I4" s="147"/>
      <c r="J4" s="147"/>
      <c r="K4" s="148"/>
      <c r="L4" s="148"/>
      <c r="M4" s="147"/>
      <c r="N4" s="147"/>
      <c r="O4" s="147"/>
      <c r="P4" s="147"/>
      <c r="Q4" s="147"/>
      <c r="R4" s="147"/>
      <c r="S4" s="147"/>
      <c r="T4" s="147"/>
    </row>
    <row r="5" spans="1:20">
      <c r="A5" s="39">
        <v>1</v>
      </c>
      <c r="B5" s="144" t="s">
        <v>165</v>
      </c>
      <c r="C5" s="145"/>
      <c r="D5" s="141">
        <v>0</v>
      </c>
      <c r="E5" s="141">
        <v>0</v>
      </c>
      <c r="F5" s="141">
        <v>21.91</v>
      </c>
      <c r="G5" s="137">
        <v>0</v>
      </c>
      <c r="H5" s="137">
        <v>0</v>
      </c>
      <c r="I5" s="36">
        <v>0</v>
      </c>
      <c r="J5" s="36">
        <v>0</v>
      </c>
      <c r="K5" s="37">
        <v>0</v>
      </c>
      <c r="L5" s="138">
        <v>0</v>
      </c>
      <c r="M5" s="138">
        <v>0</v>
      </c>
      <c r="N5" s="138">
        <v>0</v>
      </c>
      <c r="O5" s="138">
        <v>0</v>
      </c>
      <c r="P5" s="138">
        <v>0</v>
      </c>
      <c r="Q5" s="138">
        <v>0</v>
      </c>
      <c r="R5" s="138">
        <v>0</v>
      </c>
      <c r="S5" s="138">
        <v>0</v>
      </c>
      <c r="T5" s="138">
        <v>0</v>
      </c>
    </row>
    <row r="6" spans="1:20">
      <c r="A6" s="39">
        <v>2</v>
      </c>
      <c r="B6" s="144" t="s">
        <v>166</v>
      </c>
      <c r="C6" s="145"/>
      <c r="D6" s="141">
        <v>0</v>
      </c>
      <c r="E6" s="141">
        <v>0</v>
      </c>
      <c r="F6" s="141">
        <v>21.91</v>
      </c>
      <c r="G6" s="137">
        <v>0</v>
      </c>
      <c r="H6" s="137">
        <v>0</v>
      </c>
      <c r="I6" s="36">
        <v>0</v>
      </c>
      <c r="J6" s="36">
        <v>0</v>
      </c>
      <c r="K6" s="37">
        <v>0</v>
      </c>
      <c r="L6" s="138">
        <v>0</v>
      </c>
      <c r="M6" s="138">
        <v>0</v>
      </c>
      <c r="N6" s="138">
        <v>0</v>
      </c>
      <c r="O6" s="138">
        <v>0</v>
      </c>
      <c r="P6" s="138">
        <v>0</v>
      </c>
      <c r="Q6" s="138">
        <v>0</v>
      </c>
      <c r="R6" s="138">
        <v>0</v>
      </c>
      <c r="S6" s="138">
        <v>0</v>
      </c>
      <c r="T6" s="138">
        <v>0</v>
      </c>
    </row>
    <row r="7" spans="1:20">
      <c r="A7" s="39">
        <v>3</v>
      </c>
      <c r="B7" s="144" t="s">
        <v>167</v>
      </c>
      <c r="C7" s="145"/>
      <c r="D7" s="141">
        <v>0</v>
      </c>
      <c r="E7" s="141">
        <v>0</v>
      </c>
      <c r="F7" s="141">
        <v>21.91</v>
      </c>
      <c r="G7" s="137">
        <v>0</v>
      </c>
      <c r="H7" s="137">
        <v>0</v>
      </c>
      <c r="I7" s="36">
        <v>0</v>
      </c>
      <c r="J7" s="36">
        <v>0</v>
      </c>
      <c r="K7" s="37">
        <v>0</v>
      </c>
      <c r="L7" s="138">
        <v>0</v>
      </c>
      <c r="M7" s="138">
        <v>0</v>
      </c>
      <c r="N7" s="138">
        <v>0</v>
      </c>
      <c r="O7" s="138">
        <v>0</v>
      </c>
      <c r="P7" s="138">
        <v>0</v>
      </c>
      <c r="Q7" s="138">
        <v>0</v>
      </c>
      <c r="R7" s="138">
        <v>0</v>
      </c>
      <c r="S7" s="138">
        <v>0</v>
      </c>
      <c r="T7" s="138">
        <v>0</v>
      </c>
    </row>
    <row r="8" spans="1:20">
      <c r="A8" s="39">
        <v>4</v>
      </c>
      <c r="B8" s="144" t="s">
        <v>168</v>
      </c>
      <c r="C8" s="145"/>
      <c r="D8" s="141">
        <v>0</v>
      </c>
      <c r="E8" s="141">
        <v>0</v>
      </c>
      <c r="F8" s="141">
        <v>21.91</v>
      </c>
      <c r="G8" s="137">
        <v>0</v>
      </c>
      <c r="H8" s="137">
        <v>0</v>
      </c>
      <c r="I8" s="36">
        <v>0</v>
      </c>
      <c r="J8" s="36">
        <v>0</v>
      </c>
      <c r="K8" s="37">
        <v>0</v>
      </c>
      <c r="L8" s="138">
        <v>0</v>
      </c>
      <c r="M8" s="138">
        <v>0</v>
      </c>
      <c r="N8" s="138">
        <v>0</v>
      </c>
      <c r="O8" s="138">
        <v>0</v>
      </c>
      <c r="P8" s="138">
        <v>0</v>
      </c>
      <c r="Q8" s="138">
        <v>0</v>
      </c>
      <c r="R8" s="138">
        <v>0</v>
      </c>
      <c r="S8" s="138">
        <v>0</v>
      </c>
      <c r="T8" s="138">
        <v>0</v>
      </c>
    </row>
    <row r="9" spans="1:20">
      <c r="A9" s="39">
        <v>5</v>
      </c>
      <c r="B9" s="144" t="s">
        <v>169</v>
      </c>
      <c r="C9" s="145"/>
      <c r="D9" s="141">
        <v>0</v>
      </c>
      <c r="E9" s="141">
        <v>0</v>
      </c>
      <c r="F9" s="141">
        <v>21.91</v>
      </c>
      <c r="G9" s="137">
        <v>0</v>
      </c>
      <c r="H9" s="137">
        <v>0</v>
      </c>
      <c r="I9" s="36">
        <v>0</v>
      </c>
      <c r="J9" s="36">
        <v>0</v>
      </c>
      <c r="K9" s="37">
        <v>0</v>
      </c>
      <c r="L9" s="138">
        <v>0</v>
      </c>
      <c r="M9" s="138">
        <v>0</v>
      </c>
      <c r="N9" s="138">
        <v>0</v>
      </c>
      <c r="O9" s="138">
        <v>0</v>
      </c>
      <c r="P9" s="138">
        <v>0</v>
      </c>
      <c r="Q9" s="138">
        <v>0</v>
      </c>
      <c r="R9" s="138">
        <v>0</v>
      </c>
      <c r="S9" s="138">
        <v>0</v>
      </c>
      <c r="T9" s="138">
        <v>0</v>
      </c>
    </row>
    <row r="10" spans="1:20">
      <c r="A10" s="39">
        <v>6</v>
      </c>
      <c r="B10" s="144" t="s">
        <v>170</v>
      </c>
      <c r="C10" s="145"/>
      <c r="D10" s="141">
        <v>0</v>
      </c>
      <c r="E10" s="141">
        <v>0</v>
      </c>
      <c r="F10" s="141">
        <v>21.91</v>
      </c>
      <c r="G10" s="137">
        <v>0</v>
      </c>
      <c r="H10" s="137">
        <v>0</v>
      </c>
      <c r="I10" s="36">
        <v>0</v>
      </c>
      <c r="J10" s="36">
        <v>0</v>
      </c>
      <c r="K10" s="37">
        <v>0</v>
      </c>
      <c r="L10" s="138">
        <v>0</v>
      </c>
      <c r="M10" s="138">
        <v>0</v>
      </c>
      <c r="N10" s="138">
        <v>0</v>
      </c>
      <c r="O10" s="138">
        <v>0</v>
      </c>
      <c r="P10" s="138">
        <v>0</v>
      </c>
      <c r="Q10" s="138">
        <v>0</v>
      </c>
      <c r="R10" s="138">
        <v>0</v>
      </c>
      <c r="S10" s="138">
        <v>0</v>
      </c>
      <c r="T10" s="138">
        <v>0</v>
      </c>
    </row>
    <row r="11" spans="1:20">
      <c r="A11" s="39">
        <v>7</v>
      </c>
      <c r="B11" s="144" t="s">
        <v>171</v>
      </c>
      <c r="C11" s="145"/>
      <c r="D11" s="141">
        <v>0</v>
      </c>
      <c r="E11" s="141">
        <v>0</v>
      </c>
      <c r="F11" s="141">
        <v>21.91</v>
      </c>
      <c r="G11" s="137">
        <v>0</v>
      </c>
      <c r="H11" s="137">
        <v>0</v>
      </c>
      <c r="I11" s="36">
        <v>0</v>
      </c>
      <c r="J11" s="36">
        <v>0</v>
      </c>
      <c r="K11" s="37">
        <v>0</v>
      </c>
      <c r="L11" s="138">
        <v>0</v>
      </c>
      <c r="M11" s="138">
        <v>0</v>
      </c>
      <c r="N11" s="138">
        <v>0</v>
      </c>
      <c r="O11" s="138">
        <v>0</v>
      </c>
      <c r="P11" s="138">
        <v>0</v>
      </c>
      <c r="Q11" s="138">
        <v>0</v>
      </c>
      <c r="R11" s="138">
        <v>0</v>
      </c>
      <c r="S11" s="138">
        <v>0</v>
      </c>
      <c r="T11" s="138">
        <v>0</v>
      </c>
    </row>
    <row r="12" spans="1:20">
      <c r="A12" s="39">
        <v>8</v>
      </c>
      <c r="B12" s="144" t="s">
        <v>172</v>
      </c>
      <c r="C12" s="145"/>
      <c r="D12" s="141">
        <v>0</v>
      </c>
      <c r="E12" s="141">
        <v>0</v>
      </c>
      <c r="F12" s="141">
        <v>21.91</v>
      </c>
      <c r="G12" s="137">
        <v>0</v>
      </c>
      <c r="H12" s="137">
        <v>0</v>
      </c>
      <c r="I12" s="36">
        <v>0</v>
      </c>
      <c r="J12" s="36">
        <v>0</v>
      </c>
      <c r="K12" s="37">
        <v>0</v>
      </c>
      <c r="L12" s="138">
        <v>0</v>
      </c>
      <c r="M12" s="138">
        <v>0</v>
      </c>
      <c r="N12" s="138">
        <v>0</v>
      </c>
      <c r="O12" s="138">
        <v>0</v>
      </c>
      <c r="P12" s="138">
        <v>0</v>
      </c>
      <c r="Q12" s="138">
        <v>0</v>
      </c>
      <c r="R12" s="138">
        <v>0</v>
      </c>
      <c r="S12" s="138">
        <v>0</v>
      </c>
      <c r="T12" s="138">
        <v>0</v>
      </c>
    </row>
    <row r="13" spans="1:20">
      <c r="A13" s="39">
        <v>9</v>
      </c>
      <c r="B13" s="144" t="s">
        <v>173</v>
      </c>
      <c r="C13" s="145"/>
      <c r="D13" s="141">
        <v>0</v>
      </c>
      <c r="E13" s="141">
        <v>0</v>
      </c>
      <c r="F13" s="141">
        <v>21.91</v>
      </c>
      <c r="G13" s="137">
        <v>0</v>
      </c>
      <c r="H13" s="137">
        <v>0</v>
      </c>
      <c r="I13" s="36">
        <v>0</v>
      </c>
      <c r="J13" s="36">
        <v>0</v>
      </c>
      <c r="K13" s="37">
        <v>0</v>
      </c>
      <c r="L13" s="138">
        <v>0</v>
      </c>
      <c r="M13" s="138">
        <v>0</v>
      </c>
      <c r="N13" s="138">
        <v>0</v>
      </c>
      <c r="O13" s="138">
        <v>0</v>
      </c>
      <c r="P13" s="138">
        <v>0</v>
      </c>
      <c r="Q13" s="138">
        <v>0</v>
      </c>
      <c r="R13" s="138">
        <v>0</v>
      </c>
      <c r="S13" s="138">
        <v>0</v>
      </c>
      <c r="T13" s="138">
        <v>0</v>
      </c>
    </row>
    <row r="14" spans="1:20">
      <c r="A14" s="39">
        <v>10</v>
      </c>
      <c r="B14" s="144" t="s">
        <v>174</v>
      </c>
      <c r="C14" s="145"/>
      <c r="D14" s="141">
        <v>0</v>
      </c>
      <c r="E14" s="141">
        <v>0</v>
      </c>
      <c r="F14" s="141">
        <v>21.91</v>
      </c>
      <c r="G14" s="137">
        <v>0</v>
      </c>
      <c r="H14" s="137">
        <v>0</v>
      </c>
      <c r="I14" s="36">
        <v>0</v>
      </c>
      <c r="J14" s="36">
        <v>0</v>
      </c>
      <c r="K14" s="37">
        <v>0</v>
      </c>
      <c r="L14" s="138">
        <v>0</v>
      </c>
      <c r="M14" s="138">
        <v>0</v>
      </c>
      <c r="N14" s="138">
        <v>0</v>
      </c>
      <c r="O14" s="138">
        <v>0</v>
      </c>
      <c r="P14" s="138">
        <v>0</v>
      </c>
      <c r="Q14" s="138">
        <v>0</v>
      </c>
      <c r="R14" s="138">
        <v>0</v>
      </c>
      <c r="S14" s="138">
        <v>0</v>
      </c>
      <c r="T14" s="138">
        <v>0</v>
      </c>
    </row>
    <row r="15" spans="1:20">
      <c r="A15" s="39">
        <v>11</v>
      </c>
      <c r="B15" s="144" t="s">
        <v>175</v>
      </c>
      <c r="C15" s="145"/>
      <c r="D15" s="141">
        <v>0</v>
      </c>
      <c r="E15" s="141">
        <v>0</v>
      </c>
      <c r="F15" s="141">
        <v>21.91</v>
      </c>
      <c r="G15" s="137">
        <v>0</v>
      </c>
      <c r="H15" s="137">
        <v>0</v>
      </c>
      <c r="I15" s="36">
        <v>0</v>
      </c>
      <c r="J15" s="36">
        <v>0</v>
      </c>
      <c r="K15" s="37">
        <v>0</v>
      </c>
      <c r="L15" s="138">
        <v>0</v>
      </c>
      <c r="M15" s="138">
        <v>0</v>
      </c>
      <c r="N15" s="138">
        <v>0</v>
      </c>
      <c r="O15" s="138">
        <v>0</v>
      </c>
      <c r="P15" s="138">
        <v>0</v>
      </c>
      <c r="Q15" s="138">
        <v>0</v>
      </c>
      <c r="R15" s="138">
        <v>0</v>
      </c>
      <c r="S15" s="138">
        <v>0</v>
      </c>
      <c r="T15" s="138">
        <v>0</v>
      </c>
    </row>
    <row r="16" spans="1:20">
      <c r="A16" s="39">
        <v>12</v>
      </c>
      <c r="B16" s="144" t="s">
        <v>176</v>
      </c>
      <c r="C16" s="145"/>
      <c r="D16" s="141">
        <v>0</v>
      </c>
      <c r="E16" s="141">
        <v>0</v>
      </c>
      <c r="F16" s="141">
        <v>21.91</v>
      </c>
      <c r="G16" s="137">
        <v>0</v>
      </c>
      <c r="H16" s="137">
        <v>0</v>
      </c>
      <c r="I16" s="36">
        <v>0</v>
      </c>
      <c r="J16" s="36">
        <v>0</v>
      </c>
      <c r="K16" s="37">
        <v>0</v>
      </c>
      <c r="L16" s="138">
        <v>0</v>
      </c>
      <c r="M16" s="138">
        <v>0</v>
      </c>
      <c r="N16" s="138">
        <v>0</v>
      </c>
      <c r="O16" s="138">
        <v>0</v>
      </c>
      <c r="P16" s="138">
        <v>0</v>
      </c>
      <c r="Q16" s="138">
        <v>0</v>
      </c>
      <c r="R16" s="138">
        <v>0</v>
      </c>
      <c r="S16" s="138">
        <v>0</v>
      </c>
      <c r="T16" s="138">
        <v>0</v>
      </c>
    </row>
    <row r="17" spans="1:20">
      <c r="A17" s="39">
        <v>13</v>
      </c>
      <c r="B17" s="144" t="s">
        <v>177</v>
      </c>
      <c r="C17" s="145"/>
      <c r="D17" s="141">
        <v>0</v>
      </c>
      <c r="E17" s="141">
        <v>0</v>
      </c>
      <c r="F17" s="141">
        <v>21.91</v>
      </c>
      <c r="G17" s="137">
        <v>0</v>
      </c>
      <c r="H17" s="137">
        <v>0</v>
      </c>
      <c r="I17" s="36">
        <v>0</v>
      </c>
      <c r="J17" s="36">
        <v>0</v>
      </c>
      <c r="K17" s="37">
        <v>0</v>
      </c>
      <c r="L17" s="138">
        <v>0</v>
      </c>
      <c r="M17" s="138">
        <v>0</v>
      </c>
      <c r="N17" s="138">
        <v>0</v>
      </c>
      <c r="O17" s="138">
        <v>0</v>
      </c>
      <c r="P17" s="138">
        <v>0</v>
      </c>
      <c r="Q17" s="138">
        <v>0</v>
      </c>
      <c r="R17" s="138">
        <v>0</v>
      </c>
      <c r="S17" s="138">
        <v>0</v>
      </c>
      <c r="T17" s="138">
        <v>0</v>
      </c>
    </row>
    <row r="18" spans="1:20">
      <c r="A18" s="39">
        <v>14</v>
      </c>
      <c r="B18" s="144" t="s">
        <v>178</v>
      </c>
      <c r="C18" s="145"/>
      <c r="D18" s="141">
        <v>0</v>
      </c>
      <c r="E18" s="141">
        <v>0</v>
      </c>
      <c r="F18" s="141">
        <v>21.91</v>
      </c>
      <c r="G18" s="137">
        <v>0</v>
      </c>
      <c r="H18" s="137">
        <v>0</v>
      </c>
      <c r="I18" s="36">
        <v>0</v>
      </c>
      <c r="J18" s="36">
        <v>0</v>
      </c>
      <c r="K18" s="37">
        <v>0</v>
      </c>
      <c r="L18" s="138">
        <v>0</v>
      </c>
      <c r="M18" s="138">
        <v>0</v>
      </c>
      <c r="N18" s="138">
        <v>0</v>
      </c>
      <c r="O18" s="138">
        <v>0</v>
      </c>
      <c r="P18" s="138">
        <v>0</v>
      </c>
      <c r="Q18" s="138">
        <v>0</v>
      </c>
      <c r="R18" s="138">
        <v>0</v>
      </c>
      <c r="S18" s="138">
        <v>0</v>
      </c>
      <c r="T18" s="138">
        <v>0</v>
      </c>
    </row>
    <row r="19" spans="1:20">
      <c r="A19" s="39">
        <v>15</v>
      </c>
      <c r="B19" s="144" t="s">
        <v>179</v>
      </c>
      <c r="C19" s="145"/>
      <c r="D19" s="141">
        <v>0</v>
      </c>
      <c r="E19" s="141">
        <v>0</v>
      </c>
      <c r="F19" s="141">
        <v>21.91</v>
      </c>
      <c r="G19" s="137">
        <v>0</v>
      </c>
      <c r="H19" s="137">
        <v>0</v>
      </c>
      <c r="I19" s="36">
        <v>0</v>
      </c>
      <c r="J19" s="36">
        <v>0</v>
      </c>
      <c r="K19" s="37">
        <v>0</v>
      </c>
      <c r="L19" s="138">
        <v>0</v>
      </c>
      <c r="M19" s="138">
        <v>0</v>
      </c>
      <c r="N19" s="138">
        <v>0</v>
      </c>
      <c r="O19" s="138">
        <v>0</v>
      </c>
      <c r="P19" s="138">
        <v>0</v>
      </c>
      <c r="Q19" s="138">
        <v>0</v>
      </c>
      <c r="R19" s="138">
        <v>0</v>
      </c>
      <c r="S19" s="138">
        <v>0</v>
      </c>
      <c r="T19" s="138">
        <v>0</v>
      </c>
    </row>
    <row r="20" spans="1:20">
      <c r="A20" s="39">
        <v>16</v>
      </c>
      <c r="B20" s="144" t="s">
        <v>180</v>
      </c>
      <c r="C20" s="145"/>
      <c r="D20" s="141">
        <v>0</v>
      </c>
      <c r="E20" s="141">
        <v>0</v>
      </c>
      <c r="F20" s="141">
        <v>21.91</v>
      </c>
      <c r="G20" s="137">
        <v>0</v>
      </c>
      <c r="H20" s="137">
        <v>0</v>
      </c>
      <c r="I20" s="36">
        <v>0</v>
      </c>
      <c r="J20" s="36">
        <v>0</v>
      </c>
      <c r="K20" s="37">
        <v>0</v>
      </c>
      <c r="L20" s="138">
        <v>0</v>
      </c>
      <c r="M20" s="138">
        <v>0</v>
      </c>
      <c r="N20" s="138">
        <v>0</v>
      </c>
      <c r="O20" s="138">
        <v>0</v>
      </c>
      <c r="P20" s="138">
        <v>0</v>
      </c>
      <c r="Q20" s="138">
        <v>0</v>
      </c>
      <c r="R20" s="138">
        <v>0</v>
      </c>
      <c r="S20" s="138">
        <v>0</v>
      </c>
      <c r="T20" s="138">
        <v>0</v>
      </c>
    </row>
    <row r="21" spans="1:20">
      <c r="A21" s="39">
        <v>17</v>
      </c>
      <c r="B21" s="144" t="s">
        <v>181</v>
      </c>
      <c r="C21" s="145"/>
      <c r="D21" s="141">
        <v>0</v>
      </c>
      <c r="E21" s="141">
        <v>0</v>
      </c>
      <c r="F21" s="141">
        <v>21.91</v>
      </c>
      <c r="G21" s="137">
        <v>0</v>
      </c>
      <c r="H21" s="137">
        <v>0</v>
      </c>
      <c r="I21" s="36">
        <v>0</v>
      </c>
      <c r="J21" s="36">
        <v>0</v>
      </c>
      <c r="K21" s="37">
        <v>0</v>
      </c>
      <c r="L21" s="138">
        <v>0</v>
      </c>
      <c r="M21" s="138">
        <v>0</v>
      </c>
      <c r="N21" s="138">
        <v>0</v>
      </c>
      <c r="O21" s="138">
        <v>0</v>
      </c>
      <c r="P21" s="138">
        <v>0</v>
      </c>
      <c r="Q21" s="138">
        <v>0</v>
      </c>
      <c r="R21" s="138">
        <v>0</v>
      </c>
      <c r="S21" s="138">
        <v>0</v>
      </c>
      <c r="T21" s="138">
        <v>0</v>
      </c>
    </row>
    <row r="22" spans="1:20">
      <c r="A22" s="39">
        <v>18</v>
      </c>
      <c r="B22" s="144" t="s">
        <v>182</v>
      </c>
      <c r="C22" s="145"/>
      <c r="D22" s="141">
        <v>0</v>
      </c>
      <c r="E22" s="141">
        <v>0</v>
      </c>
      <c r="F22" s="141">
        <v>21.91</v>
      </c>
      <c r="G22" s="137">
        <v>0</v>
      </c>
      <c r="H22" s="137">
        <v>0</v>
      </c>
      <c r="I22" s="36">
        <v>0</v>
      </c>
      <c r="J22" s="36">
        <v>0</v>
      </c>
      <c r="K22" s="37">
        <v>0</v>
      </c>
      <c r="L22" s="138">
        <v>0</v>
      </c>
      <c r="M22" s="138">
        <v>0</v>
      </c>
      <c r="N22" s="138">
        <v>0</v>
      </c>
      <c r="O22" s="138">
        <v>0</v>
      </c>
      <c r="P22" s="138">
        <v>0</v>
      </c>
      <c r="Q22" s="138">
        <v>0</v>
      </c>
      <c r="R22" s="138">
        <v>0</v>
      </c>
      <c r="S22" s="138">
        <v>0</v>
      </c>
      <c r="T22" s="138">
        <v>0</v>
      </c>
    </row>
    <row r="23" spans="1:20">
      <c r="A23" s="39">
        <v>19</v>
      </c>
      <c r="B23" s="144" t="s">
        <v>183</v>
      </c>
      <c r="C23" s="145"/>
      <c r="D23" s="141">
        <v>0</v>
      </c>
      <c r="E23" s="141">
        <v>0</v>
      </c>
      <c r="F23" s="141">
        <v>21.91</v>
      </c>
      <c r="G23" s="137">
        <v>0</v>
      </c>
      <c r="H23" s="137">
        <v>0</v>
      </c>
      <c r="I23" s="36">
        <v>0</v>
      </c>
      <c r="J23" s="36">
        <v>0</v>
      </c>
      <c r="K23" s="37">
        <v>0</v>
      </c>
      <c r="L23" s="138">
        <v>0</v>
      </c>
      <c r="M23" s="138">
        <v>0</v>
      </c>
      <c r="N23" s="138">
        <v>0</v>
      </c>
      <c r="O23" s="138">
        <v>0</v>
      </c>
      <c r="P23" s="138">
        <v>0</v>
      </c>
      <c r="Q23" s="138">
        <v>0</v>
      </c>
      <c r="R23" s="138">
        <v>0</v>
      </c>
      <c r="S23" s="138">
        <v>0</v>
      </c>
      <c r="T23" s="138">
        <v>0</v>
      </c>
    </row>
    <row r="24" spans="1:20">
      <c r="A24" s="39">
        <v>20</v>
      </c>
      <c r="B24" s="144" t="s">
        <v>184</v>
      </c>
      <c r="C24" s="145"/>
      <c r="D24" s="141">
        <v>0</v>
      </c>
      <c r="E24" s="141">
        <v>0</v>
      </c>
      <c r="F24" s="141">
        <v>21.91</v>
      </c>
      <c r="G24" s="137">
        <v>0</v>
      </c>
      <c r="H24" s="137">
        <v>0</v>
      </c>
      <c r="I24" s="36">
        <v>0</v>
      </c>
      <c r="J24" s="36">
        <v>0</v>
      </c>
      <c r="K24" s="37">
        <v>0</v>
      </c>
      <c r="L24" s="138">
        <v>0</v>
      </c>
      <c r="M24" s="138">
        <v>0</v>
      </c>
      <c r="N24" s="138">
        <v>0</v>
      </c>
      <c r="O24" s="138">
        <v>0</v>
      </c>
      <c r="P24" s="138">
        <v>0</v>
      </c>
      <c r="Q24" s="138">
        <v>0</v>
      </c>
      <c r="R24" s="138">
        <v>0</v>
      </c>
      <c r="S24" s="138">
        <v>0</v>
      </c>
      <c r="T24" s="138">
        <v>0</v>
      </c>
    </row>
    <row r="25" spans="1:20">
      <c r="A25" s="39">
        <v>21</v>
      </c>
      <c r="B25" s="144" t="s">
        <v>185</v>
      </c>
      <c r="C25" s="145"/>
      <c r="D25" s="141">
        <v>0</v>
      </c>
      <c r="E25" s="141">
        <v>0</v>
      </c>
      <c r="F25" s="141">
        <v>21.91</v>
      </c>
      <c r="G25" s="137">
        <v>0</v>
      </c>
      <c r="H25" s="137">
        <v>0</v>
      </c>
      <c r="I25" s="36">
        <v>0</v>
      </c>
      <c r="J25" s="36">
        <v>0</v>
      </c>
      <c r="K25" s="37">
        <v>0</v>
      </c>
      <c r="L25" s="138">
        <v>0</v>
      </c>
      <c r="M25" s="138">
        <v>0</v>
      </c>
      <c r="N25" s="138">
        <v>0</v>
      </c>
      <c r="O25" s="138">
        <v>0</v>
      </c>
      <c r="P25" s="138">
        <v>0</v>
      </c>
      <c r="Q25" s="138">
        <v>0</v>
      </c>
      <c r="R25" s="138">
        <v>0</v>
      </c>
      <c r="S25" s="138">
        <v>0</v>
      </c>
      <c r="T25" s="138">
        <v>0</v>
      </c>
    </row>
    <row r="26" spans="1:20">
      <c r="A26" s="39">
        <v>22</v>
      </c>
      <c r="B26" s="144" t="s">
        <v>186</v>
      </c>
      <c r="C26" s="145"/>
      <c r="D26" s="141">
        <v>0</v>
      </c>
      <c r="E26" s="141">
        <v>0</v>
      </c>
      <c r="F26" s="141">
        <v>21.91</v>
      </c>
      <c r="G26" s="137">
        <v>0</v>
      </c>
      <c r="H26" s="137">
        <v>0</v>
      </c>
      <c r="I26" s="36">
        <v>0</v>
      </c>
      <c r="J26" s="36">
        <v>0</v>
      </c>
      <c r="K26" s="37">
        <v>0</v>
      </c>
      <c r="L26" s="138">
        <v>0</v>
      </c>
      <c r="M26" s="138">
        <v>0</v>
      </c>
      <c r="N26" s="138">
        <v>0</v>
      </c>
      <c r="O26" s="138">
        <v>0</v>
      </c>
      <c r="P26" s="138">
        <v>0</v>
      </c>
      <c r="Q26" s="138">
        <v>0</v>
      </c>
      <c r="R26" s="138">
        <v>0</v>
      </c>
      <c r="S26" s="138">
        <v>0</v>
      </c>
      <c r="T26" s="138">
        <v>0</v>
      </c>
    </row>
    <row r="27" spans="1:20">
      <c r="A27" s="39">
        <v>23</v>
      </c>
      <c r="B27" s="144" t="s">
        <v>187</v>
      </c>
      <c r="C27" s="145"/>
      <c r="D27" s="141">
        <v>0</v>
      </c>
      <c r="E27" s="141">
        <v>0</v>
      </c>
      <c r="F27" s="141">
        <v>21.91</v>
      </c>
      <c r="G27" s="137">
        <v>0</v>
      </c>
      <c r="H27" s="137">
        <v>0</v>
      </c>
      <c r="I27" s="36">
        <v>0</v>
      </c>
      <c r="J27" s="36">
        <v>0</v>
      </c>
      <c r="K27" s="37">
        <v>0</v>
      </c>
      <c r="L27" s="138">
        <v>0</v>
      </c>
      <c r="M27" s="138">
        <v>0</v>
      </c>
      <c r="N27" s="138">
        <v>0</v>
      </c>
      <c r="O27" s="138">
        <v>0</v>
      </c>
      <c r="P27" s="138">
        <v>0</v>
      </c>
      <c r="Q27" s="138">
        <v>0</v>
      </c>
      <c r="R27" s="138">
        <v>0</v>
      </c>
      <c r="S27" s="138">
        <v>0</v>
      </c>
      <c r="T27" s="138">
        <v>0</v>
      </c>
    </row>
    <row r="28" spans="1:20">
      <c r="A28" s="39">
        <v>24</v>
      </c>
      <c r="B28" s="144" t="s">
        <v>188</v>
      </c>
      <c r="C28" s="145"/>
      <c r="D28" s="141">
        <v>0</v>
      </c>
      <c r="E28" s="141">
        <v>0</v>
      </c>
      <c r="F28" s="141">
        <v>21.91</v>
      </c>
      <c r="G28" s="137">
        <v>0</v>
      </c>
      <c r="H28" s="137">
        <v>0</v>
      </c>
      <c r="I28" s="36">
        <v>0</v>
      </c>
      <c r="J28" s="36">
        <v>0</v>
      </c>
      <c r="K28" s="37">
        <v>0</v>
      </c>
      <c r="L28" s="138">
        <v>0</v>
      </c>
      <c r="M28" s="138">
        <v>0</v>
      </c>
      <c r="N28" s="138">
        <v>0</v>
      </c>
      <c r="O28" s="138">
        <v>0</v>
      </c>
      <c r="P28" s="138">
        <v>0</v>
      </c>
      <c r="Q28" s="138">
        <v>0</v>
      </c>
      <c r="R28" s="138">
        <v>0</v>
      </c>
      <c r="S28" s="138">
        <v>0</v>
      </c>
      <c r="T28" s="138">
        <v>0</v>
      </c>
    </row>
    <row r="29" spans="1:20">
      <c r="A29" s="39">
        <v>25</v>
      </c>
      <c r="B29" s="144" t="s">
        <v>189</v>
      </c>
      <c r="C29" s="145"/>
      <c r="D29" s="141">
        <v>0</v>
      </c>
      <c r="E29" s="141">
        <v>0</v>
      </c>
      <c r="F29" s="141">
        <v>21.91</v>
      </c>
      <c r="G29" s="137">
        <v>0</v>
      </c>
      <c r="H29" s="137">
        <v>0</v>
      </c>
      <c r="I29" s="36">
        <v>0</v>
      </c>
      <c r="J29" s="36">
        <v>0</v>
      </c>
      <c r="K29" s="37">
        <v>0</v>
      </c>
      <c r="L29" s="138">
        <v>0</v>
      </c>
      <c r="M29" s="138">
        <v>0</v>
      </c>
      <c r="N29" s="138">
        <v>0</v>
      </c>
      <c r="O29" s="138">
        <v>0</v>
      </c>
      <c r="P29" s="138">
        <v>0</v>
      </c>
      <c r="Q29" s="138">
        <v>0</v>
      </c>
      <c r="R29" s="138">
        <v>0</v>
      </c>
      <c r="S29" s="138">
        <v>0</v>
      </c>
      <c r="T29" s="138">
        <v>0</v>
      </c>
    </row>
    <row r="30" spans="1:20">
      <c r="A30" s="39">
        <v>26</v>
      </c>
      <c r="B30" s="144" t="s">
        <v>190</v>
      </c>
      <c r="C30" s="145"/>
      <c r="D30" s="141">
        <v>0</v>
      </c>
      <c r="E30" s="141">
        <v>0</v>
      </c>
      <c r="F30" s="141">
        <v>21.91</v>
      </c>
      <c r="G30" s="137">
        <v>0</v>
      </c>
      <c r="H30" s="137">
        <v>0</v>
      </c>
      <c r="I30" s="36">
        <v>0</v>
      </c>
      <c r="J30" s="36">
        <v>0</v>
      </c>
      <c r="K30" s="37">
        <v>0</v>
      </c>
      <c r="L30" s="138">
        <v>0</v>
      </c>
      <c r="M30" s="138">
        <v>0</v>
      </c>
      <c r="N30" s="138">
        <v>0</v>
      </c>
      <c r="O30" s="138">
        <v>0</v>
      </c>
      <c r="P30" s="138">
        <v>0</v>
      </c>
      <c r="Q30" s="138">
        <v>0</v>
      </c>
      <c r="R30" s="138">
        <v>0</v>
      </c>
      <c r="S30" s="138">
        <v>0</v>
      </c>
      <c r="T30" s="138">
        <v>0</v>
      </c>
    </row>
    <row r="31" spans="1:20">
      <c r="A31" s="39">
        <v>27</v>
      </c>
      <c r="B31" s="144" t="s">
        <v>191</v>
      </c>
      <c r="C31" s="145"/>
      <c r="D31" s="141">
        <v>0</v>
      </c>
      <c r="E31" s="141">
        <v>0</v>
      </c>
      <c r="F31" s="141">
        <v>21.91</v>
      </c>
      <c r="G31" s="137">
        <v>0</v>
      </c>
      <c r="H31" s="137">
        <v>0</v>
      </c>
      <c r="I31" s="36">
        <v>0</v>
      </c>
      <c r="J31" s="36">
        <v>0</v>
      </c>
      <c r="K31" s="37">
        <v>0</v>
      </c>
      <c r="L31" s="138">
        <v>0</v>
      </c>
      <c r="M31" s="138">
        <v>0</v>
      </c>
      <c r="N31" s="138">
        <v>0</v>
      </c>
      <c r="O31" s="138">
        <v>0</v>
      </c>
      <c r="P31" s="138">
        <v>0</v>
      </c>
      <c r="Q31" s="138">
        <v>0</v>
      </c>
      <c r="R31" s="138">
        <v>0</v>
      </c>
      <c r="S31" s="138">
        <v>0</v>
      </c>
      <c r="T31" s="138">
        <v>0</v>
      </c>
    </row>
    <row r="32" spans="1:20">
      <c r="A32" s="39">
        <v>28</v>
      </c>
      <c r="B32" s="144" t="s">
        <v>192</v>
      </c>
      <c r="C32" s="145"/>
      <c r="D32" s="141">
        <v>0</v>
      </c>
      <c r="E32" s="141">
        <v>0</v>
      </c>
      <c r="F32" s="141">
        <v>21.91</v>
      </c>
      <c r="G32" s="137">
        <v>0</v>
      </c>
      <c r="H32" s="137">
        <v>0</v>
      </c>
      <c r="I32" s="36">
        <v>0</v>
      </c>
      <c r="J32" s="36">
        <v>0</v>
      </c>
      <c r="K32" s="37">
        <v>0</v>
      </c>
      <c r="L32" s="138">
        <v>0</v>
      </c>
      <c r="M32" s="138">
        <v>0</v>
      </c>
      <c r="N32" s="138">
        <v>0</v>
      </c>
      <c r="O32" s="138">
        <v>0</v>
      </c>
      <c r="P32" s="138">
        <v>0</v>
      </c>
      <c r="Q32" s="138">
        <v>0</v>
      </c>
      <c r="R32" s="138">
        <v>0</v>
      </c>
      <c r="S32" s="138">
        <v>0</v>
      </c>
      <c r="T32" s="138">
        <v>0</v>
      </c>
    </row>
    <row r="33" spans="1:20">
      <c r="A33" s="39">
        <v>29</v>
      </c>
      <c r="B33" s="144" t="s">
        <v>193</v>
      </c>
      <c r="C33" s="145"/>
      <c r="D33" s="141">
        <v>0</v>
      </c>
      <c r="E33" s="141">
        <v>0</v>
      </c>
      <c r="F33" s="141">
        <v>21.91</v>
      </c>
      <c r="G33" s="137">
        <v>0</v>
      </c>
      <c r="H33" s="137">
        <v>0</v>
      </c>
      <c r="I33" s="36">
        <v>0</v>
      </c>
      <c r="J33" s="36">
        <v>0</v>
      </c>
      <c r="K33" s="37">
        <v>0</v>
      </c>
      <c r="L33" s="138">
        <v>0</v>
      </c>
      <c r="M33" s="138">
        <v>0</v>
      </c>
      <c r="N33" s="138">
        <v>0</v>
      </c>
      <c r="O33" s="138">
        <v>0</v>
      </c>
      <c r="P33" s="138">
        <v>0</v>
      </c>
      <c r="Q33" s="138">
        <v>0</v>
      </c>
      <c r="R33" s="138">
        <v>0</v>
      </c>
      <c r="S33" s="138">
        <v>0</v>
      </c>
      <c r="T33" s="138">
        <v>0</v>
      </c>
    </row>
    <row r="34" spans="1:20">
      <c r="A34" s="39">
        <v>30</v>
      </c>
      <c r="B34" s="144" t="s">
        <v>194</v>
      </c>
      <c r="C34" s="145"/>
      <c r="D34" s="141">
        <v>0</v>
      </c>
      <c r="E34" s="141">
        <v>0</v>
      </c>
      <c r="F34" s="141">
        <v>21.91</v>
      </c>
      <c r="G34" s="137">
        <v>0</v>
      </c>
      <c r="H34" s="137">
        <v>0</v>
      </c>
      <c r="I34" s="36">
        <v>0</v>
      </c>
      <c r="J34" s="36">
        <v>0</v>
      </c>
      <c r="K34" s="37">
        <v>0</v>
      </c>
      <c r="L34" s="138">
        <v>0</v>
      </c>
      <c r="M34" s="138">
        <v>0</v>
      </c>
      <c r="N34" s="138">
        <v>0</v>
      </c>
      <c r="O34" s="138">
        <v>0</v>
      </c>
      <c r="P34" s="138">
        <v>0</v>
      </c>
      <c r="Q34" s="138">
        <v>0</v>
      </c>
      <c r="R34" s="138">
        <v>0</v>
      </c>
      <c r="S34" s="138">
        <v>0</v>
      </c>
      <c r="T34" s="138">
        <v>0</v>
      </c>
    </row>
    <row r="35" spans="1:20">
      <c r="A35" s="39">
        <v>31</v>
      </c>
      <c r="B35" s="144"/>
      <c r="C35" s="145"/>
      <c r="D35" s="141">
        <v>0</v>
      </c>
      <c r="E35" s="141">
        <v>0</v>
      </c>
      <c r="F35" s="141">
        <v>0</v>
      </c>
      <c r="G35" s="137">
        <v>0</v>
      </c>
      <c r="H35" s="137">
        <v>0</v>
      </c>
      <c r="I35" s="36">
        <v>0</v>
      </c>
      <c r="J35" s="36">
        <v>0</v>
      </c>
      <c r="K35" s="37">
        <v>0</v>
      </c>
      <c r="L35" s="138">
        <v>0</v>
      </c>
      <c r="M35" s="138">
        <v>0</v>
      </c>
      <c r="N35" s="138">
        <v>0</v>
      </c>
      <c r="O35" s="138">
        <v>0</v>
      </c>
      <c r="P35" s="138">
        <v>0</v>
      </c>
      <c r="Q35" s="138">
        <v>0</v>
      </c>
      <c r="R35" s="138">
        <v>0</v>
      </c>
      <c r="S35" s="138">
        <v>0</v>
      </c>
      <c r="T35" s="138">
        <v>0</v>
      </c>
    </row>
    <row r="36" spans="1:20">
      <c r="D36" s="43">
        <v>0</v>
      </c>
      <c r="E36" s="43">
        <v>0</v>
      </c>
      <c r="F36" s="43">
        <v>657.30000000000007</v>
      </c>
      <c r="G36" s="43">
        <v>0</v>
      </c>
      <c r="H36" s="43">
        <v>0</v>
      </c>
      <c r="I36" s="43">
        <v>0</v>
      </c>
      <c r="J36" s="43">
        <v>0</v>
      </c>
      <c r="K36" s="43">
        <v>0</v>
      </c>
      <c r="L36" s="139">
        <v>0</v>
      </c>
      <c r="M36" s="139">
        <v>0</v>
      </c>
      <c r="N36" s="139">
        <v>0</v>
      </c>
      <c r="O36" s="139">
        <v>16573.37</v>
      </c>
      <c r="P36" s="139">
        <v>0</v>
      </c>
      <c r="Q36" s="139">
        <v>0</v>
      </c>
      <c r="R36" s="139">
        <v>0</v>
      </c>
      <c r="S36" s="139">
        <v>0</v>
      </c>
      <c r="T36" s="139">
        <v>16573.37</v>
      </c>
    </row>
    <row r="37" spans="1:20">
      <c r="R37" s="46"/>
      <c r="S37" s="46"/>
      <c r="T37" s="140">
        <v>20219.509999999998</v>
      </c>
    </row>
  </sheetData>
  <mergeCells count="50"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C5FDD-A485-43C0-9D94-68B41BEB7AEF}">
  <sheetPr>
    <pageSetUpPr fitToPage="1"/>
  </sheetPr>
  <dimension ref="A1:T37"/>
  <sheetViews>
    <sheetView topLeftCell="B10" workbookViewId="0">
      <selection activeCell="R5" sqref="R5:S35"/>
    </sheetView>
  </sheetViews>
  <sheetFormatPr defaultRowHeight="15"/>
  <cols>
    <col min="1" max="3" width="9.140625" style="28"/>
    <col min="4" max="4" width="11.7109375" style="28" customWidth="1"/>
    <col min="5" max="5" width="12.140625" style="28" customWidth="1"/>
    <col min="6" max="6" width="13.28515625" style="28" customWidth="1"/>
    <col min="7" max="7" width="11.42578125" style="28" customWidth="1"/>
    <col min="8" max="8" width="10.42578125" style="28" customWidth="1"/>
    <col min="9" max="9" width="10.5703125" style="28" bestFit="1" customWidth="1"/>
    <col min="10" max="10" width="9.42578125" style="28" bestFit="1" customWidth="1"/>
    <col min="11" max="12" width="9.140625" style="28"/>
    <col min="13" max="13" width="15.140625" style="28" customWidth="1"/>
    <col min="14" max="14" width="13.5703125" style="28" customWidth="1"/>
    <col min="15" max="15" width="14.5703125" style="28" customWidth="1"/>
    <col min="16" max="16" width="14.5703125" style="28" bestFit="1" customWidth="1"/>
    <col min="17" max="17" width="15" style="28" customWidth="1"/>
    <col min="18" max="18" width="13.28515625" style="28" customWidth="1"/>
    <col min="19" max="19" width="11.7109375" style="28" customWidth="1"/>
    <col min="20" max="20" width="24.28515625" style="28" customWidth="1"/>
    <col min="21" max="16384" width="9.140625" style="28"/>
  </cols>
  <sheetData>
    <row r="1" spans="1:20">
      <c r="I1" s="29"/>
    </row>
    <row r="2" spans="1:20" ht="28.9" customHeight="1">
      <c r="A2" s="149" t="s">
        <v>219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</row>
    <row r="3" spans="1:20" ht="28.9" customHeight="1">
      <c r="A3" s="146" t="s">
        <v>0</v>
      </c>
      <c r="B3" s="150" t="s">
        <v>1</v>
      </c>
      <c r="C3" s="151"/>
      <c r="D3" s="146" t="s">
        <v>2</v>
      </c>
      <c r="E3" s="146" t="s">
        <v>3</v>
      </c>
      <c r="F3" s="30" t="s">
        <v>4</v>
      </c>
      <c r="G3" s="146" t="s">
        <v>156</v>
      </c>
      <c r="H3" s="146" t="s">
        <v>157</v>
      </c>
      <c r="I3" s="146" t="s">
        <v>7</v>
      </c>
      <c r="J3" s="146" t="s">
        <v>8</v>
      </c>
      <c r="K3" s="146" t="s">
        <v>158</v>
      </c>
      <c r="L3" s="146" t="s">
        <v>159</v>
      </c>
      <c r="M3" s="146" t="s">
        <v>160</v>
      </c>
      <c r="N3" s="146" t="s">
        <v>161</v>
      </c>
      <c r="O3" s="146" t="s">
        <v>162</v>
      </c>
      <c r="P3" s="146" t="s">
        <v>163</v>
      </c>
      <c r="Q3" s="146" t="s">
        <v>164</v>
      </c>
      <c r="R3" s="146" t="s">
        <v>16</v>
      </c>
      <c r="S3" s="146" t="s">
        <v>17</v>
      </c>
      <c r="T3" s="146" t="s">
        <v>18</v>
      </c>
    </row>
    <row r="4" spans="1:20" ht="27" customHeight="1">
      <c r="A4" s="147"/>
      <c r="B4" s="152"/>
      <c r="C4" s="153"/>
      <c r="D4" s="147"/>
      <c r="E4" s="147"/>
      <c r="F4" s="31"/>
      <c r="G4" s="147"/>
      <c r="H4" s="147"/>
      <c r="I4" s="147"/>
      <c r="J4" s="147"/>
      <c r="K4" s="148"/>
      <c r="L4" s="148"/>
      <c r="M4" s="147"/>
      <c r="N4" s="147"/>
      <c r="O4" s="147"/>
      <c r="P4" s="147"/>
      <c r="Q4" s="147"/>
      <c r="R4" s="147"/>
      <c r="S4" s="147"/>
      <c r="T4" s="147"/>
    </row>
    <row r="5" spans="1:20">
      <c r="A5" s="39">
        <v>1</v>
      </c>
      <c r="B5" s="144" t="s">
        <v>165</v>
      </c>
      <c r="C5" s="145"/>
      <c r="D5" s="141">
        <v>22.5</v>
      </c>
      <c r="E5" s="141">
        <v>44.5</v>
      </c>
      <c r="F5" s="141">
        <v>4116.3890000000001</v>
      </c>
      <c r="G5" s="137">
        <v>0</v>
      </c>
      <c r="H5" s="137">
        <v>0</v>
      </c>
      <c r="I5" s="36">
        <v>0</v>
      </c>
      <c r="J5" s="36">
        <v>0</v>
      </c>
      <c r="K5" s="37">
        <v>0</v>
      </c>
      <c r="L5" s="138">
        <v>0</v>
      </c>
      <c r="M5" s="138">
        <v>0</v>
      </c>
      <c r="N5" s="138">
        <v>0</v>
      </c>
      <c r="O5" s="138">
        <v>0</v>
      </c>
      <c r="P5" s="138">
        <v>0</v>
      </c>
      <c r="Q5" s="138">
        <v>0</v>
      </c>
      <c r="R5" s="138">
        <v>0</v>
      </c>
      <c r="S5" s="138">
        <v>0</v>
      </c>
      <c r="T5" s="138">
        <v>0</v>
      </c>
    </row>
    <row r="6" spans="1:20">
      <c r="A6" s="39">
        <v>2</v>
      </c>
      <c r="B6" s="144" t="s">
        <v>166</v>
      </c>
      <c r="C6" s="145"/>
      <c r="D6" s="141">
        <v>0</v>
      </c>
      <c r="E6" s="141">
        <v>45</v>
      </c>
      <c r="F6" s="141">
        <v>4071.3890000000001</v>
      </c>
      <c r="G6" s="137">
        <v>0</v>
      </c>
      <c r="H6" s="137">
        <v>0</v>
      </c>
      <c r="I6" s="36">
        <v>0</v>
      </c>
      <c r="J6" s="36">
        <v>0</v>
      </c>
      <c r="K6" s="37">
        <v>0</v>
      </c>
      <c r="L6" s="138">
        <v>0</v>
      </c>
      <c r="M6" s="138">
        <v>0</v>
      </c>
      <c r="N6" s="138">
        <v>0</v>
      </c>
      <c r="O6" s="138">
        <v>0</v>
      </c>
      <c r="P6" s="138">
        <v>0</v>
      </c>
      <c r="Q6" s="138">
        <v>0</v>
      </c>
      <c r="R6" s="138">
        <v>0</v>
      </c>
      <c r="S6" s="138">
        <v>0</v>
      </c>
      <c r="T6" s="138">
        <v>0</v>
      </c>
    </row>
    <row r="7" spans="1:20">
      <c r="A7" s="39">
        <v>3</v>
      </c>
      <c r="B7" s="144" t="s">
        <v>167</v>
      </c>
      <c r="C7" s="145"/>
      <c r="D7" s="141">
        <v>0</v>
      </c>
      <c r="E7" s="141">
        <v>45</v>
      </c>
      <c r="F7" s="141">
        <v>4026.3890000000001</v>
      </c>
      <c r="G7" s="137">
        <v>0</v>
      </c>
      <c r="H7" s="137">
        <v>0</v>
      </c>
      <c r="I7" s="36">
        <v>0</v>
      </c>
      <c r="J7" s="36">
        <v>0</v>
      </c>
      <c r="K7" s="37">
        <v>0</v>
      </c>
      <c r="L7" s="138">
        <v>0</v>
      </c>
      <c r="M7" s="138">
        <v>0</v>
      </c>
      <c r="N7" s="138">
        <v>0</v>
      </c>
      <c r="O7" s="138">
        <v>0</v>
      </c>
      <c r="P7" s="138">
        <v>0</v>
      </c>
      <c r="Q7" s="138">
        <v>0</v>
      </c>
      <c r="R7" s="138">
        <v>0</v>
      </c>
      <c r="S7" s="138">
        <v>0</v>
      </c>
      <c r="T7" s="138">
        <v>0</v>
      </c>
    </row>
    <row r="8" spans="1:20">
      <c r="A8" s="39">
        <v>4</v>
      </c>
      <c r="B8" s="144" t="s">
        <v>168</v>
      </c>
      <c r="C8" s="145"/>
      <c r="D8" s="141">
        <v>0</v>
      </c>
      <c r="E8" s="141">
        <v>0</v>
      </c>
      <c r="F8" s="141">
        <v>4026.3890000000001</v>
      </c>
      <c r="G8" s="137">
        <v>0</v>
      </c>
      <c r="H8" s="137">
        <v>0</v>
      </c>
      <c r="I8" s="36">
        <v>0</v>
      </c>
      <c r="J8" s="36">
        <v>0</v>
      </c>
      <c r="K8" s="37">
        <v>0</v>
      </c>
      <c r="L8" s="138">
        <v>0</v>
      </c>
      <c r="M8" s="138">
        <v>0</v>
      </c>
      <c r="N8" s="138">
        <v>0</v>
      </c>
      <c r="O8" s="138">
        <v>0</v>
      </c>
      <c r="P8" s="138">
        <v>0</v>
      </c>
      <c r="Q8" s="138">
        <v>0</v>
      </c>
      <c r="R8" s="138">
        <v>0</v>
      </c>
      <c r="S8" s="138">
        <v>0</v>
      </c>
      <c r="T8" s="138">
        <v>0</v>
      </c>
    </row>
    <row r="9" spans="1:20">
      <c r="A9" s="39">
        <v>5</v>
      </c>
      <c r="B9" s="144" t="s">
        <v>169</v>
      </c>
      <c r="C9" s="145"/>
      <c r="D9" s="141">
        <v>0</v>
      </c>
      <c r="E9" s="141">
        <v>0</v>
      </c>
      <c r="F9" s="141">
        <v>4026.3890000000001</v>
      </c>
      <c r="G9" s="137">
        <v>0</v>
      </c>
      <c r="H9" s="137">
        <v>0</v>
      </c>
      <c r="I9" s="36">
        <v>0</v>
      </c>
      <c r="J9" s="36">
        <v>0</v>
      </c>
      <c r="K9" s="37">
        <v>0</v>
      </c>
      <c r="L9" s="138">
        <v>0</v>
      </c>
      <c r="M9" s="138">
        <v>0</v>
      </c>
      <c r="N9" s="138">
        <v>0</v>
      </c>
      <c r="O9" s="138">
        <v>0</v>
      </c>
      <c r="P9" s="138">
        <v>0</v>
      </c>
      <c r="Q9" s="138">
        <v>0</v>
      </c>
      <c r="R9" s="138">
        <v>0</v>
      </c>
      <c r="S9" s="138">
        <v>0</v>
      </c>
      <c r="T9" s="138">
        <v>0</v>
      </c>
    </row>
    <row r="10" spans="1:20">
      <c r="A10" s="39">
        <v>6</v>
      </c>
      <c r="B10" s="144" t="s">
        <v>170</v>
      </c>
      <c r="C10" s="145"/>
      <c r="D10" s="141">
        <v>0</v>
      </c>
      <c r="E10" s="141">
        <v>55.5</v>
      </c>
      <c r="F10" s="141">
        <v>3970.8890000000001</v>
      </c>
      <c r="G10" s="137">
        <v>0</v>
      </c>
      <c r="H10" s="137">
        <v>0</v>
      </c>
      <c r="I10" s="36">
        <v>0</v>
      </c>
      <c r="J10" s="36">
        <v>0</v>
      </c>
      <c r="K10" s="37">
        <v>0</v>
      </c>
      <c r="L10" s="138">
        <v>0</v>
      </c>
      <c r="M10" s="138">
        <v>0</v>
      </c>
      <c r="N10" s="138">
        <v>0</v>
      </c>
      <c r="O10" s="138">
        <v>0</v>
      </c>
      <c r="P10" s="138">
        <v>0</v>
      </c>
      <c r="Q10" s="138">
        <v>0</v>
      </c>
      <c r="R10" s="138">
        <v>0</v>
      </c>
      <c r="S10" s="138">
        <v>0</v>
      </c>
      <c r="T10" s="138">
        <v>0</v>
      </c>
    </row>
    <row r="11" spans="1:20">
      <c r="A11" s="39">
        <v>7</v>
      </c>
      <c r="B11" s="144" t="s">
        <v>171</v>
      </c>
      <c r="C11" s="145"/>
      <c r="D11" s="141">
        <v>0</v>
      </c>
      <c r="E11" s="141">
        <v>118.75</v>
      </c>
      <c r="F11" s="141">
        <v>3852.1390000000001</v>
      </c>
      <c r="G11" s="137">
        <v>0</v>
      </c>
      <c r="H11" s="137">
        <v>0</v>
      </c>
      <c r="I11" s="36">
        <v>0</v>
      </c>
      <c r="J11" s="36">
        <v>0</v>
      </c>
      <c r="K11" s="37">
        <v>0</v>
      </c>
      <c r="L11" s="138">
        <v>0</v>
      </c>
      <c r="M11" s="138">
        <v>0</v>
      </c>
      <c r="N11" s="138">
        <v>0</v>
      </c>
      <c r="O11" s="138">
        <v>0</v>
      </c>
      <c r="P11" s="138">
        <v>0</v>
      </c>
      <c r="Q11" s="138">
        <v>0</v>
      </c>
      <c r="R11" s="138">
        <v>0</v>
      </c>
      <c r="S11" s="138">
        <v>0</v>
      </c>
      <c r="T11" s="138">
        <v>0</v>
      </c>
    </row>
    <row r="12" spans="1:20">
      <c r="A12" s="39">
        <v>8</v>
      </c>
      <c r="B12" s="144" t="s">
        <v>172</v>
      </c>
      <c r="C12" s="145"/>
      <c r="D12" s="141">
        <v>0</v>
      </c>
      <c r="E12" s="141">
        <v>146.22499999999999</v>
      </c>
      <c r="F12" s="141">
        <v>3705.9140000000002</v>
      </c>
      <c r="G12" s="137">
        <v>0</v>
      </c>
      <c r="H12" s="137">
        <v>0</v>
      </c>
      <c r="I12" s="36">
        <v>0</v>
      </c>
      <c r="J12" s="36">
        <v>0</v>
      </c>
      <c r="K12" s="37">
        <v>0</v>
      </c>
      <c r="L12" s="138">
        <v>0</v>
      </c>
      <c r="M12" s="138">
        <v>0</v>
      </c>
      <c r="N12" s="138">
        <v>0</v>
      </c>
      <c r="O12" s="138">
        <v>0</v>
      </c>
      <c r="P12" s="138">
        <v>0</v>
      </c>
      <c r="Q12" s="138">
        <v>0</v>
      </c>
      <c r="R12" s="138">
        <v>0</v>
      </c>
      <c r="S12" s="138">
        <v>0</v>
      </c>
      <c r="T12" s="138">
        <v>0</v>
      </c>
    </row>
    <row r="13" spans="1:20">
      <c r="A13" s="39">
        <v>9</v>
      </c>
      <c r="B13" s="144" t="s">
        <v>173</v>
      </c>
      <c r="C13" s="145"/>
      <c r="D13" s="141">
        <v>45</v>
      </c>
      <c r="E13" s="141">
        <v>70.5</v>
      </c>
      <c r="F13" s="141">
        <v>3680.4140000000002</v>
      </c>
      <c r="G13" s="137">
        <v>0</v>
      </c>
      <c r="H13" s="137">
        <v>0</v>
      </c>
      <c r="I13" s="36">
        <v>0</v>
      </c>
      <c r="J13" s="36">
        <v>0</v>
      </c>
      <c r="K13" s="37">
        <v>0</v>
      </c>
      <c r="L13" s="138">
        <v>0</v>
      </c>
      <c r="M13" s="138">
        <v>0</v>
      </c>
      <c r="N13" s="138">
        <v>0</v>
      </c>
      <c r="O13" s="138">
        <v>0</v>
      </c>
      <c r="P13" s="138">
        <v>0</v>
      </c>
      <c r="Q13" s="138">
        <v>0</v>
      </c>
      <c r="R13" s="138">
        <v>0</v>
      </c>
      <c r="S13" s="138">
        <v>0</v>
      </c>
      <c r="T13" s="138">
        <v>0</v>
      </c>
    </row>
    <row r="14" spans="1:20">
      <c r="A14" s="39">
        <v>10</v>
      </c>
      <c r="B14" s="144" t="s">
        <v>174</v>
      </c>
      <c r="C14" s="145"/>
      <c r="D14" s="141">
        <v>67.5</v>
      </c>
      <c r="E14" s="141">
        <v>168</v>
      </c>
      <c r="F14" s="141">
        <v>3579.9140000000002</v>
      </c>
      <c r="G14" s="137">
        <v>0</v>
      </c>
      <c r="H14" s="137">
        <v>0</v>
      </c>
      <c r="I14" s="36">
        <v>0</v>
      </c>
      <c r="J14" s="36">
        <v>0</v>
      </c>
      <c r="K14" s="37">
        <v>0</v>
      </c>
      <c r="L14" s="138">
        <v>0</v>
      </c>
      <c r="M14" s="138">
        <v>0</v>
      </c>
      <c r="N14" s="138">
        <v>0</v>
      </c>
      <c r="O14" s="138">
        <v>0</v>
      </c>
      <c r="P14" s="138">
        <v>0</v>
      </c>
      <c r="Q14" s="138">
        <v>0</v>
      </c>
      <c r="R14" s="138">
        <v>0</v>
      </c>
      <c r="S14" s="138">
        <v>0</v>
      </c>
      <c r="T14" s="138">
        <v>0</v>
      </c>
    </row>
    <row r="15" spans="1:20">
      <c r="A15" s="39">
        <v>11</v>
      </c>
      <c r="B15" s="144" t="s">
        <v>175</v>
      </c>
      <c r="C15" s="145"/>
      <c r="D15" s="141">
        <v>0</v>
      </c>
      <c r="E15" s="141">
        <v>0</v>
      </c>
      <c r="F15" s="141">
        <v>3579.9140000000002</v>
      </c>
      <c r="G15" s="137">
        <v>0</v>
      </c>
      <c r="H15" s="137">
        <v>0</v>
      </c>
      <c r="I15" s="36">
        <v>0</v>
      </c>
      <c r="J15" s="36">
        <v>0</v>
      </c>
      <c r="K15" s="37">
        <v>0</v>
      </c>
      <c r="L15" s="138">
        <v>0</v>
      </c>
      <c r="M15" s="138">
        <v>0</v>
      </c>
      <c r="N15" s="138">
        <v>0</v>
      </c>
      <c r="O15" s="138">
        <v>0</v>
      </c>
      <c r="P15" s="138">
        <v>0</v>
      </c>
      <c r="Q15" s="138">
        <v>0</v>
      </c>
      <c r="R15" s="138">
        <v>0</v>
      </c>
      <c r="S15" s="138">
        <v>0</v>
      </c>
      <c r="T15" s="138">
        <v>0</v>
      </c>
    </row>
    <row r="16" spans="1:20">
      <c r="A16" s="39">
        <v>12</v>
      </c>
      <c r="B16" s="144" t="s">
        <v>176</v>
      </c>
      <c r="C16" s="145"/>
      <c r="D16" s="141">
        <v>0</v>
      </c>
      <c r="E16" s="141">
        <v>0</v>
      </c>
      <c r="F16" s="141">
        <v>3579.9140000000002</v>
      </c>
      <c r="G16" s="137">
        <v>0</v>
      </c>
      <c r="H16" s="137">
        <v>0</v>
      </c>
      <c r="I16" s="36">
        <v>0</v>
      </c>
      <c r="J16" s="36">
        <v>0</v>
      </c>
      <c r="K16" s="37">
        <v>0</v>
      </c>
      <c r="L16" s="138">
        <v>0</v>
      </c>
      <c r="M16" s="138">
        <v>0</v>
      </c>
      <c r="N16" s="138">
        <v>0</v>
      </c>
      <c r="O16" s="138">
        <v>0</v>
      </c>
      <c r="P16" s="138">
        <v>0</v>
      </c>
      <c r="Q16" s="138">
        <v>0</v>
      </c>
      <c r="R16" s="138">
        <v>0</v>
      </c>
      <c r="S16" s="138">
        <v>0</v>
      </c>
      <c r="T16" s="138">
        <v>0</v>
      </c>
    </row>
    <row r="17" spans="1:20">
      <c r="A17" s="39">
        <v>13</v>
      </c>
      <c r="B17" s="144" t="s">
        <v>177</v>
      </c>
      <c r="C17" s="145"/>
      <c r="D17" s="141">
        <v>225</v>
      </c>
      <c r="E17" s="141">
        <v>102</v>
      </c>
      <c r="F17" s="141">
        <v>3702.9140000000002</v>
      </c>
      <c r="G17" s="137">
        <v>0</v>
      </c>
      <c r="H17" s="137">
        <v>0</v>
      </c>
      <c r="I17" s="36">
        <v>0</v>
      </c>
      <c r="J17" s="36">
        <v>0</v>
      </c>
      <c r="K17" s="37">
        <v>0</v>
      </c>
      <c r="L17" s="138">
        <v>0</v>
      </c>
      <c r="M17" s="138">
        <v>0</v>
      </c>
      <c r="N17" s="138">
        <v>0</v>
      </c>
      <c r="O17" s="138">
        <v>0</v>
      </c>
      <c r="P17" s="138">
        <v>0</v>
      </c>
      <c r="Q17" s="138">
        <v>0</v>
      </c>
      <c r="R17" s="138">
        <v>0</v>
      </c>
      <c r="S17" s="138">
        <v>0</v>
      </c>
      <c r="T17" s="138">
        <v>0</v>
      </c>
    </row>
    <row r="18" spans="1:20">
      <c r="A18" s="39">
        <v>14</v>
      </c>
      <c r="B18" s="144" t="s">
        <v>178</v>
      </c>
      <c r="C18" s="145"/>
      <c r="D18" s="141">
        <v>145.5</v>
      </c>
      <c r="E18" s="141">
        <v>140.375</v>
      </c>
      <c r="F18" s="141">
        <v>3708.0390000000002</v>
      </c>
      <c r="G18" s="137">
        <v>0</v>
      </c>
      <c r="H18" s="137">
        <v>0</v>
      </c>
      <c r="I18" s="36">
        <v>0</v>
      </c>
      <c r="J18" s="36">
        <v>0</v>
      </c>
      <c r="K18" s="37">
        <v>0</v>
      </c>
      <c r="L18" s="138">
        <v>0</v>
      </c>
      <c r="M18" s="138">
        <v>0</v>
      </c>
      <c r="N18" s="138">
        <v>0</v>
      </c>
      <c r="O18" s="138">
        <v>0</v>
      </c>
      <c r="P18" s="138">
        <v>0</v>
      </c>
      <c r="Q18" s="138">
        <v>0</v>
      </c>
      <c r="R18" s="138">
        <v>0</v>
      </c>
      <c r="S18" s="138">
        <v>0</v>
      </c>
      <c r="T18" s="138">
        <v>0</v>
      </c>
    </row>
    <row r="19" spans="1:20">
      <c r="A19" s="39">
        <v>15</v>
      </c>
      <c r="B19" s="144" t="s">
        <v>179</v>
      </c>
      <c r="C19" s="145"/>
      <c r="D19" s="141">
        <v>279</v>
      </c>
      <c r="E19" s="141">
        <v>259.5</v>
      </c>
      <c r="F19" s="141">
        <v>3727.5390000000002</v>
      </c>
      <c r="G19" s="137">
        <v>0</v>
      </c>
      <c r="H19" s="137">
        <v>0</v>
      </c>
      <c r="I19" s="36">
        <v>9</v>
      </c>
      <c r="J19" s="36">
        <v>9</v>
      </c>
      <c r="K19" s="37">
        <v>0</v>
      </c>
      <c r="L19" s="138">
        <v>0</v>
      </c>
      <c r="M19" s="138">
        <v>0</v>
      </c>
      <c r="N19" s="138">
        <v>0</v>
      </c>
      <c r="O19" s="138">
        <v>0</v>
      </c>
      <c r="P19" s="138">
        <v>0</v>
      </c>
      <c r="Q19" s="138">
        <v>0</v>
      </c>
      <c r="R19" s="138">
        <v>9000</v>
      </c>
      <c r="S19" s="138">
        <v>1260</v>
      </c>
      <c r="T19" s="138">
        <v>10260</v>
      </c>
    </row>
    <row r="20" spans="1:20">
      <c r="A20" s="39">
        <v>16</v>
      </c>
      <c r="B20" s="144" t="s">
        <v>180</v>
      </c>
      <c r="C20" s="145"/>
      <c r="D20" s="141">
        <v>19.25</v>
      </c>
      <c r="E20" s="141">
        <v>312.20499999999998</v>
      </c>
      <c r="F20" s="141">
        <v>3434.5839999999998</v>
      </c>
      <c r="G20" s="137">
        <v>0</v>
      </c>
      <c r="H20" s="137">
        <v>0</v>
      </c>
      <c r="I20" s="36">
        <v>0</v>
      </c>
      <c r="J20" s="36">
        <v>0</v>
      </c>
      <c r="K20" s="37">
        <v>0</v>
      </c>
      <c r="L20" s="138">
        <v>0</v>
      </c>
      <c r="M20" s="138">
        <v>0</v>
      </c>
      <c r="N20" s="138">
        <v>0</v>
      </c>
      <c r="O20" s="138">
        <v>0</v>
      </c>
      <c r="P20" s="138">
        <v>0</v>
      </c>
      <c r="Q20" s="138">
        <v>0</v>
      </c>
      <c r="R20" s="138">
        <v>0</v>
      </c>
      <c r="S20" s="138">
        <v>0</v>
      </c>
      <c r="T20" s="138">
        <v>0</v>
      </c>
    </row>
    <row r="21" spans="1:20">
      <c r="A21" s="39">
        <v>17</v>
      </c>
      <c r="B21" s="144" t="s">
        <v>181</v>
      </c>
      <c r="C21" s="145"/>
      <c r="D21" s="141">
        <v>0</v>
      </c>
      <c r="E21" s="141">
        <v>259.375</v>
      </c>
      <c r="F21" s="141">
        <v>3175.2089999999998</v>
      </c>
      <c r="G21" s="137">
        <v>0</v>
      </c>
      <c r="H21" s="137">
        <v>0</v>
      </c>
      <c r="I21" s="36">
        <v>0</v>
      </c>
      <c r="J21" s="36">
        <v>0</v>
      </c>
      <c r="K21" s="37">
        <v>0</v>
      </c>
      <c r="L21" s="138">
        <v>0</v>
      </c>
      <c r="M21" s="138">
        <v>0</v>
      </c>
      <c r="N21" s="138">
        <v>0</v>
      </c>
      <c r="O21" s="138">
        <v>0</v>
      </c>
      <c r="P21" s="138">
        <v>0</v>
      </c>
      <c r="Q21" s="138">
        <v>0</v>
      </c>
      <c r="R21" s="138">
        <v>0</v>
      </c>
      <c r="S21" s="138">
        <v>0</v>
      </c>
      <c r="T21" s="138">
        <v>0</v>
      </c>
    </row>
    <row r="22" spans="1:20">
      <c r="A22" s="39">
        <v>18</v>
      </c>
      <c r="B22" s="144" t="s">
        <v>182</v>
      </c>
      <c r="C22" s="145"/>
      <c r="D22" s="141">
        <v>0</v>
      </c>
      <c r="E22" s="141">
        <v>0</v>
      </c>
      <c r="F22" s="141">
        <v>3175.2089999999998</v>
      </c>
      <c r="G22" s="137">
        <v>0</v>
      </c>
      <c r="H22" s="137">
        <v>0</v>
      </c>
      <c r="I22" s="36">
        <v>0</v>
      </c>
      <c r="J22" s="36">
        <v>0</v>
      </c>
      <c r="K22" s="37">
        <v>0</v>
      </c>
      <c r="L22" s="138">
        <v>0</v>
      </c>
      <c r="M22" s="138">
        <v>0</v>
      </c>
      <c r="N22" s="138">
        <v>0</v>
      </c>
      <c r="O22" s="138">
        <v>0</v>
      </c>
      <c r="P22" s="138">
        <v>0</v>
      </c>
      <c r="Q22" s="138">
        <v>0</v>
      </c>
      <c r="R22" s="138">
        <v>0</v>
      </c>
      <c r="S22" s="138">
        <v>0</v>
      </c>
      <c r="T22" s="138">
        <v>0</v>
      </c>
    </row>
    <row r="23" spans="1:20">
      <c r="A23" s="39">
        <v>19</v>
      </c>
      <c r="B23" s="144" t="s">
        <v>183</v>
      </c>
      <c r="C23" s="145"/>
      <c r="D23" s="141">
        <v>0</v>
      </c>
      <c r="E23" s="141">
        <v>0</v>
      </c>
      <c r="F23" s="141">
        <v>3175.2089999999998</v>
      </c>
      <c r="G23" s="137">
        <v>0</v>
      </c>
      <c r="H23" s="137">
        <v>0</v>
      </c>
      <c r="I23" s="36">
        <v>0</v>
      </c>
      <c r="J23" s="36">
        <v>0</v>
      </c>
      <c r="K23" s="37">
        <v>0</v>
      </c>
      <c r="L23" s="138">
        <v>0</v>
      </c>
      <c r="M23" s="138">
        <v>0</v>
      </c>
      <c r="N23" s="138">
        <v>0</v>
      </c>
      <c r="O23" s="138">
        <v>0</v>
      </c>
      <c r="P23" s="138">
        <v>0</v>
      </c>
      <c r="Q23" s="138">
        <v>0</v>
      </c>
      <c r="R23" s="138">
        <v>0</v>
      </c>
      <c r="S23" s="138">
        <v>0</v>
      </c>
      <c r="T23" s="138">
        <v>0</v>
      </c>
    </row>
    <row r="24" spans="1:20">
      <c r="A24" s="39">
        <v>20</v>
      </c>
      <c r="B24" s="144" t="s">
        <v>184</v>
      </c>
      <c r="C24" s="145"/>
      <c r="D24" s="141">
        <v>0</v>
      </c>
      <c r="E24" s="141">
        <v>101.375</v>
      </c>
      <c r="F24" s="141">
        <v>3073.8339999999998</v>
      </c>
      <c r="G24" s="137">
        <v>0</v>
      </c>
      <c r="H24" s="137">
        <v>0</v>
      </c>
      <c r="I24" s="36">
        <v>0</v>
      </c>
      <c r="J24" s="36">
        <v>0</v>
      </c>
      <c r="K24" s="37">
        <v>0</v>
      </c>
      <c r="L24" s="138">
        <v>0</v>
      </c>
      <c r="M24" s="138">
        <v>0</v>
      </c>
      <c r="N24" s="138">
        <v>0</v>
      </c>
      <c r="O24" s="138">
        <v>0</v>
      </c>
      <c r="P24" s="138">
        <v>0</v>
      </c>
      <c r="Q24" s="138">
        <v>0</v>
      </c>
      <c r="R24" s="138">
        <v>0</v>
      </c>
      <c r="S24" s="138">
        <v>0</v>
      </c>
      <c r="T24" s="138">
        <v>0</v>
      </c>
    </row>
    <row r="25" spans="1:20">
      <c r="A25" s="39">
        <v>21</v>
      </c>
      <c r="B25" s="144" t="s">
        <v>185</v>
      </c>
      <c r="C25" s="145"/>
      <c r="D25" s="141">
        <v>0</v>
      </c>
      <c r="E25" s="141">
        <v>83.25</v>
      </c>
      <c r="F25" s="141">
        <v>2990.5839999999998</v>
      </c>
      <c r="G25" s="137">
        <v>0</v>
      </c>
      <c r="H25" s="137">
        <v>0</v>
      </c>
      <c r="I25" s="36">
        <v>0</v>
      </c>
      <c r="J25" s="36">
        <v>0</v>
      </c>
      <c r="K25" s="37">
        <v>0</v>
      </c>
      <c r="L25" s="138">
        <v>0</v>
      </c>
      <c r="M25" s="138">
        <v>0</v>
      </c>
      <c r="N25" s="138">
        <v>0</v>
      </c>
      <c r="O25" s="138">
        <v>0</v>
      </c>
      <c r="P25" s="138">
        <v>0</v>
      </c>
      <c r="Q25" s="138">
        <v>0</v>
      </c>
      <c r="R25" s="138">
        <v>0</v>
      </c>
      <c r="S25" s="138">
        <v>0</v>
      </c>
      <c r="T25" s="138">
        <v>0</v>
      </c>
    </row>
    <row r="26" spans="1:20">
      <c r="A26" s="39">
        <v>22</v>
      </c>
      <c r="B26" s="144" t="s">
        <v>186</v>
      </c>
      <c r="C26" s="145"/>
      <c r="D26" s="141">
        <v>0</v>
      </c>
      <c r="E26" s="141">
        <v>57.375</v>
      </c>
      <c r="F26" s="141">
        <v>2933.2089999999998</v>
      </c>
      <c r="G26" s="137">
        <v>0</v>
      </c>
      <c r="H26" s="137">
        <v>0</v>
      </c>
      <c r="I26" s="36">
        <v>0</v>
      </c>
      <c r="J26" s="36">
        <v>0</v>
      </c>
      <c r="K26" s="37">
        <v>0</v>
      </c>
      <c r="L26" s="138">
        <v>0</v>
      </c>
      <c r="M26" s="138">
        <v>0</v>
      </c>
      <c r="N26" s="138">
        <v>0</v>
      </c>
      <c r="O26" s="138">
        <v>0</v>
      </c>
      <c r="P26" s="138">
        <v>0</v>
      </c>
      <c r="Q26" s="138">
        <v>0</v>
      </c>
      <c r="R26" s="138">
        <v>0</v>
      </c>
      <c r="S26" s="138">
        <v>0</v>
      </c>
      <c r="T26" s="138">
        <v>0</v>
      </c>
    </row>
    <row r="27" spans="1:20">
      <c r="A27" s="39">
        <v>23</v>
      </c>
      <c r="B27" s="144" t="s">
        <v>187</v>
      </c>
      <c r="C27" s="145"/>
      <c r="D27" s="141">
        <v>0</v>
      </c>
      <c r="E27" s="141">
        <v>51.5</v>
      </c>
      <c r="F27" s="141">
        <v>2881.7089999999998</v>
      </c>
      <c r="G27" s="137">
        <v>0</v>
      </c>
      <c r="H27" s="137">
        <v>0</v>
      </c>
      <c r="I27" s="36">
        <v>3.3380000000000001</v>
      </c>
      <c r="J27" s="36">
        <v>3.3380000000000001</v>
      </c>
      <c r="K27" s="37">
        <v>0</v>
      </c>
      <c r="L27" s="138">
        <v>0</v>
      </c>
      <c r="M27" s="138">
        <v>0</v>
      </c>
      <c r="N27" s="138">
        <v>0</v>
      </c>
      <c r="O27" s="138">
        <v>0</v>
      </c>
      <c r="P27" s="138">
        <v>0</v>
      </c>
      <c r="Q27" s="138">
        <v>0</v>
      </c>
      <c r="R27" s="138">
        <v>3338</v>
      </c>
      <c r="S27" s="138">
        <v>467.32</v>
      </c>
      <c r="T27" s="138">
        <v>3805.32</v>
      </c>
    </row>
    <row r="28" spans="1:20">
      <c r="A28" s="39">
        <v>24</v>
      </c>
      <c r="B28" s="144" t="s">
        <v>188</v>
      </c>
      <c r="C28" s="145"/>
      <c r="D28" s="141">
        <v>3.3380000000000001</v>
      </c>
      <c r="E28" s="141">
        <v>35.75</v>
      </c>
      <c r="F28" s="141">
        <v>2849.297</v>
      </c>
      <c r="G28" s="137">
        <v>0</v>
      </c>
      <c r="H28" s="137">
        <v>0</v>
      </c>
      <c r="I28" s="36">
        <v>0</v>
      </c>
      <c r="J28" s="36">
        <v>0</v>
      </c>
      <c r="K28" s="37">
        <v>0</v>
      </c>
      <c r="L28" s="138">
        <v>0</v>
      </c>
      <c r="M28" s="138">
        <v>0</v>
      </c>
      <c r="N28" s="138">
        <v>0</v>
      </c>
      <c r="O28" s="138">
        <v>0</v>
      </c>
      <c r="P28" s="138">
        <v>0</v>
      </c>
      <c r="Q28" s="138">
        <v>0</v>
      </c>
      <c r="R28" s="138">
        <v>0</v>
      </c>
      <c r="S28" s="138">
        <v>0</v>
      </c>
      <c r="T28" s="138">
        <v>0</v>
      </c>
    </row>
    <row r="29" spans="1:20">
      <c r="A29" s="39">
        <v>25</v>
      </c>
      <c r="B29" s="144" t="s">
        <v>189</v>
      </c>
      <c r="C29" s="145"/>
      <c r="D29" s="141">
        <v>0</v>
      </c>
      <c r="E29" s="141">
        <v>0</v>
      </c>
      <c r="F29" s="141">
        <v>2849.297</v>
      </c>
      <c r="G29" s="137">
        <v>0</v>
      </c>
      <c r="H29" s="137">
        <v>0</v>
      </c>
      <c r="I29" s="36">
        <v>0</v>
      </c>
      <c r="J29" s="36">
        <v>0</v>
      </c>
      <c r="K29" s="37">
        <v>0</v>
      </c>
      <c r="L29" s="138">
        <v>0</v>
      </c>
      <c r="M29" s="138">
        <v>0</v>
      </c>
      <c r="N29" s="138">
        <v>0</v>
      </c>
      <c r="O29" s="138">
        <v>0</v>
      </c>
      <c r="P29" s="138">
        <v>0</v>
      </c>
      <c r="Q29" s="138">
        <v>0</v>
      </c>
      <c r="R29" s="138">
        <v>0</v>
      </c>
      <c r="S29" s="138">
        <v>0</v>
      </c>
      <c r="T29" s="138">
        <v>0</v>
      </c>
    </row>
    <row r="30" spans="1:20">
      <c r="A30" s="39">
        <v>26</v>
      </c>
      <c r="B30" s="144" t="s">
        <v>190</v>
      </c>
      <c r="C30" s="145"/>
      <c r="D30" s="141">
        <v>0</v>
      </c>
      <c r="E30" s="141">
        <v>0</v>
      </c>
      <c r="F30" s="141">
        <v>2849.297</v>
      </c>
      <c r="G30" s="137">
        <v>0</v>
      </c>
      <c r="H30" s="137">
        <v>0</v>
      </c>
      <c r="I30" s="36">
        <v>0</v>
      </c>
      <c r="J30" s="36">
        <v>0</v>
      </c>
      <c r="K30" s="37">
        <v>0</v>
      </c>
      <c r="L30" s="138">
        <v>0</v>
      </c>
      <c r="M30" s="138">
        <v>0</v>
      </c>
      <c r="N30" s="138">
        <v>0</v>
      </c>
      <c r="O30" s="138">
        <v>0</v>
      </c>
      <c r="P30" s="138">
        <v>0</v>
      </c>
      <c r="Q30" s="138">
        <v>0</v>
      </c>
      <c r="R30" s="138">
        <v>0</v>
      </c>
      <c r="S30" s="138">
        <v>0</v>
      </c>
      <c r="T30" s="138">
        <v>0</v>
      </c>
    </row>
    <row r="31" spans="1:20">
      <c r="A31" s="39">
        <v>27</v>
      </c>
      <c r="B31" s="144" t="s">
        <v>191</v>
      </c>
      <c r="C31" s="145"/>
      <c r="D31" s="141">
        <v>0</v>
      </c>
      <c r="E31" s="141">
        <v>43</v>
      </c>
      <c r="F31" s="141">
        <v>2806.297</v>
      </c>
      <c r="G31" s="137">
        <v>0</v>
      </c>
      <c r="H31" s="137">
        <v>0</v>
      </c>
      <c r="I31" s="36">
        <v>0</v>
      </c>
      <c r="J31" s="36">
        <v>0</v>
      </c>
      <c r="K31" s="37">
        <v>0</v>
      </c>
      <c r="L31" s="138">
        <v>0</v>
      </c>
      <c r="M31" s="138">
        <v>0</v>
      </c>
      <c r="N31" s="138">
        <v>0</v>
      </c>
      <c r="O31" s="138">
        <v>0</v>
      </c>
      <c r="P31" s="138">
        <v>0</v>
      </c>
      <c r="Q31" s="138">
        <v>0</v>
      </c>
      <c r="R31" s="138">
        <v>0</v>
      </c>
      <c r="S31" s="138">
        <v>0</v>
      </c>
      <c r="T31" s="138">
        <v>0</v>
      </c>
    </row>
    <row r="32" spans="1:20">
      <c r="A32" s="39">
        <v>28</v>
      </c>
      <c r="B32" s="144" t="s">
        <v>192</v>
      </c>
      <c r="C32" s="145"/>
      <c r="D32" s="141">
        <v>0</v>
      </c>
      <c r="E32" s="141">
        <v>58.125</v>
      </c>
      <c r="F32" s="141">
        <v>2748.172</v>
      </c>
      <c r="G32" s="137">
        <v>0</v>
      </c>
      <c r="H32" s="137">
        <v>0</v>
      </c>
      <c r="I32" s="36">
        <v>0</v>
      </c>
      <c r="J32" s="36">
        <v>0</v>
      </c>
      <c r="K32" s="37">
        <v>0</v>
      </c>
      <c r="L32" s="138">
        <v>0</v>
      </c>
      <c r="M32" s="138">
        <v>0</v>
      </c>
      <c r="N32" s="138">
        <v>0</v>
      </c>
      <c r="O32" s="138">
        <v>0</v>
      </c>
      <c r="P32" s="138">
        <v>0</v>
      </c>
      <c r="Q32" s="138">
        <v>0</v>
      </c>
      <c r="R32" s="138">
        <v>0</v>
      </c>
      <c r="S32" s="138">
        <v>0</v>
      </c>
      <c r="T32" s="138">
        <v>0</v>
      </c>
    </row>
    <row r="33" spans="1:20">
      <c r="A33" s="39">
        <v>29</v>
      </c>
      <c r="B33" s="144" t="s">
        <v>193</v>
      </c>
      <c r="C33" s="145"/>
      <c r="D33" s="141">
        <v>0</v>
      </c>
      <c r="E33" s="141">
        <v>10.5</v>
      </c>
      <c r="F33" s="141">
        <v>2737.672</v>
      </c>
      <c r="G33" s="137">
        <v>0</v>
      </c>
      <c r="H33" s="137">
        <v>0</v>
      </c>
      <c r="I33" s="36">
        <v>0</v>
      </c>
      <c r="J33" s="36">
        <v>0</v>
      </c>
      <c r="K33" s="37">
        <v>0</v>
      </c>
      <c r="L33" s="138">
        <v>0</v>
      </c>
      <c r="M33" s="138">
        <v>0</v>
      </c>
      <c r="N33" s="138">
        <v>0</v>
      </c>
      <c r="O33" s="138">
        <v>0</v>
      </c>
      <c r="P33" s="138">
        <v>0</v>
      </c>
      <c r="Q33" s="138">
        <v>0</v>
      </c>
      <c r="R33" s="138">
        <v>0</v>
      </c>
      <c r="S33" s="138">
        <v>0</v>
      </c>
      <c r="T33" s="138">
        <v>0</v>
      </c>
    </row>
    <row r="34" spans="1:20">
      <c r="A34" s="39">
        <v>30</v>
      </c>
      <c r="B34" s="144" t="s">
        <v>194</v>
      </c>
      <c r="C34" s="145"/>
      <c r="D34" s="141">
        <v>0</v>
      </c>
      <c r="E34" s="141">
        <v>64.25</v>
      </c>
      <c r="F34" s="141">
        <v>2673.422</v>
      </c>
      <c r="G34" s="137">
        <v>0</v>
      </c>
      <c r="H34" s="137">
        <v>0</v>
      </c>
      <c r="I34" s="36">
        <v>0</v>
      </c>
      <c r="J34" s="36">
        <v>0</v>
      </c>
      <c r="K34" s="37">
        <v>0</v>
      </c>
      <c r="L34" s="138">
        <v>0</v>
      </c>
      <c r="M34" s="138">
        <v>0</v>
      </c>
      <c r="N34" s="138">
        <v>0</v>
      </c>
      <c r="O34" s="138">
        <v>0</v>
      </c>
      <c r="P34" s="138">
        <v>0</v>
      </c>
      <c r="Q34" s="138">
        <v>0</v>
      </c>
      <c r="R34" s="138">
        <v>0</v>
      </c>
      <c r="S34" s="138">
        <v>0</v>
      </c>
      <c r="T34" s="138">
        <v>0</v>
      </c>
    </row>
    <row r="35" spans="1:20">
      <c r="A35" s="39">
        <v>31</v>
      </c>
      <c r="B35" s="144"/>
      <c r="C35" s="145"/>
      <c r="D35" s="141">
        <v>0</v>
      </c>
      <c r="E35" s="141">
        <v>0</v>
      </c>
      <c r="F35" s="141">
        <v>0</v>
      </c>
      <c r="G35" s="137">
        <v>0</v>
      </c>
      <c r="H35" s="137">
        <v>0</v>
      </c>
      <c r="I35" s="36">
        <v>0</v>
      </c>
      <c r="J35" s="36">
        <v>0</v>
      </c>
      <c r="K35" s="37">
        <v>0</v>
      </c>
      <c r="L35" s="138">
        <v>0</v>
      </c>
      <c r="M35" s="138">
        <v>0</v>
      </c>
      <c r="N35" s="138">
        <v>0</v>
      </c>
      <c r="O35" s="138">
        <v>0</v>
      </c>
      <c r="P35" s="138">
        <v>0</v>
      </c>
      <c r="Q35" s="138">
        <v>0</v>
      </c>
      <c r="R35" s="138">
        <v>0</v>
      </c>
      <c r="S35" s="138">
        <v>0</v>
      </c>
      <c r="T35" s="138">
        <v>0</v>
      </c>
    </row>
    <row r="36" spans="1:20">
      <c r="D36" s="43">
        <v>807.08799999999997</v>
      </c>
      <c r="E36" s="43">
        <v>2272.0549999999998</v>
      </c>
      <c r="F36" s="43">
        <v>101707.53600000004</v>
      </c>
      <c r="G36" s="43">
        <v>0</v>
      </c>
      <c r="H36" s="43">
        <v>0</v>
      </c>
      <c r="I36" s="43">
        <v>12.338000000000001</v>
      </c>
      <c r="J36" s="43">
        <v>12.338000000000001</v>
      </c>
      <c r="K36" s="43">
        <v>0</v>
      </c>
      <c r="L36" s="139">
        <v>0</v>
      </c>
      <c r="M36" s="139">
        <v>473010</v>
      </c>
      <c r="N36" s="139">
        <v>470730.99</v>
      </c>
      <c r="O36" s="139">
        <v>2564486.6</v>
      </c>
      <c r="P36" s="139">
        <v>0</v>
      </c>
      <c r="Q36" s="139">
        <v>0</v>
      </c>
      <c r="R36" s="139">
        <v>12338</v>
      </c>
      <c r="S36" s="139">
        <v>1727.32</v>
      </c>
      <c r="T36" s="139">
        <v>3522292.91</v>
      </c>
    </row>
    <row r="37" spans="1:20">
      <c r="R37" s="46"/>
      <c r="S37" s="46"/>
      <c r="T37" s="140">
        <v>4297197.3499999996</v>
      </c>
    </row>
  </sheetData>
  <mergeCells count="50"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90956-4D81-4A8A-9D86-BA00C66E1DFD}">
  <sheetPr>
    <pageSetUpPr fitToPage="1"/>
  </sheetPr>
  <dimension ref="A1:T37"/>
  <sheetViews>
    <sheetView topLeftCell="B10" workbookViewId="0">
      <selection activeCell="R5" sqref="R5:S35"/>
    </sheetView>
  </sheetViews>
  <sheetFormatPr defaultRowHeight="15"/>
  <cols>
    <col min="1" max="3" width="9.140625" style="28"/>
    <col min="4" max="4" width="11.7109375" style="28" customWidth="1"/>
    <col min="5" max="5" width="12.140625" style="28" customWidth="1"/>
    <col min="6" max="6" width="13.28515625" style="28" customWidth="1"/>
    <col min="7" max="7" width="11.42578125" style="28" customWidth="1"/>
    <col min="8" max="8" width="10.42578125" style="28" customWidth="1"/>
    <col min="9" max="9" width="10.5703125" style="28" bestFit="1" customWidth="1"/>
    <col min="10" max="10" width="9.42578125" style="28" bestFit="1" customWidth="1"/>
    <col min="11" max="12" width="9.140625" style="28"/>
    <col min="13" max="13" width="15.140625" style="28" customWidth="1"/>
    <col min="14" max="14" width="13.5703125" style="28" customWidth="1"/>
    <col min="15" max="15" width="14.5703125" style="28" customWidth="1"/>
    <col min="16" max="16" width="14.5703125" style="28" bestFit="1" customWidth="1"/>
    <col min="17" max="17" width="15" style="28" customWidth="1"/>
    <col min="18" max="18" width="13.28515625" style="28" customWidth="1"/>
    <col min="19" max="19" width="11.7109375" style="28" customWidth="1"/>
    <col min="20" max="20" width="24.28515625" style="28" customWidth="1"/>
    <col min="21" max="16384" width="9.140625" style="28"/>
  </cols>
  <sheetData>
    <row r="1" spans="1:20">
      <c r="I1" s="29"/>
    </row>
    <row r="2" spans="1:20" ht="28.9" customHeight="1">
      <c r="A2" s="149" t="s">
        <v>220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</row>
    <row r="3" spans="1:20" ht="28.9" customHeight="1">
      <c r="A3" s="146" t="s">
        <v>0</v>
      </c>
      <c r="B3" s="150" t="s">
        <v>1</v>
      </c>
      <c r="C3" s="151"/>
      <c r="D3" s="146" t="s">
        <v>2</v>
      </c>
      <c r="E3" s="146" t="s">
        <v>3</v>
      </c>
      <c r="F3" s="30" t="s">
        <v>4</v>
      </c>
      <c r="G3" s="146" t="s">
        <v>156</v>
      </c>
      <c r="H3" s="146" t="s">
        <v>157</v>
      </c>
      <c r="I3" s="146" t="s">
        <v>7</v>
      </c>
      <c r="J3" s="146" t="s">
        <v>8</v>
      </c>
      <c r="K3" s="146" t="s">
        <v>158</v>
      </c>
      <c r="L3" s="146" t="s">
        <v>159</v>
      </c>
      <c r="M3" s="146" t="s">
        <v>160</v>
      </c>
      <c r="N3" s="146" t="s">
        <v>161</v>
      </c>
      <c r="O3" s="146" t="s">
        <v>162</v>
      </c>
      <c r="P3" s="146" t="s">
        <v>163</v>
      </c>
      <c r="Q3" s="146" t="s">
        <v>164</v>
      </c>
      <c r="R3" s="146" t="s">
        <v>16</v>
      </c>
      <c r="S3" s="146" t="s">
        <v>17</v>
      </c>
      <c r="T3" s="146" t="s">
        <v>18</v>
      </c>
    </row>
    <row r="4" spans="1:20" ht="27" customHeight="1">
      <c r="A4" s="147"/>
      <c r="B4" s="152"/>
      <c r="C4" s="153"/>
      <c r="D4" s="147"/>
      <c r="E4" s="147"/>
      <c r="F4" s="31"/>
      <c r="G4" s="147"/>
      <c r="H4" s="147"/>
      <c r="I4" s="147"/>
      <c r="J4" s="147"/>
      <c r="K4" s="148"/>
      <c r="L4" s="148"/>
      <c r="M4" s="147"/>
      <c r="N4" s="147"/>
      <c r="O4" s="147"/>
      <c r="P4" s="147"/>
      <c r="Q4" s="147"/>
      <c r="R4" s="147"/>
      <c r="S4" s="147"/>
      <c r="T4" s="147"/>
    </row>
    <row r="5" spans="1:20">
      <c r="A5" s="39">
        <v>1</v>
      </c>
      <c r="B5" s="144" t="s">
        <v>165</v>
      </c>
      <c r="C5" s="145"/>
      <c r="D5" s="141">
        <v>0</v>
      </c>
      <c r="E5" s="141">
        <v>0</v>
      </c>
      <c r="F5" s="141">
        <v>29.1</v>
      </c>
      <c r="G5" s="137">
        <v>0</v>
      </c>
      <c r="H5" s="137">
        <v>0</v>
      </c>
      <c r="I5" s="36">
        <v>0</v>
      </c>
      <c r="J5" s="36">
        <v>0</v>
      </c>
      <c r="K5" s="37">
        <v>0</v>
      </c>
      <c r="L5" s="138">
        <v>0</v>
      </c>
      <c r="M5" s="138">
        <v>0</v>
      </c>
      <c r="N5" s="138">
        <v>0</v>
      </c>
      <c r="O5" s="138">
        <v>0</v>
      </c>
      <c r="P5" s="138">
        <v>0</v>
      </c>
      <c r="Q5" s="138">
        <v>0</v>
      </c>
      <c r="R5" s="138">
        <v>0</v>
      </c>
      <c r="S5" s="138">
        <v>0</v>
      </c>
      <c r="T5" s="138">
        <v>0</v>
      </c>
    </row>
    <row r="6" spans="1:20">
      <c r="A6" s="39">
        <v>2</v>
      </c>
      <c r="B6" s="144" t="s">
        <v>166</v>
      </c>
      <c r="C6" s="145"/>
      <c r="D6" s="141">
        <v>0</v>
      </c>
      <c r="E6" s="141">
        <v>0</v>
      </c>
      <c r="F6" s="141">
        <v>29.1</v>
      </c>
      <c r="G6" s="137">
        <v>0</v>
      </c>
      <c r="H6" s="137">
        <v>0</v>
      </c>
      <c r="I6" s="36">
        <v>0</v>
      </c>
      <c r="J6" s="36">
        <v>0</v>
      </c>
      <c r="K6" s="37">
        <v>0</v>
      </c>
      <c r="L6" s="138">
        <v>0</v>
      </c>
      <c r="M6" s="138">
        <v>0</v>
      </c>
      <c r="N6" s="138">
        <v>0</v>
      </c>
      <c r="O6" s="138">
        <v>0</v>
      </c>
      <c r="P6" s="138">
        <v>0</v>
      </c>
      <c r="Q6" s="138">
        <v>0</v>
      </c>
      <c r="R6" s="138">
        <v>0</v>
      </c>
      <c r="S6" s="138">
        <v>0</v>
      </c>
      <c r="T6" s="138">
        <v>0</v>
      </c>
    </row>
    <row r="7" spans="1:20">
      <c r="A7" s="39">
        <v>3</v>
      </c>
      <c r="B7" s="144" t="s">
        <v>167</v>
      </c>
      <c r="C7" s="145"/>
      <c r="D7" s="141">
        <v>0</v>
      </c>
      <c r="E7" s="141">
        <v>0</v>
      </c>
      <c r="F7" s="141">
        <v>29.1</v>
      </c>
      <c r="G7" s="137">
        <v>0</v>
      </c>
      <c r="H7" s="137">
        <v>0</v>
      </c>
      <c r="I7" s="36">
        <v>0</v>
      </c>
      <c r="J7" s="36">
        <v>0</v>
      </c>
      <c r="K7" s="37">
        <v>0</v>
      </c>
      <c r="L7" s="138">
        <v>0</v>
      </c>
      <c r="M7" s="138">
        <v>0</v>
      </c>
      <c r="N7" s="138">
        <v>0</v>
      </c>
      <c r="O7" s="138">
        <v>0</v>
      </c>
      <c r="P7" s="138">
        <v>0</v>
      </c>
      <c r="Q7" s="138">
        <v>0</v>
      </c>
      <c r="R7" s="138">
        <v>0</v>
      </c>
      <c r="S7" s="138">
        <v>0</v>
      </c>
      <c r="T7" s="138">
        <v>0</v>
      </c>
    </row>
    <row r="8" spans="1:20">
      <c r="A8" s="39">
        <v>4</v>
      </c>
      <c r="B8" s="144" t="s">
        <v>168</v>
      </c>
      <c r="C8" s="145"/>
      <c r="D8" s="141">
        <v>0</v>
      </c>
      <c r="E8" s="141">
        <v>0</v>
      </c>
      <c r="F8" s="141">
        <v>29.1</v>
      </c>
      <c r="G8" s="137">
        <v>0</v>
      </c>
      <c r="H8" s="137">
        <v>0</v>
      </c>
      <c r="I8" s="36">
        <v>0</v>
      </c>
      <c r="J8" s="36">
        <v>0</v>
      </c>
      <c r="K8" s="37">
        <v>0</v>
      </c>
      <c r="L8" s="138">
        <v>0</v>
      </c>
      <c r="M8" s="138">
        <v>0</v>
      </c>
      <c r="N8" s="138">
        <v>0</v>
      </c>
      <c r="O8" s="138">
        <v>0</v>
      </c>
      <c r="P8" s="138">
        <v>0</v>
      </c>
      <c r="Q8" s="138">
        <v>0</v>
      </c>
      <c r="R8" s="138">
        <v>0</v>
      </c>
      <c r="S8" s="138">
        <v>0</v>
      </c>
      <c r="T8" s="138">
        <v>0</v>
      </c>
    </row>
    <row r="9" spans="1:20">
      <c r="A9" s="39">
        <v>5</v>
      </c>
      <c r="B9" s="144" t="s">
        <v>169</v>
      </c>
      <c r="C9" s="145"/>
      <c r="D9" s="141">
        <v>0</v>
      </c>
      <c r="E9" s="141">
        <v>0</v>
      </c>
      <c r="F9" s="141">
        <v>29.1</v>
      </c>
      <c r="G9" s="137">
        <v>0</v>
      </c>
      <c r="H9" s="137">
        <v>0</v>
      </c>
      <c r="I9" s="36">
        <v>0</v>
      </c>
      <c r="J9" s="36">
        <v>0</v>
      </c>
      <c r="K9" s="37">
        <v>0</v>
      </c>
      <c r="L9" s="138">
        <v>0</v>
      </c>
      <c r="M9" s="138">
        <v>0</v>
      </c>
      <c r="N9" s="138">
        <v>0</v>
      </c>
      <c r="O9" s="138">
        <v>0</v>
      </c>
      <c r="P9" s="138">
        <v>0</v>
      </c>
      <c r="Q9" s="138">
        <v>0</v>
      </c>
      <c r="R9" s="138">
        <v>0</v>
      </c>
      <c r="S9" s="138">
        <v>0</v>
      </c>
      <c r="T9" s="138">
        <v>0</v>
      </c>
    </row>
    <row r="10" spans="1:20">
      <c r="A10" s="39">
        <v>6</v>
      </c>
      <c r="B10" s="144" t="s">
        <v>170</v>
      </c>
      <c r="C10" s="145"/>
      <c r="D10" s="141">
        <v>0</v>
      </c>
      <c r="E10" s="141">
        <v>0</v>
      </c>
      <c r="F10" s="141">
        <v>29.1</v>
      </c>
      <c r="G10" s="137">
        <v>0</v>
      </c>
      <c r="H10" s="137">
        <v>0</v>
      </c>
      <c r="I10" s="36">
        <v>0</v>
      </c>
      <c r="J10" s="36">
        <v>0</v>
      </c>
      <c r="K10" s="37">
        <v>0</v>
      </c>
      <c r="L10" s="138">
        <v>0</v>
      </c>
      <c r="M10" s="138">
        <v>0</v>
      </c>
      <c r="N10" s="138">
        <v>0</v>
      </c>
      <c r="O10" s="138">
        <v>0</v>
      </c>
      <c r="P10" s="138">
        <v>0</v>
      </c>
      <c r="Q10" s="138">
        <v>0</v>
      </c>
      <c r="R10" s="138">
        <v>0</v>
      </c>
      <c r="S10" s="138">
        <v>0</v>
      </c>
      <c r="T10" s="138">
        <v>0</v>
      </c>
    </row>
    <row r="11" spans="1:20">
      <c r="A11" s="39">
        <v>7</v>
      </c>
      <c r="B11" s="144" t="s">
        <v>171</v>
      </c>
      <c r="C11" s="145"/>
      <c r="D11" s="141">
        <v>0</v>
      </c>
      <c r="E11" s="141">
        <v>0</v>
      </c>
      <c r="F11" s="141">
        <v>29.1</v>
      </c>
      <c r="G11" s="137">
        <v>0</v>
      </c>
      <c r="H11" s="137">
        <v>0</v>
      </c>
      <c r="I11" s="36">
        <v>0</v>
      </c>
      <c r="J11" s="36">
        <v>0</v>
      </c>
      <c r="K11" s="37">
        <v>0</v>
      </c>
      <c r="L11" s="138">
        <v>0</v>
      </c>
      <c r="M11" s="138">
        <v>0</v>
      </c>
      <c r="N11" s="138">
        <v>0</v>
      </c>
      <c r="O11" s="138">
        <v>0</v>
      </c>
      <c r="P11" s="138">
        <v>0</v>
      </c>
      <c r="Q11" s="138">
        <v>0</v>
      </c>
      <c r="R11" s="138">
        <v>0</v>
      </c>
      <c r="S11" s="138">
        <v>0</v>
      </c>
      <c r="T11" s="138">
        <v>0</v>
      </c>
    </row>
    <row r="12" spans="1:20">
      <c r="A12" s="39">
        <v>8</v>
      </c>
      <c r="B12" s="144" t="s">
        <v>172</v>
      </c>
      <c r="C12" s="145"/>
      <c r="D12" s="141">
        <v>0</v>
      </c>
      <c r="E12" s="141">
        <v>0</v>
      </c>
      <c r="F12" s="141">
        <v>29.1</v>
      </c>
      <c r="G12" s="137">
        <v>0</v>
      </c>
      <c r="H12" s="137">
        <v>0</v>
      </c>
      <c r="I12" s="36">
        <v>0</v>
      </c>
      <c r="J12" s="36">
        <v>0</v>
      </c>
      <c r="K12" s="37">
        <v>0</v>
      </c>
      <c r="L12" s="138">
        <v>0</v>
      </c>
      <c r="M12" s="138">
        <v>0</v>
      </c>
      <c r="N12" s="138">
        <v>0</v>
      </c>
      <c r="O12" s="138">
        <v>0</v>
      </c>
      <c r="P12" s="138">
        <v>0</v>
      </c>
      <c r="Q12" s="138">
        <v>0</v>
      </c>
      <c r="R12" s="138">
        <v>0</v>
      </c>
      <c r="S12" s="138">
        <v>0</v>
      </c>
      <c r="T12" s="138">
        <v>0</v>
      </c>
    </row>
    <row r="13" spans="1:20">
      <c r="A13" s="39">
        <v>9</v>
      </c>
      <c r="B13" s="144" t="s">
        <v>173</v>
      </c>
      <c r="C13" s="145"/>
      <c r="D13" s="141">
        <v>0</v>
      </c>
      <c r="E13" s="141">
        <v>0</v>
      </c>
      <c r="F13" s="141">
        <v>29.1</v>
      </c>
      <c r="G13" s="137">
        <v>0</v>
      </c>
      <c r="H13" s="137">
        <v>0</v>
      </c>
      <c r="I13" s="36">
        <v>0</v>
      </c>
      <c r="J13" s="36">
        <v>0</v>
      </c>
      <c r="K13" s="37">
        <v>0</v>
      </c>
      <c r="L13" s="138">
        <v>0</v>
      </c>
      <c r="M13" s="138">
        <v>0</v>
      </c>
      <c r="N13" s="138">
        <v>0</v>
      </c>
      <c r="O13" s="138">
        <v>0</v>
      </c>
      <c r="P13" s="138">
        <v>0</v>
      </c>
      <c r="Q13" s="138">
        <v>0</v>
      </c>
      <c r="R13" s="138">
        <v>0</v>
      </c>
      <c r="S13" s="138">
        <v>0</v>
      </c>
      <c r="T13" s="138">
        <v>0</v>
      </c>
    </row>
    <row r="14" spans="1:20">
      <c r="A14" s="39">
        <v>10</v>
      </c>
      <c r="B14" s="144" t="s">
        <v>174</v>
      </c>
      <c r="C14" s="145"/>
      <c r="D14" s="141">
        <v>0</v>
      </c>
      <c r="E14" s="141">
        <v>0</v>
      </c>
      <c r="F14" s="141">
        <v>29.1</v>
      </c>
      <c r="G14" s="137">
        <v>0</v>
      </c>
      <c r="H14" s="137">
        <v>0</v>
      </c>
      <c r="I14" s="36">
        <v>0</v>
      </c>
      <c r="J14" s="36">
        <v>0</v>
      </c>
      <c r="K14" s="37">
        <v>0</v>
      </c>
      <c r="L14" s="138">
        <v>0</v>
      </c>
      <c r="M14" s="138">
        <v>0</v>
      </c>
      <c r="N14" s="138">
        <v>0</v>
      </c>
      <c r="O14" s="138">
        <v>0</v>
      </c>
      <c r="P14" s="138">
        <v>0</v>
      </c>
      <c r="Q14" s="138">
        <v>0</v>
      </c>
      <c r="R14" s="138">
        <v>0</v>
      </c>
      <c r="S14" s="138">
        <v>0</v>
      </c>
      <c r="T14" s="138">
        <v>0</v>
      </c>
    </row>
    <row r="15" spans="1:20">
      <c r="A15" s="39">
        <v>11</v>
      </c>
      <c r="B15" s="144" t="s">
        <v>175</v>
      </c>
      <c r="C15" s="145"/>
      <c r="D15" s="141">
        <v>0</v>
      </c>
      <c r="E15" s="141">
        <v>0</v>
      </c>
      <c r="F15" s="141">
        <v>29.1</v>
      </c>
      <c r="G15" s="137">
        <v>0</v>
      </c>
      <c r="H15" s="137">
        <v>0</v>
      </c>
      <c r="I15" s="36">
        <v>0</v>
      </c>
      <c r="J15" s="36">
        <v>0</v>
      </c>
      <c r="K15" s="37">
        <v>0</v>
      </c>
      <c r="L15" s="138">
        <v>0</v>
      </c>
      <c r="M15" s="138">
        <v>0</v>
      </c>
      <c r="N15" s="138">
        <v>0</v>
      </c>
      <c r="O15" s="138">
        <v>0</v>
      </c>
      <c r="P15" s="138">
        <v>0</v>
      </c>
      <c r="Q15" s="138">
        <v>0</v>
      </c>
      <c r="R15" s="138">
        <v>0</v>
      </c>
      <c r="S15" s="138">
        <v>0</v>
      </c>
      <c r="T15" s="138">
        <v>0</v>
      </c>
    </row>
    <row r="16" spans="1:20">
      <c r="A16" s="39">
        <v>12</v>
      </c>
      <c r="B16" s="144" t="s">
        <v>176</v>
      </c>
      <c r="C16" s="145"/>
      <c r="D16" s="141">
        <v>0</v>
      </c>
      <c r="E16" s="141">
        <v>0</v>
      </c>
      <c r="F16" s="141">
        <v>29.1</v>
      </c>
      <c r="G16" s="137">
        <v>0</v>
      </c>
      <c r="H16" s="137">
        <v>0</v>
      </c>
      <c r="I16" s="36">
        <v>0</v>
      </c>
      <c r="J16" s="36">
        <v>0</v>
      </c>
      <c r="K16" s="37">
        <v>0</v>
      </c>
      <c r="L16" s="138">
        <v>0</v>
      </c>
      <c r="M16" s="138">
        <v>0</v>
      </c>
      <c r="N16" s="138">
        <v>0</v>
      </c>
      <c r="O16" s="138">
        <v>0</v>
      </c>
      <c r="P16" s="138">
        <v>0</v>
      </c>
      <c r="Q16" s="138">
        <v>0</v>
      </c>
      <c r="R16" s="138">
        <v>0</v>
      </c>
      <c r="S16" s="138">
        <v>0</v>
      </c>
      <c r="T16" s="138">
        <v>0</v>
      </c>
    </row>
    <row r="17" spans="1:20">
      <c r="A17" s="39">
        <v>13</v>
      </c>
      <c r="B17" s="144" t="s">
        <v>177</v>
      </c>
      <c r="C17" s="145"/>
      <c r="D17" s="141">
        <v>0</v>
      </c>
      <c r="E17" s="141">
        <v>0</v>
      </c>
      <c r="F17" s="141">
        <v>29.1</v>
      </c>
      <c r="G17" s="137">
        <v>0</v>
      </c>
      <c r="H17" s="137">
        <v>0</v>
      </c>
      <c r="I17" s="36">
        <v>0</v>
      </c>
      <c r="J17" s="36">
        <v>0</v>
      </c>
      <c r="K17" s="37">
        <v>0</v>
      </c>
      <c r="L17" s="138">
        <v>0</v>
      </c>
      <c r="M17" s="138">
        <v>0</v>
      </c>
      <c r="N17" s="138">
        <v>0</v>
      </c>
      <c r="O17" s="138">
        <v>0</v>
      </c>
      <c r="P17" s="138">
        <v>0</v>
      </c>
      <c r="Q17" s="138">
        <v>0</v>
      </c>
      <c r="R17" s="138">
        <v>0</v>
      </c>
      <c r="S17" s="138">
        <v>0</v>
      </c>
      <c r="T17" s="138">
        <v>0</v>
      </c>
    </row>
    <row r="18" spans="1:20">
      <c r="A18" s="39">
        <v>14</v>
      </c>
      <c r="B18" s="144" t="s">
        <v>178</v>
      </c>
      <c r="C18" s="145"/>
      <c r="D18" s="141">
        <v>0</v>
      </c>
      <c r="E18" s="141">
        <v>0</v>
      </c>
      <c r="F18" s="141">
        <v>29.1</v>
      </c>
      <c r="G18" s="137">
        <v>0</v>
      </c>
      <c r="H18" s="137">
        <v>0</v>
      </c>
      <c r="I18" s="36">
        <v>0</v>
      </c>
      <c r="J18" s="36">
        <v>0</v>
      </c>
      <c r="K18" s="37">
        <v>0</v>
      </c>
      <c r="L18" s="138">
        <v>0</v>
      </c>
      <c r="M18" s="138">
        <v>0</v>
      </c>
      <c r="N18" s="138">
        <v>0</v>
      </c>
      <c r="O18" s="138">
        <v>0</v>
      </c>
      <c r="P18" s="138">
        <v>0</v>
      </c>
      <c r="Q18" s="138">
        <v>0</v>
      </c>
      <c r="R18" s="138">
        <v>0</v>
      </c>
      <c r="S18" s="138">
        <v>0</v>
      </c>
      <c r="T18" s="138">
        <v>0</v>
      </c>
    </row>
    <row r="19" spans="1:20">
      <c r="A19" s="39">
        <v>15</v>
      </c>
      <c r="B19" s="144" t="s">
        <v>179</v>
      </c>
      <c r="C19" s="145"/>
      <c r="D19" s="141">
        <v>0</v>
      </c>
      <c r="E19" s="141">
        <v>0</v>
      </c>
      <c r="F19" s="141">
        <v>29.1</v>
      </c>
      <c r="G19" s="137">
        <v>0</v>
      </c>
      <c r="H19" s="137">
        <v>0</v>
      </c>
      <c r="I19" s="36">
        <v>0</v>
      </c>
      <c r="J19" s="36">
        <v>0</v>
      </c>
      <c r="K19" s="37">
        <v>0</v>
      </c>
      <c r="L19" s="138">
        <v>0</v>
      </c>
      <c r="M19" s="138">
        <v>0</v>
      </c>
      <c r="N19" s="138">
        <v>0</v>
      </c>
      <c r="O19" s="138">
        <v>0</v>
      </c>
      <c r="P19" s="138">
        <v>0</v>
      </c>
      <c r="Q19" s="138">
        <v>0</v>
      </c>
      <c r="R19" s="138">
        <v>0</v>
      </c>
      <c r="S19" s="138">
        <v>0</v>
      </c>
      <c r="T19" s="138">
        <v>0</v>
      </c>
    </row>
    <row r="20" spans="1:20">
      <c r="A20" s="39">
        <v>16</v>
      </c>
      <c r="B20" s="144" t="s">
        <v>180</v>
      </c>
      <c r="C20" s="145"/>
      <c r="D20" s="141">
        <v>0</v>
      </c>
      <c r="E20" s="141">
        <v>0</v>
      </c>
      <c r="F20" s="141">
        <v>29.1</v>
      </c>
      <c r="G20" s="137">
        <v>0</v>
      </c>
      <c r="H20" s="137">
        <v>0</v>
      </c>
      <c r="I20" s="36">
        <v>0</v>
      </c>
      <c r="J20" s="36">
        <v>0</v>
      </c>
      <c r="K20" s="37">
        <v>0</v>
      </c>
      <c r="L20" s="138">
        <v>0</v>
      </c>
      <c r="M20" s="138">
        <v>0</v>
      </c>
      <c r="N20" s="138">
        <v>0</v>
      </c>
      <c r="O20" s="138">
        <v>0</v>
      </c>
      <c r="P20" s="138">
        <v>0</v>
      </c>
      <c r="Q20" s="138">
        <v>0</v>
      </c>
      <c r="R20" s="138">
        <v>0</v>
      </c>
      <c r="S20" s="138">
        <v>0</v>
      </c>
      <c r="T20" s="138">
        <v>0</v>
      </c>
    </row>
    <row r="21" spans="1:20">
      <c r="A21" s="39">
        <v>17</v>
      </c>
      <c r="B21" s="144" t="s">
        <v>181</v>
      </c>
      <c r="C21" s="145"/>
      <c r="D21" s="141">
        <v>0</v>
      </c>
      <c r="E21" s="141">
        <v>0</v>
      </c>
      <c r="F21" s="141">
        <v>29.1</v>
      </c>
      <c r="G21" s="137">
        <v>0</v>
      </c>
      <c r="H21" s="137">
        <v>0</v>
      </c>
      <c r="I21" s="36">
        <v>0</v>
      </c>
      <c r="J21" s="36">
        <v>0</v>
      </c>
      <c r="K21" s="37">
        <v>0</v>
      </c>
      <c r="L21" s="138">
        <v>0</v>
      </c>
      <c r="M21" s="138">
        <v>0</v>
      </c>
      <c r="N21" s="138">
        <v>0</v>
      </c>
      <c r="O21" s="138">
        <v>0</v>
      </c>
      <c r="P21" s="138">
        <v>0</v>
      </c>
      <c r="Q21" s="138">
        <v>0</v>
      </c>
      <c r="R21" s="138">
        <v>0</v>
      </c>
      <c r="S21" s="138">
        <v>0</v>
      </c>
      <c r="T21" s="138">
        <v>0</v>
      </c>
    </row>
    <row r="22" spans="1:20">
      <c r="A22" s="39">
        <v>18</v>
      </c>
      <c r="B22" s="144" t="s">
        <v>182</v>
      </c>
      <c r="C22" s="145"/>
      <c r="D22" s="141">
        <v>0</v>
      </c>
      <c r="E22" s="141">
        <v>0</v>
      </c>
      <c r="F22" s="141">
        <v>29.1</v>
      </c>
      <c r="G22" s="137">
        <v>0</v>
      </c>
      <c r="H22" s="137">
        <v>0</v>
      </c>
      <c r="I22" s="36">
        <v>0</v>
      </c>
      <c r="J22" s="36">
        <v>0</v>
      </c>
      <c r="K22" s="37">
        <v>0</v>
      </c>
      <c r="L22" s="138">
        <v>0</v>
      </c>
      <c r="M22" s="138">
        <v>0</v>
      </c>
      <c r="N22" s="138">
        <v>0</v>
      </c>
      <c r="O22" s="138">
        <v>0</v>
      </c>
      <c r="P22" s="138">
        <v>0</v>
      </c>
      <c r="Q22" s="138">
        <v>0</v>
      </c>
      <c r="R22" s="138">
        <v>0</v>
      </c>
      <c r="S22" s="138">
        <v>0</v>
      </c>
      <c r="T22" s="138">
        <v>0</v>
      </c>
    </row>
    <row r="23" spans="1:20">
      <c r="A23" s="39">
        <v>19</v>
      </c>
      <c r="B23" s="144" t="s">
        <v>183</v>
      </c>
      <c r="C23" s="145"/>
      <c r="D23" s="141">
        <v>0</v>
      </c>
      <c r="E23" s="141">
        <v>0</v>
      </c>
      <c r="F23" s="141">
        <v>29.1</v>
      </c>
      <c r="G23" s="137">
        <v>0</v>
      </c>
      <c r="H23" s="137">
        <v>0</v>
      </c>
      <c r="I23" s="36">
        <v>0</v>
      </c>
      <c r="J23" s="36">
        <v>0</v>
      </c>
      <c r="K23" s="37">
        <v>0</v>
      </c>
      <c r="L23" s="138">
        <v>0</v>
      </c>
      <c r="M23" s="138">
        <v>0</v>
      </c>
      <c r="N23" s="138">
        <v>0</v>
      </c>
      <c r="O23" s="138">
        <v>0</v>
      </c>
      <c r="P23" s="138">
        <v>0</v>
      </c>
      <c r="Q23" s="138">
        <v>0</v>
      </c>
      <c r="R23" s="138">
        <v>0</v>
      </c>
      <c r="S23" s="138">
        <v>0</v>
      </c>
      <c r="T23" s="138">
        <v>0</v>
      </c>
    </row>
    <row r="24" spans="1:20">
      <c r="A24" s="39">
        <v>20</v>
      </c>
      <c r="B24" s="144" t="s">
        <v>184</v>
      </c>
      <c r="C24" s="145"/>
      <c r="D24" s="141">
        <v>0</v>
      </c>
      <c r="E24" s="141">
        <v>0</v>
      </c>
      <c r="F24" s="141">
        <v>29.1</v>
      </c>
      <c r="G24" s="137">
        <v>0</v>
      </c>
      <c r="H24" s="137">
        <v>0</v>
      </c>
      <c r="I24" s="36">
        <v>0</v>
      </c>
      <c r="J24" s="36">
        <v>0</v>
      </c>
      <c r="K24" s="37">
        <v>0</v>
      </c>
      <c r="L24" s="138">
        <v>0</v>
      </c>
      <c r="M24" s="138">
        <v>0</v>
      </c>
      <c r="N24" s="138">
        <v>0</v>
      </c>
      <c r="O24" s="138">
        <v>0</v>
      </c>
      <c r="P24" s="138">
        <v>0</v>
      </c>
      <c r="Q24" s="138">
        <v>0</v>
      </c>
      <c r="R24" s="138">
        <v>0</v>
      </c>
      <c r="S24" s="138">
        <v>0</v>
      </c>
      <c r="T24" s="138">
        <v>0</v>
      </c>
    </row>
    <row r="25" spans="1:20">
      <c r="A25" s="39">
        <v>21</v>
      </c>
      <c r="B25" s="144" t="s">
        <v>185</v>
      </c>
      <c r="C25" s="145"/>
      <c r="D25" s="141">
        <v>0</v>
      </c>
      <c r="E25" s="141">
        <v>0</v>
      </c>
      <c r="F25" s="141">
        <v>29.1</v>
      </c>
      <c r="G25" s="137">
        <v>0</v>
      </c>
      <c r="H25" s="137">
        <v>0</v>
      </c>
      <c r="I25" s="36">
        <v>0</v>
      </c>
      <c r="J25" s="36">
        <v>0</v>
      </c>
      <c r="K25" s="37">
        <v>0</v>
      </c>
      <c r="L25" s="138">
        <v>0</v>
      </c>
      <c r="M25" s="138">
        <v>0</v>
      </c>
      <c r="N25" s="138">
        <v>0</v>
      </c>
      <c r="O25" s="138">
        <v>0</v>
      </c>
      <c r="P25" s="138">
        <v>0</v>
      </c>
      <c r="Q25" s="138">
        <v>0</v>
      </c>
      <c r="R25" s="138">
        <v>0</v>
      </c>
      <c r="S25" s="138">
        <v>0</v>
      </c>
      <c r="T25" s="138">
        <v>0</v>
      </c>
    </row>
    <row r="26" spans="1:20">
      <c r="A26" s="39">
        <v>22</v>
      </c>
      <c r="B26" s="144" t="s">
        <v>186</v>
      </c>
      <c r="C26" s="145"/>
      <c r="D26" s="141">
        <v>0</v>
      </c>
      <c r="E26" s="141">
        <v>0</v>
      </c>
      <c r="F26" s="141">
        <v>29.1</v>
      </c>
      <c r="G26" s="137">
        <v>0</v>
      </c>
      <c r="H26" s="137">
        <v>0</v>
      </c>
      <c r="I26" s="36">
        <v>0</v>
      </c>
      <c r="J26" s="36">
        <v>0</v>
      </c>
      <c r="K26" s="37">
        <v>0</v>
      </c>
      <c r="L26" s="138">
        <v>0</v>
      </c>
      <c r="M26" s="138">
        <v>0</v>
      </c>
      <c r="N26" s="138">
        <v>0</v>
      </c>
      <c r="O26" s="138">
        <v>0</v>
      </c>
      <c r="P26" s="138">
        <v>0</v>
      </c>
      <c r="Q26" s="138">
        <v>0</v>
      </c>
      <c r="R26" s="138">
        <v>0</v>
      </c>
      <c r="S26" s="138">
        <v>0</v>
      </c>
      <c r="T26" s="138">
        <v>0</v>
      </c>
    </row>
    <row r="27" spans="1:20">
      <c r="A27" s="39">
        <v>23</v>
      </c>
      <c r="B27" s="144" t="s">
        <v>187</v>
      </c>
      <c r="C27" s="145"/>
      <c r="D27" s="141">
        <v>0</v>
      </c>
      <c r="E27" s="141">
        <v>0</v>
      </c>
      <c r="F27" s="141">
        <v>29.1</v>
      </c>
      <c r="G27" s="137">
        <v>0</v>
      </c>
      <c r="H27" s="137">
        <v>0</v>
      </c>
      <c r="I27" s="36">
        <v>0</v>
      </c>
      <c r="J27" s="36">
        <v>0</v>
      </c>
      <c r="K27" s="37">
        <v>0</v>
      </c>
      <c r="L27" s="138">
        <v>0</v>
      </c>
      <c r="M27" s="138">
        <v>0</v>
      </c>
      <c r="N27" s="138">
        <v>0</v>
      </c>
      <c r="O27" s="138">
        <v>0</v>
      </c>
      <c r="P27" s="138">
        <v>0</v>
      </c>
      <c r="Q27" s="138">
        <v>0</v>
      </c>
      <c r="R27" s="138">
        <v>0</v>
      </c>
      <c r="S27" s="138">
        <v>0</v>
      </c>
      <c r="T27" s="138">
        <v>0</v>
      </c>
    </row>
    <row r="28" spans="1:20">
      <c r="A28" s="39">
        <v>24</v>
      </c>
      <c r="B28" s="144" t="s">
        <v>188</v>
      </c>
      <c r="C28" s="145"/>
      <c r="D28" s="141">
        <v>0</v>
      </c>
      <c r="E28" s="141">
        <v>0</v>
      </c>
      <c r="F28" s="141">
        <v>29.1</v>
      </c>
      <c r="G28" s="137">
        <v>0</v>
      </c>
      <c r="H28" s="137">
        <v>0</v>
      </c>
      <c r="I28" s="36">
        <v>0</v>
      </c>
      <c r="J28" s="36">
        <v>0</v>
      </c>
      <c r="K28" s="37">
        <v>0</v>
      </c>
      <c r="L28" s="138">
        <v>0</v>
      </c>
      <c r="M28" s="138">
        <v>0</v>
      </c>
      <c r="N28" s="138">
        <v>0</v>
      </c>
      <c r="O28" s="138">
        <v>0</v>
      </c>
      <c r="P28" s="138">
        <v>0</v>
      </c>
      <c r="Q28" s="138">
        <v>0</v>
      </c>
      <c r="R28" s="138">
        <v>0</v>
      </c>
      <c r="S28" s="138">
        <v>0</v>
      </c>
      <c r="T28" s="138">
        <v>0</v>
      </c>
    </row>
    <row r="29" spans="1:20">
      <c r="A29" s="39">
        <v>25</v>
      </c>
      <c r="B29" s="144" t="s">
        <v>189</v>
      </c>
      <c r="C29" s="145"/>
      <c r="D29" s="141">
        <v>0</v>
      </c>
      <c r="E29" s="141">
        <v>0</v>
      </c>
      <c r="F29" s="141">
        <v>29.1</v>
      </c>
      <c r="G29" s="137">
        <v>0</v>
      </c>
      <c r="H29" s="137">
        <v>0</v>
      </c>
      <c r="I29" s="36">
        <v>0</v>
      </c>
      <c r="J29" s="36">
        <v>0</v>
      </c>
      <c r="K29" s="37">
        <v>0</v>
      </c>
      <c r="L29" s="138">
        <v>0</v>
      </c>
      <c r="M29" s="138">
        <v>0</v>
      </c>
      <c r="N29" s="138">
        <v>0</v>
      </c>
      <c r="O29" s="138">
        <v>0</v>
      </c>
      <c r="P29" s="138">
        <v>0</v>
      </c>
      <c r="Q29" s="138">
        <v>0</v>
      </c>
      <c r="R29" s="138">
        <v>0</v>
      </c>
      <c r="S29" s="138">
        <v>0</v>
      </c>
      <c r="T29" s="138">
        <v>0</v>
      </c>
    </row>
    <row r="30" spans="1:20">
      <c r="A30" s="39">
        <v>26</v>
      </c>
      <c r="B30" s="144" t="s">
        <v>190</v>
      </c>
      <c r="C30" s="145"/>
      <c r="D30" s="141">
        <v>0</v>
      </c>
      <c r="E30" s="141">
        <v>0</v>
      </c>
      <c r="F30" s="141">
        <v>29.1</v>
      </c>
      <c r="G30" s="137">
        <v>0</v>
      </c>
      <c r="H30" s="137">
        <v>0</v>
      </c>
      <c r="I30" s="36">
        <v>0</v>
      </c>
      <c r="J30" s="36">
        <v>0</v>
      </c>
      <c r="K30" s="37">
        <v>0</v>
      </c>
      <c r="L30" s="138">
        <v>0</v>
      </c>
      <c r="M30" s="138">
        <v>0</v>
      </c>
      <c r="N30" s="138">
        <v>0</v>
      </c>
      <c r="O30" s="138">
        <v>0</v>
      </c>
      <c r="P30" s="138">
        <v>0</v>
      </c>
      <c r="Q30" s="138">
        <v>0</v>
      </c>
      <c r="R30" s="138">
        <v>0</v>
      </c>
      <c r="S30" s="138">
        <v>0</v>
      </c>
      <c r="T30" s="138">
        <v>0</v>
      </c>
    </row>
    <row r="31" spans="1:20">
      <c r="A31" s="39">
        <v>27</v>
      </c>
      <c r="B31" s="144" t="s">
        <v>191</v>
      </c>
      <c r="C31" s="145"/>
      <c r="D31" s="141">
        <v>0</v>
      </c>
      <c r="E31" s="141">
        <v>0</v>
      </c>
      <c r="F31" s="141">
        <v>29.1</v>
      </c>
      <c r="G31" s="137">
        <v>0</v>
      </c>
      <c r="H31" s="137">
        <v>0</v>
      </c>
      <c r="I31" s="36">
        <v>0</v>
      </c>
      <c r="J31" s="36">
        <v>0</v>
      </c>
      <c r="K31" s="37">
        <v>0</v>
      </c>
      <c r="L31" s="138">
        <v>0</v>
      </c>
      <c r="M31" s="138">
        <v>0</v>
      </c>
      <c r="N31" s="138">
        <v>0</v>
      </c>
      <c r="O31" s="138">
        <v>0</v>
      </c>
      <c r="P31" s="138">
        <v>0</v>
      </c>
      <c r="Q31" s="138">
        <v>0</v>
      </c>
      <c r="R31" s="138">
        <v>0</v>
      </c>
      <c r="S31" s="138">
        <v>0</v>
      </c>
      <c r="T31" s="138">
        <v>0</v>
      </c>
    </row>
    <row r="32" spans="1:20">
      <c r="A32" s="39">
        <v>28</v>
      </c>
      <c r="B32" s="144" t="s">
        <v>192</v>
      </c>
      <c r="C32" s="145"/>
      <c r="D32" s="141">
        <v>0</v>
      </c>
      <c r="E32" s="141">
        <v>11</v>
      </c>
      <c r="F32" s="141">
        <v>18.100000000000001</v>
      </c>
      <c r="G32" s="137">
        <v>0</v>
      </c>
      <c r="H32" s="137">
        <v>0</v>
      </c>
      <c r="I32" s="36">
        <v>0</v>
      </c>
      <c r="J32" s="36">
        <v>0</v>
      </c>
      <c r="K32" s="37">
        <v>0</v>
      </c>
      <c r="L32" s="138">
        <v>0</v>
      </c>
      <c r="M32" s="138">
        <v>0</v>
      </c>
      <c r="N32" s="138">
        <v>0</v>
      </c>
      <c r="O32" s="138">
        <v>0</v>
      </c>
      <c r="P32" s="138">
        <v>0</v>
      </c>
      <c r="Q32" s="138">
        <v>0</v>
      </c>
      <c r="R32" s="138">
        <v>0</v>
      </c>
      <c r="S32" s="138">
        <v>0</v>
      </c>
      <c r="T32" s="138">
        <v>0</v>
      </c>
    </row>
    <row r="33" spans="1:20">
      <c r="A33" s="39">
        <v>29</v>
      </c>
      <c r="B33" s="144" t="s">
        <v>193</v>
      </c>
      <c r="C33" s="145"/>
      <c r="D33" s="141">
        <v>0</v>
      </c>
      <c r="E33" s="141">
        <v>0</v>
      </c>
      <c r="F33" s="141">
        <v>18.100000000000001</v>
      </c>
      <c r="G33" s="137">
        <v>0</v>
      </c>
      <c r="H33" s="137">
        <v>0</v>
      </c>
      <c r="I33" s="36">
        <v>0</v>
      </c>
      <c r="J33" s="36">
        <v>0</v>
      </c>
      <c r="K33" s="37">
        <v>0</v>
      </c>
      <c r="L33" s="138">
        <v>0</v>
      </c>
      <c r="M33" s="138">
        <v>0</v>
      </c>
      <c r="N33" s="138">
        <v>0</v>
      </c>
      <c r="O33" s="138">
        <v>0</v>
      </c>
      <c r="P33" s="138">
        <v>0</v>
      </c>
      <c r="Q33" s="138">
        <v>0</v>
      </c>
      <c r="R33" s="138">
        <v>0</v>
      </c>
      <c r="S33" s="138">
        <v>0</v>
      </c>
      <c r="T33" s="138">
        <v>0</v>
      </c>
    </row>
    <row r="34" spans="1:20">
      <c r="A34" s="39">
        <v>30</v>
      </c>
      <c r="B34" s="144" t="s">
        <v>194</v>
      </c>
      <c r="C34" s="145"/>
      <c r="D34" s="141">
        <v>0</v>
      </c>
      <c r="E34" s="141">
        <v>0</v>
      </c>
      <c r="F34" s="141">
        <v>18.100000000000001</v>
      </c>
      <c r="G34" s="137">
        <v>0</v>
      </c>
      <c r="H34" s="137">
        <v>0</v>
      </c>
      <c r="I34" s="36">
        <v>0</v>
      </c>
      <c r="J34" s="36">
        <v>0</v>
      </c>
      <c r="K34" s="37">
        <v>0</v>
      </c>
      <c r="L34" s="138">
        <v>0</v>
      </c>
      <c r="M34" s="138">
        <v>0</v>
      </c>
      <c r="N34" s="138">
        <v>0</v>
      </c>
      <c r="O34" s="138">
        <v>0</v>
      </c>
      <c r="P34" s="138">
        <v>0</v>
      </c>
      <c r="Q34" s="138">
        <v>0</v>
      </c>
      <c r="R34" s="138">
        <v>0</v>
      </c>
      <c r="S34" s="138">
        <v>0</v>
      </c>
      <c r="T34" s="138">
        <v>0</v>
      </c>
    </row>
    <row r="35" spans="1:20">
      <c r="A35" s="39">
        <v>31</v>
      </c>
      <c r="B35" s="144"/>
      <c r="C35" s="145"/>
      <c r="D35" s="141">
        <v>0</v>
      </c>
      <c r="E35" s="141">
        <v>0</v>
      </c>
      <c r="F35" s="141">
        <v>0</v>
      </c>
      <c r="G35" s="137">
        <v>0</v>
      </c>
      <c r="H35" s="137">
        <v>0</v>
      </c>
      <c r="I35" s="36">
        <v>0</v>
      </c>
      <c r="J35" s="36">
        <v>0</v>
      </c>
      <c r="K35" s="37">
        <v>0</v>
      </c>
      <c r="L35" s="138">
        <v>0</v>
      </c>
      <c r="M35" s="138">
        <v>0</v>
      </c>
      <c r="N35" s="138">
        <v>0</v>
      </c>
      <c r="O35" s="138">
        <v>0</v>
      </c>
      <c r="P35" s="138">
        <v>0</v>
      </c>
      <c r="Q35" s="138">
        <v>0</v>
      </c>
      <c r="R35" s="138">
        <v>0</v>
      </c>
      <c r="S35" s="138">
        <v>0</v>
      </c>
      <c r="T35" s="138">
        <v>0</v>
      </c>
    </row>
    <row r="36" spans="1:20">
      <c r="D36" s="43">
        <v>0</v>
      </c>
      <c r="E36" s="43">
        <v>11</v>
      </c>
      <c r="F36" s="43">
        <v>840.00000000000045</v>
      </c>
      <c r="G36" s="43">
        <v>0</v>
      </c>
      <c r="H36" s="43">
        <v>0</v>
      </c>
      <c r="I36" s="43">
        <v>0</v>
      </c>
      <c r="J36" s="43">
        <v>0</v>
      </c>
      <c r="K36" s="43">
        <v>0</v>
      </c>
      <c r="L36" s="139">
        <v>0</v>
      </c>
      <c r="M36" s="139">
        <v>0</v>
      </c>
      <c r="N36" s="139">
        <v>2279.0100000000002</v>
      </c>
      <c r="O36" s="139">
        <v>21180.03</v>
      </c>
      <c r="P36" s="139">
        <v>0</v>
      </c>
      <c r="Q36" s="139">
        <v>0</v>
      </c>
      <c r="R36" s="139">
        <v>0</v>
      </c>
      <c r="S36" s="139">
        <v>0</v>
      </c>
      <c r="T36" s="139">
        <v>23459.040000000001</v>
      </c>
    </row>
    <row r="37" spans="1:20">
      <c r="R37" s="46"/>
      <c r="S37" s="46"/>
      <c r="T37" s="140">
        <v>28620.03</v>
      </c>
    </row>
  </sheetData>
  <mergeCells count="50"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8F2FB-08C5-45E2-A7AD-B55D489ADA67}">
  <sheetPr>
    <pageSetUpPr fitToPage="1"/>
  </sheetPr>
  <dimension ref="A1:T42"/>
  <sheetViews>
    <sheetView topLeftCell="A17" workbookViewId="0">
      <selection activeCell="P36" sqref="P36"/>
    </sheetView>
  </sheetViews>
  <sheetFormatPr defaultRowHeight="15"/>
  <cols>
    <col min="1" max="3" width="9.140625" style="28"/>
    <col min="4" max="4" width="11.85546875" style="28" customWidth="1"/>
    <col min="5" max="5" width="12.28515625" style="28" customWidth="1"/>
    <col min="6" max="6" width="13.140625" style="28" customWidth="1"/>
    <col min="7" max="7" width="11.42578125" style="28" customWidth="1"/>
    <col min="8" max="8" width="10.7109375" style="28" customWidth="1"/>
    <col min="9" max="9" width="10.5703125" style="28" bestFit="1" customWidth="1"/>
    <col min="10" max="12" width="9.140625" style="28"/>
    <col min="13" max="13" width="13.140625" style="28" customWidth="1"/>
    <col min="14" max="14" width="13.5703125" style="28" customWidth="1"/>
    <col min="15" max="15" width="14.5703125" style="28" customWidth="1"/>
    <col min="16" max="16" width="14.5703125" style="28" bestFit="1" customWidth="1"/>
    <col min="17" max="17" width="15" style="28" customWidth="1"/>
    <col min="18" max="18" width="13.28515625" style="28" customWidth="1"/>
    <col min="19" max="19" width="11.7109375" style="28" customWidth="1"/>
    <col min="20" max="20" width="24.28515625" style="28" customWidth="1"/>
    <col min="21" max="16384" width="9.140625" style="28"/>
  </cols>
  <sheetData>
    <row r="1" spans="1:20">
      <c r="I1" s="29"/>
    </row>
    <row r="2" spans="1:20" ht="28.9" customHeight="1">
      <c r="A2" s="149" t="s">
        <v>221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</row>
    <row r="3" spans="1:20" ht="28.9" customHeight="1">
      <c r="A3" s="146" t="s">
        <v>0</v>
      </c>
      <c r="B3" s="150" t="s">
        <v>1</v>
      </c>
      <c r="C3" s="151"/>
      <c r="D3" s="146" t="s">
        <v>2</v>
      </c>
      <c r="E3" s="146" t="s">
        <v>3</v>
      </c>
      <c r="F3" s="30" t="s">
        <v>4</v>
      </c>
      <c r="G3" s="146" t="s">
        <v>205</v>
      </c>
      <c r="H3" s="146" t="s">
        <v>157</v>
      </c>
      <c r="I3" s="146" t="s">
        <v>7</v>
      </c>
      <c r="J3" s="146" t="s">
        <v>8</v>
      </c>
      <c r="K3" s="146" t="s">
        <v>9</v>
      </c>
      <c r="L3" s="146" t="s">
        <v>10</v>
      </c>
      <c r="M3" s="146" t="s">
        <v>11</v>
      </c>
      <c r="N3" s="146" t="s">
        <v>12</v>
      </c>
      <c r="O3" s="146" t="s">
        <v>206</v>
      </c>
      <c r="P3" s="146" t="s">
        <v>163</v>
      </c>
      <c r="Q3" s="146" t="s">
        <v>15</v>
      </c>
      <c r="R3" s="146" t="s">
        <v>16</v>
      </c>
      <c r="S3" s="146" t="s">
        <v>17</v>
      </c>
      <c r="T3" s="146" t="s">
        <v>18</v>
      </c>
    </row>
    <row r="4" spans="1:20">
      <c r="A4" s="147"/>
      <c r="B4" s="152"/>
      <c r="C4" s="153"/>
      <c r="D4" s="147"/>
      <c r="E4" s="147"/>
      <c r="F4" s="31"/>
      <c r="G4" s="147"/>
      <c r="H4" s="147"/>
      <c r="I4" s="147"/>
      <c r="J4" s="147"/>
      <c r="K4" s="148"/>
      <c r="L4" s="148"/>
      <c r="M4" s="147"/>
      <c r="N4" s="147"/>
      <c r="O4" s="147"/>
      <c r="P4" s="147"/>
      <c r="Q4" s="147"/>
      <c r="R4" s="147"/>
      <c r="S4" s="147"/>
      <c r="T4" s="147"/>
    </row>
    <row r="5" spans="1:20">
      <c r="A5" s="39">
        <v>1</v>
      </c>
      <c r="B5" s="144" t="s">
        <v>165</v>
      </c>
      <c r="C5" s="145"/>
      <c r="D5" s="141">
        <v>0</v>
      </c>
      <c r="E5" s="141">
        <v>0</v>
      </c>
      <c r="F5" s="141">
        <v>927.84299999999996</v>
      </c>
      <c r="G5" s="137">
        <v>0</v>
      </c>
      <c r="H5" s="137">
        <v>0</v>
      </c>
      <c r="I5" s="36">
        <v>0</v>
      </c>
      <c r="J5" s="37">
        <v>0</v>
      </c>
      <c r="K5" s="37"/>
      <c r="L5" s="138">
        <v>0</v>
      </c>
      <c r="M5" s="138">
        <v>0</v>
      </c>
      <c r="N5" s="138">
        <v>0</v>
      </c>
      <c r="O5" s="138">
        <v>0</v>
      </c>
      <c r="P5" s="138">
        <v>0</v>
      </c>
      <c r="Q5" s="138">
        <v>0</v>
      </c>
      <c r="R5" s="138">
        <v>0</v>
      </c>
      <c r="S5" s="138">
        <v>0</v>
      </c>
      <c r="T5" s="138">
        <v>0</v>
      </c>
    </row>
    <row r="6" spans="1:20">
      <c r="A6" s="39">
        <v>2</v>
      </c>
      <c r="B6" s="144" t="s">
        <v>166</v>
      </c>
      <c r="C6" s="145"/>
      <c r="D6" s="141">
        <v>0</v>
      </c>
      <c r="E6" s="141">
        <v>14.090999999999999</v>
      </c>
      <c r="F6" s="141">
        <v>913.75199999999995</v>
      </c>
      <c r="G6" s="137">
        <v>0</v>
      </c>
      <c r="H6" s="137">
        <v>0</v>
      </c>
      <c r="I6" s="36">
        <v>0</v>
      </c>
      <c r="J6" s="37">
        <v>0</v>
      </c>
      <c r="K6" s="37"/>
      <c r="L6" s="138">
        <v>0</v>
      </c>
      <c r="M6" s="138">
        <v>0</v>
      </c>
      <c r="N6" s="138">
        <v>1619.34</v>
      </c>
      <c r="O6" s="138">
        <v>0</v>
      </c>
      <c r="P6" s="138">
        <v>0</v>
      </c>
      <c r="Q6" s="138">
        <v>0</v>
      </c>
      <c r="R6" s="138">
        <v>0</v>
      </c>
      <c r="S6" s="138">
        <v>0</v>
      </c>
      <c r="T6" s="138">
        <v>1619.34</v>
      </c>
    </row>
    <row r="7" spans="1:20">
      <c r="A7" s="39">
        <v>3</v>
      </c>
      <c r="B7" s="144" t="s">
        <v>167</v>
      </c>
      <c r="C7" s="145"/>
      <c r="D7" s="141">
        <v>0</v>
      </c>
      <c r="E7" s="141">
        <v>31.207999999999998</v>
      </c>
      <c r="F7" s="141">
        <v>882.54399999999998</v>
      </c>
      <c r="G7" s="137">
        <v>0</v>
      </c>
      <c r="H7" s="137">
        <v>0</v>
      </c>
      <c r="I7" s="36">
        <v>0</v>
      </c>
      <c r="J7" s="37">
        <v>0</v>
      </c>
      <c r="K7" s="37"/>
      <c r="L7" s="138">
        <v>0</v>
      </c>
      <c r="M7" s="138">
        <v>0</v>
      </c>
      <c r="N7" s="138">
        <v>3586.42</v>
      </c>
      <c r="O7" s="138">
        <v>0</v>
      </c>
      <c r="P7" s="138">
        <v>0</v>
      </c>
      <c r="Q7" s="138">
        <v>0</v>
      </c>
      <c r="R7" s="138">
        <v>0</v>
      </c>
      <c r="S7" s="138">
        <v>0</v>
      </c>
      <c r="T7" s="138">
        <v>3586.42</v>
      </c>
    </row>
    <row r="8" spans="1:20">
      <c r="A8" s="39">
        <v>4</v>
      </c>
      <c r="B8" s="144" t="s">
        <v>168</v>
      </c>
      <c r="C8" s="145"/>
      <c r="D8" s="141">
        <v>0</v>
      </c>
      <c r="E8" s="141">
        <v>0</v>
      </c>
      <c r="F8" s="141">
        <v>882.54399999999998</v>
      </c>
      <c r="G8" s="137">
        <v>0</v>
      </c>
      <c r="H8" s="137">
        <v>0</v>
      </c>
      <c r="I8" s="36">
        <v>0</v>
      </c>
      <c r="J8" s="37">
        <v>0</v>
      </c>
      <c r="K8" s="37"/>
      <c r="L8" s="138">
        <v>0</v>
      </c>
      <c r="M8" s="138">
        <v>0</v>
      </c>
      <c r="N8" s="138">
        <v>0</v>
      </c>
      <c r="O8" s="138">
        <v>0</v>
      </c>
      <c r="P8" s="138">
        <v>0</v>
      </c>
      <c r="Q8" s="138">
        <v>0</v>
      </c>
      <c r="R8" s="138">
        <v>0</v>
      </c>
      <c r="S8" s="138">
        <v>0</v>
      </c>
      <c r="T8" s="138">
        <v>0</v>
      </c>
    </row>
    <row r="9" spans="1:20">
      <c r="A9" s="39">
        <v>5</v>
      </c>
      <c r="B9" s="144" t="s">
        <v>169</v>
      </c>
      <c r="C9" s="145"/>
      <c r="D9" s="141">
        <v>0</v>
      </c>
      <c r="E9" s="141">
        <v>0</v>
      </c>
      <c r="F9" s="141">
        <v>882.54399999999998</v>
      </c>
      <c r="G9" s="137">
        <v>0</v>
      </c>
      <c r="H9" s="137">
        <v>0</v>
      </c>
      <c r="I9" s="36">
        <v>0</v>
      </c>
      <c r="J9" s="37">
        <v>0</v>
      </c>
      <c r="K9" s="37"/>
      <c r="L9" s="138">
        <v>0</v>
      </c>
      <c r="M9" s="138">
        <v>0</v>
      </c>
      <c r="N9" s="138">
        <v>0</v>
      </c>
      <c r="O9" s="138">
        <v>0</v>
      </c>
      <c r="P9" s="138">
        <v>0</v>
      </c>
      <c r="Q9" s="138">
        <v>0</v>
      </c>
      <c r="R9" s="138">
        <v>0</v>
      </c>
      <c r="S9" s="138">
        <v>0</v>
      </c>
      <c r="T9" s="138">
        <v>0</v>
      </c>
    </row>
    <row r="10" spans="1:20">
      <c r="A10" s="39">
        <v>6</v>
      </c>
      <c r="B10" s="144" t="s">
        <v>170</v>
      </c>
      <c r="C10" s="145"/>
      <c r="D10" s="141">
        <v>0</v>
      </c>
      <c r="E10" s="141">
        <v>37.904000000000003</v>
      </c>
      <c r="F10" s="141">
        <v>844.64</v>
      </c>
      <c r="G10" s="137">
        <v>0</v>
      </c>
      <c r="H10" s="137">
        <v>0</v>
      </c>
      <c r="I10" s="36">
        <v>0</v>
      </c>
      <c r="J10" s="37">
        <v>0</v>
      </c>
      <c r="K10" s="37"/>
      <c r="L10" s="138">
        <v>0</v>
      </c>
      <c r="M10" s="138">
        <v>0</v>
      </c>
      <c r="N10" s="138">
        <v>4355.93</v>
      </c>
      <c r="O10" s="138">
        <v>0</v>
      </c>
      <c r="P10" s="138">
        <v>0</v>
      </c>
      <c r="Q10" s="138">
        <v>0</v>
      </c>
      <c r="R10" s="138">
        <v>0</v>
      </c>
      <c r="S10" s="138">
        <v>0</v>
      </c>
      <c r="T10" s="138">
        <v>4355.93</v>
      </c>
    </row>
    <row r="11" spans="1:20">
      <c r="A11" s="39">
        <v>7</v>
      </c>
      <c r="B11" s="144" t="s">
        <v>171</v>
      </c>
      <c r="C11" s="145"/>
      <c r="D11" s="141">
        <v>0</v>
      </c>
      <c r="E11" s="141">
        <v>66.165000000000006</v>
      </c>
      <c r="F11" s="141">
        <v>778.47500000000002</v>
      </c>
      <c r="G11" s="137">
        <v>0</v>
      </c>
      <c r="H11" s="137">
        <v>0</v>
      </c>
      <c r="I11" s="36">
        <v>0</v>
      </c>
      <c r="J11" s="37">
        <v>0</v>
      </c>
      <c r="K11" s="37"/>
      <c r="L11" s="138">
        <v>0</v>
      </c>
      <c r="M11" s="138">
        <v>0</v>
      </c>
      <c r="N11" s="138">
        <v>7603.68</v>
      </c>
      <c r="O11" s="138">
        <v>0</v>
      </c>
      <c r="P11" s="138">
        <v>0</v>
      </c>
      <c r="Q11" s="138">
        <v>0</v>
      </c>
      <c r="R11" s="138">
        <v>0</v>
      </c>
      <c r="S11" s="138">
        <v>0</v>
      </c>
      <c r="T11" s="138">
        <v>7603.68</v>
      </c>
    </row>
    <row r="12" spans="1:20">
      <c r="A12" s="39">
        <v>8</v>
      </c>
      <c r="B12" s="144" t="s">
        <v>172</v>
      </c>
      <c r="C12" s="145"/>
      <c r="D12" s="141">
        <v>0</v>
      </c>
      <c r="E12" s="141">
        <v>37.037999999999997</v>
      </c>
      <c r="F12" s="141">
        <v>741.43700000000001</v>
      </c>
      <c r="G12" s="137">
        <v>0</v>
      </c>
      <c r="H12" s="137">
        <v>0</v>
      </c>
      <c r="I12" s="36">
        <v>0</v>
      </c>
      <c r="J12" s="37">
        <v>0</v>
      </c>
      <c r="K12" s="37"/>
      <c r="L12" s="138">
        <v>0</v>
      </c>
      <c r="M12" s="138">
        <v>0</v>
      </c>
      <c r="N12" s="138">
        <v>4256.41</v>
      </c>
      <c r="O12" s="138">
        <v>0</v>
      </c>
      <c r="P12" s="138">
        <v>0</v>
      </c>
      <c r="Q12" s="138">
        <v>0</v>
      </c>
      <c r="R12" s="138">
        <v>0</v>
      </c>
      <c r="S12" s="138">
        <v>0</v>
      </c>
      <c r="T12" s="138">
        <v>4256.41</v>
      </c>
    </row>
    <row r="13" spans="1:20">
      <c r="A13" s="39">
        <v>9</v>
      </c>
      <c r="B13" s="144" t="s">
        <v>173</v>
      </c>
      <c r="C13" s="145"/>
      <c r="D13" s="141">
        <v>0</v>
      </c>
      <c r="E13" s="141">
        <v>13.593999999999999</v>
      </c>
      <c r="F13" s="141">
        <v>727.84299999999996</v>
      </c>
      <c r="G13" s="137">
        <v>0</v>
      </c>
      <c r="H13" s="137">
        <v>0</v>
      </c>
      <c r="I13" s="36">
        <v>0</v>
      </c>
      <c r="J13" s="37">
        <v>0</v>
      </c>
      <c r="K13" s="37"/>
      <c r="L13" s="138">
        <v>0</v>
      </c>
      <c r="M13" s="138">
        <v>0</v>
      </c>
      <c r="N13" s="138">
        <v>1562.22</v>
      </c>
      <c r="O13" s="138">
        <v>0</v>
      </c>
      <c r="P13" s="138">
        <v>0</v>
      </c>
      <c r="Q13" s="138">
        <v>0</v>
      </c>
      <c r="R13" s="138">
        <v>0</v>
      </c>
      <c r="S13" s="138">
        <v>0</v>
      </c>
      <c r="T13" s="138">
        <v>1562.22</v>
      </c>
    </row>
    <row r="14" spans="1:20">
      <c r="A14" s="39">
        <v>10</v>
      </c>
      <c r="B14" s="144" t="s">
        <v>174</v>
      </c>
      <c r="C14" s="145"/>
      <c r="D14" s="141">
        <v>0</v>
      </c>
      <c r="E14" s="141">
        <v>0</v>
      </c>
      <c r="F14" s="141">
        <v>727.84299999999996</v>
      </c>
      <c r="G14" s="137">
        <v>0</v>
      </c>
      <c r="H14" s="137">
        <v>0</v>
      </c>
      <c r="I14" s="36">
        <v>0</v>
      </c>
      <c r="J14" s="37">
        <v>0</v>
      </c>
      <c r="K14" s="37"/>
      <c r="L14" s="138">
        <v>0</v>
      </c>
      <c r="M14" s="138">
        <v>0</v>
      </c>
      <c r="N14" s="138">
        <v>0</v>
      </c>
      <c r="O14" s="138">
        <v>0</v>
      </c>
      <c r="P14" s="138">
        <v>0</v>
      </c>
      <c r="Q14" s="138">
        <v>0</v>
      </c>
      <c r="R14" s="138">
        <v>0</v>
      </c>
      <c r="S14" s="138">
        <v>0</v>
      </c>
      <c r="T14" s="138">
        <v>0</v>
      </c>
    </row>
    <row r="15" spans="1:20">
      <c r="A15" s="39">
        <v>11</v>
      </c>
      <c r="B15" s="144" t="s">
        <v>175</v>
      </c>
      <c r="C15" s="145"/>
      <c r="D15" s="141">
        <v>0</v>
      </c>
      <c r="E15" s="141">
        <v>0</v>
      </c>
      <c r="F15" s="141">
        <v>727.84299999999996</v>
      </c>
      <c r="G15" s="137">
        <v>0</v>
      </c>
      <c r="H15" s="137">
        <v>0</v>
      </c>
      <c r="I15" s="36">
        <v>0</v>
      </c>
      <c r="J15" s="37">
        <v>0</v>
      </c>
      <c r="K15" s="37"/>
      <c r="L15" s="138">
        <v>0</v>
      </c>
      <c r="M15" s="138">
        <v>0</v>
      </c>
      <c r="N15" s="138">
        <v>0</v>
      </c>
      <c r="O15" s="138">
        <v>0</v>
      </c>
      <c r="P15" s="138">
        <v>0</v>
      </c>
      <c r="Q15" s="138">
        <v>0</v>
      </c>
      <c r="R15" s="138">
        <v>0</v>
      </c>
      <c r="S15" s="138">
        <v>0</v>
      </c>
      <c r="T15" s="138">
        <v>0</v>
      </c>
    </row>
    <row r="16" spans="1:20">
      <c r="A16" s="39">
        <v>12</v>
      </c>
      <c r="B16" s="144" t="s">
        <v>176</v>
      </c>
      <c r="C16" s="145"/>
      <c r="D16" s="141">
        <v>0</v>
      </c>
      <c r="E16" s="141">
        <v>0</v>
      </c>
      <c r="F16" s="141">
        <v>727.84299999999996</v>
      </c>
      <c r="G16" s="137">
        <v>0</v>
      </c>
      <c r="H16" s="137">
        <v>0</v>
      </c>
      <c r="I16" s="36">
        <v>0</v>
      </c>
      <c r="J16" s="37">
        <v>0</v>
      </c>
      <c r="K16" s="42"/>
      <c r="L16" s="138">
        <v>0</v>
      </c>
      <c r="M16" s="138">
        <v>0</v>
      </c>
      <c r="N16" s="138">
        <v>0</v>
      </c>
      <c r="O16" s="138">
        <v>0</v>
      </c>
      <c r="P16" s="138">
        <v>0</v>
      </c>
      <c r="Q16" s="138">
        <v>0</v>
      </c>
      <c r="R16" s="138">
        <v>0</v>
      </c>
      <c r="S16" s="138">
        <v>0</v>
      </c>
      <c r="T16" s="138">
        <v>0</v>
      </c>
    </row>
    <row r="17" spans="1:20">
      <c r="A17" s="39">
        <v>13</v>
      </c>
      <c r="B17" s="144" t="s">
        <v>177</v>
      </c>
      <c r="C17" s="145"/>
      <c r="D17" s="141">
        <v>0</v>
      </c>
      <c r="E17" s="141">
        <v>0</v>
      </c>
      <c r="F17" s="141">
        <v>727.84299999999996</v>
      </c>
      <c r="G17" s="137">
        <v>0</v>
      </c>
      <c r="H17" s="137">
        <v>0</v>
      </c>
      <c r="I17" s="36">
        <v>0</v>
      </c>
      <c r="J17" s="37">
        <v>0</v>
      </c>
      <c r="K17" s="37"/>
      <c r="L17" s="138">
        <v>0</v>
      </c>
      <c r="M17" s="138">
        <v>0</v>
      </c>
      <c r="N17" s="138">
        <v>0</v>
      </c>
      <c r="O17" s="138">
        <v>0</v>
      </c>
      <c r="P17" s="138">
        <v>0</v>
      </c>
      <c r="Q17" s="138">
        <v>0</v>
      </c>
      <c r="R17" s="138">
        <v>0</v>
      </c>
      <c r="S17" s="138">
        <v>0</v>
      </c>
      <c r="T17" s="138">
        <v>0</v>
      </c>
    </row>
    <row r="18" spans="1:20">
      <c r="A18" s="39">
        <v>14</v>
      </c>
      <c r="B18" s="144" t="s">
        <v>178</v>
      </c>
      <c r="C18" s="145"/>
      <c r="D18" s="141">
        <v>0</v>
      </c>
      <c r="E18" s="141">
        <v>0</v>
      </c>
      <c r="F18" s="141">
        <v>727.84299999999996</v>
      </c>
      <c r="G18" s="137">
        <v>0</v>
      </c>
      <c r="H18" s="137">
        <v>0</v>
      </c>
      <c r="I18" s="36">
        <v>0</v>
      </c>
      <c r="J18" s="37">
        <v>0</v>
      </c>
      <c r="K18" s="37"/>
      <c r="L18" s="138">
        <v>0</v>
      </c>
      <c r="M18" s="138">
        <v>0</v>
      </c>
      <c r="N18" s="138">
        <v>0</v>
      </c>
      <c r="O18" s="138">
        <v>0</v>
      </c>
      <c r="P18" s="138">
        <v>0</v>
      </c>
      <c r="Q18" s="138">
        <v>0</v>
      </c>
      <c r="R18" s="138">
        <v>0</v>
      </c>
      <c r="S18" s="138">
        <v>0</v>
      </c>
      <c r="T18" s="138">
        <v>0</v>
      </c>
    </row>
    <row r="19" spans="1:20">
      <c r="A19" s="39">
        <v>15</v>
      </c>
      <c r="B19" s="144" t="s">
        <v>179</v>
      </c>
      <c r="C19" s="145"/>
      <c r="D19" s="141">
        <v>0</v>
      </c>
      <c r="E19" s="141">
        <v>0</v>
      </c>
      <c r="F19" s="141">
        <v>727.84299999999996</v>
      </c>
      <c r="G19" s="137">
        <v>0</v>
      </c>
      <c r="H19" s="137">
        <v>0</v>
      </c>
      <c r="I19" s="36">
        <v>0</v>
      </c>
      <c r="J19" s="37">
        <v>0</v>
      </c>
      <c r="K19" s="37"/>
      <c r="L19" s="138">
        <v>0</v>
      </c>
      <c r="M19" s="138">
        <v>0</v>
      </c>
      <c r="N19" s="138">
        <v>0</v>
      </c>
      <c r="O19" s="138">
        <v>0</v>
      </c>
      <c r="P19" s="138">
        <v>0</v>
      </c>
      <c r="Q19" s="138">
        <v>0</v>
      </c>
      <c r="R19" s="138">
        <v>0</v>
      </c>
      <c r="S19" s="138">
        <v>0</v>
      </c>
      <c r="T19" s="138">
        <v>0</v>
      </c>
    </row>
    <row r="20" spans="1:20">
      <c r="A20" s="39">
        <v>16</v>
      </c>
      <c r="B20" s="144" t="s">
        <v>180</v>
      </c>
      <c r="C20" s="145"/>
      <c r="D20" s="141">
        <v>0</v>
      </c>
      <c r="E20" s="141">
        <v>0</v>
      </c>
      <c r="F20" s="141">
        <v>727.84299999999996</v>
      </c>
      <c r="G20" s="137">
        <v>0</v>
      </c>
      <c r="H20" s="137">
        <v>0</v>
      </c>
      <c r="I20" s="36">
        <v>0</v>
      </c>
      <c r="J20" s="37">
        <v>0</v>
      </c>
      <c r="K20" s="37"/>
      <c r="L20" s="138">
        <v>0</v>
      </c>
      <c r="M20" s="138">
        <v>0</v>
      </c>
      <c r="N20" s="138">
        <v>0</v>
      </c>
      <c r="O20" s="138">
        <v>0</v>
      </c>
      <c r="P20" s="138">
        <v>0</v>
      </c>
      <c r="Q20" s="138">
        <v>0</v>
      </c>
      <c r="R20" s="138">
        <v>0</v>
      </c>
      <c r="S20" s="138">
        <v>0</v>
      </c>
      <c r="T20" s="138">
        <v>0</v>
      </c>
    </row>
    <row r="21" spans="1:20">
      <c r="A21" s="39">
        <v>17</v>
      </c>
      <c r="B21" s="144" t="s">
        <v>181</v>
      </c>
      <c r="C21" s="145"/>
      <c r="D21" s="141">
        <v>0</v>
      </c>
      <c r="E21" s="141">
        <v>0</v>
      </c>
      <c r="F21" s="141">
        <v>727.84299999999996</v>
      </c>
      <c r="G21" s="137">
        <v>0</v>
      </c>
      <c r="H21" s="137">
        <v>0</v>
      </c>
      <c r="I21" s="36">
        <v>0</v>
      </c>
      <c r="J21" s="37">
        <v>0</v>
      </c>
      <c r="K21" s="37"/>
      <c r="L21" s="138">
        <v>0</v>
      </c>
      <c r="M21" s="138">
        <v>0</v>
      </c>
      <c r="N21" s="138">
        <v>0</v>
      </c>
      <c r="O21" s="138">
        <v>0</v>
      </c>
      <c r="P21" s="138">
        <v>0</v>
      </c>
      <c r="Q21" s="138">
        <v>0</v>
      </c>
      <c r="R21" s="138">
        <v>0</v>
      </c>
      <c r="S21" s="138">
        <v>0</v>
      </c>
      <c r="T21" s="138">
        <v>0</v>
      </c>
    </row>
    <row r="22" spans="1:20">
      <c r="A22" s="39">
        <v>18</v>
      </c>
      <c r="B22" s="144" t="s">
        <v>182</v>
      </c>
      <c r="C22" s="145"/>
      <c r="D22" s="141">
        <v>0</v>
      </c>
      <c r="E22" s="141">
        <v>0</v>
      </c>
      <c r="F22" s="141">
        <v>727.84299999999996</v>
      </c>
      <c r="G22" s="137">
        <v>0</v>
      </c>
      <c r="H22" s="137">
        <v>0</v>
      </c>
      <c r="I22" s="36">
        <v>0</v>
      </c>
      <c r="J22" s="37">
        <v>0</v>
      </c>
      <c r="K22" s="37"/>
      <c r="L22" s="138">
        <v>0</v>
      </c>
      <c r="M22" s="138">
        <v>0</v>
      </c>
      <c r="N22" s="138">
        <v>0</v>
      </c>
      <c r="O22" s="138">
        <v>0</v>
      </c>
      <c r="P22" s="138">
        <v>0</v>
      </c>
      <c r="Q22" s="138">
        <v>0</v>
      </c>
      <c r="R22" s="138">
        <v>0</v>
      </c>
      <c r="S22" s="138">
        <v>0</v>
      </c>
      <c r="T22" s="138">
        <v>0</v>
      </c>
    </row>
    <row r="23" spans="1:20">
      <c r="A23" s="39">
        <v>19</v>
      </c>
      <c r="B23" s="144" t="s">
        <v>183</v>
      </c>
      <c r="C23" s="145"/>
      <c r="D23" s="141">
        <v>0</v>
      </c>
      <c r="E23" s="141">
        <v>0</v>
      </c>
      <c r="F23" s="141">
        <v>727.84299999999996</v>
      </c>
      <c r="G23" s="137">
        <v>0</v>
      </c>
      <c r="H23" s="137">
        <v>0</v>
      </c>
      <c r="I23" s="36">
        <v>0</v>
      </c>
      <c r="J23" s="37">
        <v>0</v>
      </c>
      <c r="K23" s="37"/>
      <c r="L23" s="138">
        <v>0</v>
      </c>
      <c r="M23" s="138">
        <v>0</v>
      </c>
      <c r="N23" s="138">
        <v>0</v>
      </c>
      <c r="O23" s="138">
        <v>0</v>
      </c>
      <c r="P23" s="138">
        <v>0</v>
      </c>
      <c r="Q23" s="138">
        <v>0</v>
      </c>
      <c r="R23" s="138">
        <v>0</v>
      </c>
      <c r="S23" s="138">
        <v>0</v>
      </c>
      <c r="T23" s="138">
        <v>0</v>
      </c>
    </row>
    <row r="24" spans="1:20">
      <c r="A24" s="39">
        <v>20</v>
      </c>
      <c r="B24" s="144" t="s">
        <v>184</v>
      </c>
      <c r="C24" s="145"/>
      <c r="D24" s="141">
        <v>0</v>
      </c>
      <c r="E24" s="141">
        <v>0</v>
      </c>
      <c r="F24" s="141">
        <v>727.84299999999996</v>
      </c>
      <c r="G24" s="137">
        <v>0</v>
      </c>
      <c r="H24" s="137">
        <v>0</v>
      </c>
      <c r="I24" s="36">
        <v>0</v>
      </c>
      <c r="J24" s="37">
        <v>0</v>
      </c>
      <c r="K24" s="37"/>
      <c r="L24" s="138">
        <v>0</v>
      </c>
      <c r="M24" s="138">
        <v>0</v>
      </c>
      <c r="N24" s="138">
        <v>0</v>
      </c>
      <c r="O24" s="138">
        <v>0</v>
      </c>
      <c r="P24" s="138">
        <v>0</v>
      </c>
      <c r="Q24" s="138">
        <v>0</v>
      </c>
      <c r="R24" s="138">
        <v>0</v>
      </c>
      <c r="S24" s="138">
        <v>0</v>
      </c>
      <c r="T24" s="138">
        <v>0</v>
      </c>
    </row>
    <row r="25" spans="1:20">
      <c r="A25" s="39">
        <v>21</v>
      </c>
      <c r="B25" s="144" t="s">
        <v>185</v>
      </c>
      <c r="C25" s="145"/>
      <c r="D25" s="141">
        <v>0</v>
      </c>
      <c r="E25" s="141">
        <v>0</v>
      </c>
      <c r="F25" s="141">
        <v>727.84299999999996</v>
      </c>
      <c r="G25" s="137">
        <v>0</v>
      </c>
      <c r="H25" s="137">
        <v>0</v>
      </c>
      <c r="I25" s="36">
        <v>0</v>
      </c>
      <c r="J25" s="37">
        <v>0</v>
      </c>
      <c r="K25" s="37"/>
      <c r="L25" s="138">
        <v>0</v>
      </c>
      <c r="M25" s="138">
        <v>0</v>
      </c>
      <c r="N25" s="138">
        <v>0</v>
      </c>
      <c r="O25" s="138">
        <v>0</v>
      </c>
      <c r="P25" s="138">
        <v>0</v>
      </c>
      <c r="Q25" s="138">
        <v>0</v>
      </c>
      <c r="R25" s="138">
        <v>0</v>
      </c>
      <c r="S25" s="138">
        <v>0</v>
      </c>
      <c r="T25" s="138">
        <v>0</v>
      </c>
    </row>
    <row r="26" spans="1:20">
      <c r="A26" s="39">
        <v>22</v>
      </c>
      <c r="B26" s="144" t="s">
        <v>186</v>
      </c>
      <c r="C26" s="145"/>
      <c r="D26" s="141">
        <v>0</v>
      </c>
      <c r="E26" s="141">
        <v>0</v>
      </c>
      <c r="F26" s="141">
        <v>727.84299999999996</v>
      </c>
      <c r="G26" s="137">
        <v>0</v>
      </c>
      <c r="H26" s="137">
        <v>0</v>
      </c>
      <c r="I26" s="36">
        <v>0</v>
      </c>
      <c r="J26" s="37">
        <v>0</v>
      </c>
      <c r="K26" s="37"/>
      <c r="L26" s="138">
        <v>0</v>
      </c>
      <c r="M26" s="138">
        <v>0</v>
      </c>
      <c r="N26" s="138">
        <v>0</v>
      </c>
      <c r="O26" s="138">
        <v>0</v>
      </c>
      <c r="P26" s="138">
        <v>0</v>
      </c>
      <c r="Q26" s="138">
        <v>0</v>
      </c>
      <c r="R26" s="138">
        <v>0</v>
      </c>
      <c r="S26" s="138">
        <v>0</v>
      </c>
      <c r="T26" s="138">
        <v>0</v>
      </c>
    </row>
    <row r="27" spans="1:20">
      <c r="A27" s="39">
        <v>23</v>
      </c>
      <c r="B27" s="144" t="s">
        <v>187</v>
      </c>
      <c r="C27" s="145"/>
      <c r="D27" s="141">
        <v>0</v>
      </c>
      <c r="E27" s="141">
        <v>0</v>
      </c>
      <c r="F27" s="141">
        <v>727.84299999999996</v>
      </c>
      <c r="G27" s="137">
        <v>0</v>
      </c>
      <c r="H27" s="137">
        <v>0</v>
      </c>
      <c r="I27" s="36">
        <v>0</v>
      </c>
      <c r="J27" s="37">
        <v>0</v>
      </c>
      <c r="K27" s="37"/>
      <c r="L27" s="138">
        <v>0</v>
      </c>
      <c r="M27" s="138">
        <v>0</v>
      </c>
      <c r="N27" s="138">
        <v>0</v>
      </c>
      <c r="O27" s="138">
        <v>0</v>
      </c>
      <c r="P27" s="138">
        <v>0</v>
      </c>
      <c r="Q27" s="138">
        <v>0</v>
      </c>
      <c r="R27" s="138">
        <v>0</v>
      </c>
      <c r="S27" s="138">
        <v>0</v>
      </c>
      <c r="T27" s="138">
        <v>0</v>
      </c>
    </row>
    <row r="28" spans="1:20">
      <c r="A28" s="39">
        <v>24</v>
      </c>
      <c r="B28" s="144" t="s">
        <v>188</v>
      </c>
      <c r="C28" s="145"/>
      <c r="D28" s="141">
        <v>0</v>
      </c>
      <c r="E28" s="141">
        <v>0</v>
      </c>
      <c r="F28" s="141">
        <v>727.84299999999996</v>
      </c>
      <c r="G28" s="137">
        <v>0</v>
      </c>
      <c r="H28" s="137">
        <v>0</v>
      </c>
      <c r="I28" s="36">
        <v>0</v>
      </c>
      <c r="J28" s="37">
        <v>0</v>
      </c>
      <c r="K28" s="37"/>
      <c r="L28" s="138">
        <v>0</v>
      </c>
      <c r="M28" s="138">
        <v>0</v>
      </c>
      <c r="N28" s="138">
        <v>0</v>
      </c>
      <c r="O28" s="138">
        <v>0</v>
      </c>
      <c r="P28" s="138">
        <v>0</v>
      </c>
      <c r="Q28" s="138">
        <v>0</v>
      </c>
      <c r="R28" s="138">
        <v>0</v>
      </c>
      <c r="S28" s="138">
        <v>0</v>
      </c>
      <c r="T28" s="138">
        <v>0</v>
      </c>
    </row>
    <row r="29" spans="1:20">
      <c r="A29" s="39">
        <v>25</v>
      </c>
      <c r="B29" s="144" t="s">
        <v>189</v>
      </c>
      <c r="C29" s="145"/>
      <c r="D29" s="141">
        <v>0</v>
      </c>
      <c r="E29" s="141">
        <v>0</v>
      </c>
      <c r="F29" s="141">
        <v>727.84299999999996</v>
      </c>
      <c r="G29" s="137">
        <v>0</v>
      </c>
      <c r="H29" s="137">
        <v>0</v>
      </c>
      <c r="I29" s="36">
        <v>0</v>
      </c>
      <c r="J29" s="37">
        <v>0</v>
      </c>
      <c r="K29" s="37"/>
      <c r="L29" s="138">
        <v>0</v>
      </c>
      <c r="M29" s="138">
        <v>0</v>
      </c>
      <c r="N29" s="138">
        <v>0</v>
      </c>
      <c r="O29" s="138">
        <v>0</v>
      </c>
      <c r="P29" s="138">
        <v>0</v>
      </c>
      <c r="Q29" s="138">
        <v>0</v>
      </c>
      <c r="R29" s="138">
        <v>0</v>
      </c>
      <c r="S29" s="138">
        <v>0</v>
      </c>
      <c r="T29" s="138">
        <v>0</v>
      </c>
    </row>
    <row r="30" spans="1:20">
      <c r="A30" s="39">
        <v>26</v>
      </c>
      <c r="B30" s="144" t="s">
        <v>190</v>
      </c>
      <c r="C30" s="145"/>
      <c r="D30" s="141">
        <v>0</v>
      </c>
      <c r="E30" s="141">
        <v>0</v>
      </c>
      <c r="F30" s="141">
        <v>727.84299999999996</v>
      </c>
      <c r="G30" s="137">
        <v>0</v>
      </c>
      <c r="H30" s="137">
        <v>0</v>
      </c>
      <c r="I30" s="36">
        <v>0</v>
      </c>
      <c r="J30" s="37">
        <v>0</v>
      </c>
      <c r="K30" s="37"/>
      <c r="L30" s="138">
        <v>0</v>
      </c>
      <c r="M30" s="138">
        <v>0</v>
      </c>
      <c r="N30" s="138">
        <v>0</v>
      </c>
      <c r="O30" s="138">
        <v>0</v>
      </c>
      <c r="P30" s="138">
        <v>0</v>
      </c>
      <c r="Q30" s="138">
        <v>0</v>
      </c>
      <c r="R30" s="138">
        <v>0</v>
      </c>
      <c r="S30" s="138">
        <v>0</v>
      </c>
      <c r="T30" s="138">
        <v>0</v>
      </c>
    </row>
    <row r="31" spans="1:20">
      <c r="A31" s="39">
        <v>27</v>
      </c>
      <c r="B31" s="144" t="s">
        <v>191</v>
      </c>
      <c r="C31" s="145"/>
      <c r="D31" s="141">
        <v>0</v>
      </c>
      <c r="E31" s="141">
        <v>0</v>
      </c>
      <c r="F31" s="141">
        <v>727.84299999999996</v>
      </c>
      <c r="G31" s="137">
        <v>0</v>
      </c>
      <c r="H31" s="137">
        <v>0</v>
      </c>
      <c r="I31" s="36">
        <v>0</v>
      </c>
      <c r="J31" s="37">
        <v>0</v>
      </c>
      <c r="K31" s="37"/>
      <c r="L31" s="138">
        <v>0</v>
      </c>
      <c r="M31" s="138">
        <v>0</v>
      </c>
      <c r="N31" s="138">
        <v>0</v>
      </c>
      <c r="O31" s="138">
        <v>0</v>
      </c>
      <c r="P31" s="138">
        <v>0</v>
      </c>
      <c r="Q31" s="138">
        <v>0</v>
      </c>
      <c r="R31" s="138">
        <v>0</v>
      </c>
      <c r="S31" s="138">
        <v>0</v>
      </c>
      <c r="T31" s="138">
        <v>0</v>
      </c>
    </row>
    <row r="32" spans="1:20">
      <c r="A32" s="39">
        <v>28</v>
      </c>
      <c r="B32" s="144" t="s">
        <v>192</v>
      </c>
      <c r="C32" s="145"/>
      <c r="D32" s="141">
        <v>0</v>
      </c>
      <c r="E32" s="141">
        <v>0</v>
      </c>
      <c r="F32" s="141">
        <v>727.84299999999996</v>
      </c>
      <c r="G32" s="137">
        <v>0</v>
      </c>
      <c r="H32" s="137">
        <v>0</v>
      </c>
      <c r="I32" s="36">
        <v>0</v>
      </c>
      <c r="J32" s="37">
        <v>0</v>
      </c>
      <c r="K32" s="37"/>
      <c r="L32" s="138">
        <v>0</v>
      </c>
      <c r="M32" s="138">
        <v>0</v>
      </c>
      <c r="N32" s="138">
        <v>0</v>
      </c>
      <c r="O32" s="138">
        <v>0</v>
      </c>
      <c r="P32" s="138">
        <v>0</v>
      </c>
      <c r="Q32" s="138">
        <v>0</v>
      </c>
      <c r="R32" s="138">
        <v>0</v>
      </c>
      <c r="S32" s="138">
        <v>0</v>
      </c>
      <c r="T32" s="138">
        <v>0</v>
      </c>
    </row>
    <row r="33" spans="1:20">
      <c r="A33" s="39">
        <v>29</v>
      </c>
      <c r="B33" s="144" t="s">
        <v>193</v>
      </c>
      <c r="C33" s="145"/>
      <c r="D33" s="141">
        <v>0</v>
      </c>
      <c r="E33" s="141">
        <v>0</v>
      </c>
      <c r="F33" s="141">
        <v>727.84299999999996</v>
      </c>
      <c r="G33" s="137">
        <v>0</v>
      </c>
      <c r="H33" s="137">
        <v>0</v>
      </c>
      <c r="I33" s="36">
        <v>0</v>
      </c>
      <c r="J33" s="37">
        <v>0</v>
      </c>
      <c r="K33" s="37"/>
      <c r="L33" s="138">
        <v>0</v>
      </c>
      <c r="M33" s="138">
        <v>0</v>
      </c>
      <c r="N33" s="138">
        <v>0</v>
      </c>
      <c r="O33" s="138">
        <v>0</v>
      </c>
      <c r="P33" s="138">
        <v>0</v>
      </c>
      <c r="Q33" s="138">
        <v>0</v>
      </c>
      <c r="R33" s="138">
        <v>0</v>
      </c>
      <c r="S33" s="138">
        <v>0</v>
      </c>
      <c r="T33" s="138">
        <v>0</v>
      </c>
    </row>
    <row r="34" spans="1:20">
      <c r="A34" s="39">
        <v>30</v>
      </c>
      <c r="B34" s="144" t="s">
        <v>194</v>
      </c>
      <c r="C34" s="145"/>
      <c r="D34" s="141">
        <v>0</v>
      </c>
      <c r="E34" s="141">
        <v>0</v>
      </c>
      <c r="F34" s="141">
        <v>727.84299999999996</v>
      </c>
      <c r="G34" s="137">
        <v>0</v>
      </c>
      <c r="H34" s="137">
        <v>0</v>
      </c>
      <c r="I34" s="36">
        <v>0</v>
      </c>
      <c r="J34" s="37">
        <v>0</v>
      </c>
      <c r="K34" s="37"/>
      <c r="L34" s="138">
        <v>0</v>
      </c>
      <c r="M34" s="138">
        <v>0</v>
      </c>
      <c r="N34" s="138">
        <v>0</v>
      </c>
      <c r="O34" s="138">
        <v>0</v>
      </c>
      <c r="P34" s="138">
        <v>0</v>
      </c>
      <c r="Q34" s="138">
        <v>0</v>
      </c>
      <c r="R34" s="138">
        <v>0</v>
      </c>
      <c r="S34" s="138">
        <v>0</v>
      </c>
      <c r="T34" s="138">
        <v>0</v>
      </c>
    </row>
    <row r="35" spans="1:20">
      <c r="A35" s="39">
        <v>31</v>
      </c>
      <c r="B35" s="144"/>
      <c r="C35" s="145"/>
      <c r="D35" s="141">
        <v>0</v>
      </c>
      <c r="E35" s="141">
        <v>0</v>
      </c>
      <c r="F35" s="141">
        <v>0</v>
      </c>
      <c r="G35" s="137">
        <v>0</v>
      </c>
      <c r="H35" s="137">
        <v>0</v>
      </c>
      <c r="I35" s="36">
        <v>0</v>
      </c>
      <c r="J35" s="37">
        <v>0</v>
      </c>
      <c r="K35" s="37"/>
      <c r="L35" s="138">
        <v>0</v>
      </c>
      <c r="M35" s="138">
        <v>0</v>
      </c>
      <c r="N35" s="138">
        <v>0</v>
      </c>
      <c r="O35" s="138">
        <v>0</v>
      </c>
      <c r="P35" s="138">
        <v>0</v>
      </c>
      <c r="Q35" s="138">
        <v>0</v>
      </c>
      <c r="R35" s="138">
        <v>0</v>
      </c>
      <c r="S35" s="138">
        <v>0</v>
      </c>
      <c r="T35" s="138">
        <v>0</v>
      </c>
    </row>
    <row r="36" spans="1:20">
      <c r="D36" s="43">
        <v>0</v>
      </c>
      <c r="E36" s="43">
        <v>200</v>
      </c>
      <c r="F36" s="43">
        <v>22866.325000000015</v>
      </c>
      <c r="G36" s="43">
        <v>0</v>
      </c>
      <c r="H36" s="43">
        <v>0</v>
      </c>
      <c r="I36" s="43">
        <v>0</v>
      </c>
      <c r="J36" s="44">
        <v>0</v>
      </c>
      <c r="K36" s="44">
        <v>0</v>
      </c>
      <c r="L36" s="139">
        <v>0</v>
      </c>
      <c r="M36" s="139">
        <v>0</v>
      </c>
      <c r="N36" s="139">
        <v>22984</v>
      </c>
      <c r="O36" s="139">
        <v>1007760</v>
      </c>
      <c r="P36" s="139">
        <v>478551.13</v>
      </c>
      <c r="Q36" s="139">
        <v>0</v>
      </c>
      <c r="R36" s="139">
        <v>0</v>
      </c>
      <c r="S36" s="139">
        <v>0</v>
      </c>
      <c r="T36" s="139">
        <v>1509295.13</v>
      </c>
    </row>
    <row r="37" spans="1:20">
      <c r="R37" s="46"/>
      <c r="S37" s="46"/>
      <c r="T37" s="140">
        <v>1841340.05</v>
      </c>
    </row>
    <row r="42" spans="1:20">
      <c r="J42" s="28">
        <v>7362.3250000000153</v>
      </c>
      <c r="K42" s="142">
        <v>15504</v>
      </c>
    </row>
  </sheetData>
  <mergeCells count="50"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C13A0-69F5-4B04-9174-0B422881A0E1}">
  <sheetPr>
    <pageSetUpPr fitToPage="1"/>
  </sheetPr>
  <dimension ref="A1:T37"/>
  <sheetViews>
    <sheetView topLeftCell="A5" workbookViewId="0">
      <selection activeCell="H5" sqref="H5:H35"/>
    </sheetView>
  </sheetViews>
  <sheetFormatPr defaultRowHeight="15"/>
  <cols>
    <col min="1" max="3" width="9.140625" style="28"/>
    <col min="4" max="4" width="11.85546875" style="28" customWidth="1"/>
    <col min="5" max="5" width="12.28515625" style="28" customWidth="1"/>
    <col min="6" max="6" width="13.140625" style="28" customWidth="1"/>
    <col min="7" max="7" width="11.42578125" style="28" customWidth="1"/>
    <col min="8" max="8" width="10.7109375" style="28" customWidth="1"/>
    <col min="9" max="9" width="10.5703125" style="28" bestFit="1" customWidth="1"/>
    <col min="10" max="12" width="9.140625" style="28"/>
    <col min="13" max="13" width="13.140625" style="28" customWidth="1"/>
    <col min="14" max="14" width="13.5703125" style="28" customWidth="1"/>
    <col min="15" max="15" width="14.5703125" style="28" customWidth="1"/>
    <col min="16" max="16" width="14.5703125" style="28" bestFit="1" customWidth="1"/>
    <col min="17" max="17" width="15" style="28" customWidth="1"/>
    <col min="18" max="18" width="13.28515625" style="28" customWidth="1"/>
    <col min="19" max="19" width="11.7109375" style="28" customWidth="1"/>
    <col min="20" max="20" width="24.28515625" style="28" customWidth="1"/>
    <col min="21" max="16384" width="9.140625" style="28"/>
  </cols>
  <sheetData>
    <row r="1" spans="1:20">
      <c r="I1" s="29"/>
    </row>
    <row r="2" spans="1:20" ht="28.9" customHeight="1">
      <c r="A2" s="149" t="s">
        <v>222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</row>
    <row r="3" spans="1:20" ht="28.9" customHeight="1">
      <c r="A3" s="146" t="s">
        <v>0</v>
      </c>
      <c r="B3" s="150" t="s">
        <v>1</v>
      </c>
      <c r="C3" s="151"/>
      <c r="D3" s="146" t="s">
        <v>2</v>
      </c>
      <c r="E3" s="146" t="s">
        <v>3</v>
      </c>
      <c r="F3" s="30" t="s">
        <v>4</v>
      </c>
      <c r="G3" s="146" t="s">
        <v>223</v>
      </c>
      <c r="H3" s="146" t="s">
        <v>224</v>
      </c>
      <c r="I3" s="146" t="s">
        <v>7</v>
      </c>
      <c r="J3" s="146" t="s">
        <v>8</v>
      </c>
      <c r="K3" s="146" t="s">
        <v>9</v>
      </c>
      <c r="L3" s="146" t="s">
        <v>10</v>
      </c>
      <c r="M3" s="146" t="s">
        <v>11</v>
      </c>
      <c r="N3" s="146" t="s">
        <v>12</v>
      </c>
      <c r="O3" s="146" t="s">
        <v>13</v>
      </c>
      <c r="P3" s="146" t="s">
        <v>14</v>
      </c>
      <c r="Q3" s="146" t="s">
        <v>15</v>
      </c>
      <c r="R3" s="146" t="s">
        <v>16</v>
      </c>
      <c r="S3" s="146" t="s">
        <v>17</v>
      </c>
      <c r="T3" s="146" t="s">
        <v>18</v>
      </c>
    </row>
    <row r="4" spans="1:20">
      <c r="A4" s="147"/>
      <c r="B4" s="152"/>
      <c r="C4" s="153"/>
      <c r="D4" s="147"/>
      <c r="E4" s="147"/>
      <c r="F4" s="31"/>
      <c r="G4" s="147"/>
      <c r="H4" s="147"/>
      <c r="I4" s="147"/>
      <c r="J4" s="147"/>
      <c r="K4" s="148"/>
      <c r="L4" s="148"/>
      <c r="M4" s="147"/>
      <c r="N4" s="147"/>
      <c r="O4" s="147"/>
      <c r="P4" s="147"/>
      <c r="Q4" s="147"/>
      <c r="R4" s="147"/>
      <c r="S4" s="147"/>
      <c r="T4" s="147"/>
    </row>
    <row r="5" spans="1:20">
      <c r="A5" s="39">
        <v>1</v>
      </c>
      <c r="B5" s="144" t="s">
        <v>165</v>
      </c>
      <c r="C5" s="145"/>
      <c r="D5" s="141">
        <v>0</v>
      </c>
      <c r="E5" s="141">
        <v>0</v>
      </c>
      <c r="F5" s="141">
        <v>1962.9380000000001</v>
      </c>
      <c r="G5" s="137">
        <v>0</v>
      </c>
      <c r="H5" s="137">
        <v>75</v>
      </c>
      <c r="I5" s="36">
        <v>0</v>
      </c>
      <c r="J5" s="37">
        <v>0</v>
      </c>
      <c r="K5" s="37"/>
      <c r="L5" s="138">
        <v>0</v>
      </c>
      <c r="M5" s="138">
        <v>0</v>
      </c>
      <c r="N5" s="138">
        <v>0</v>
      </c>
      <c r="O5" s="138">
        <v>127590.97</v>
      </c>
      <c r="P5" s="138">
        <v>0</v>
      </c>
      <c r="Q5" s="138">
        <v>11250</v>
      </c>
      <c r="R5" s="138">
        <v>0</v>
      </c>
      <c r="S5" s="138">
        <v>0</v>
      </c>
      <c r="T5" s="138">
        <v>138840.97</v>
      </c>
    </row>
    <row r="6" spans="1:20">
      <c r="A6" s="39">
        <v>2</v>
      </c>
      <c r="B6" s="144" t="s">
        <v>166</v>
      </c>
      <c r="C6" s="145"/>
      <c r="D6" s="141">
        <v>0</v>
      </c>
      <c r="E6" s="141">
        <v>0</v>
      </c>
      <c r="F6" s="141">
        <v>1962.9380000000001</v>
      </c>
      <c r="G6" s="137">
        <v>0</v>
      </c>
      <c r="H6" s="137">
        <v>75</v>
      </c>
      <c r="I6" s="36">
        <v>0</v>
      </c>
      <c r="J6" s="37">
        <v>0</v>
      </c>
      <c r="K6" s="37"/>
      <c r="L6" s="138">
        <v>0</v>
      </c>
      <c r="M6" s="138">
        <v>0</v>
      </c>
      <c r="N6" s="138">
        <v>0</v>
      </c>
      <c r="O6" s="138">
        <v>127590.97</v>
      </c>
      <c r="P6" s="138">
        <v>0</v>
      </c>
      <c r="Q6" s="138">
        <v>11250</v>
      </c>
      <c r="R6" s="138">
        <v>0</v>
      </c>
      <c r="S6" s="138">
        <v>0</v>
      </c>
      <c r="T6" s="138">
        <v>138840.97</v>
      </c>
    </row>
    <row r="7" spans="1:20">
      <c r="A7" s="39">
        <v>3</v>
      </c>
      <c r="B7" s="144" t="s">
        <v>167</v>
      </c>
      <c r="C7" s="145"/>
      <c r="D7" s="141">
        <v>0</v>
      </c>
      <c r="E7" s="141">
        <v>0</v>
      </c>
      <c r="F7" s="141">
        <v>1962.9380000000001</v>
      </c>
      <c r="G7" s="137">
        <v>0</v>
      </c>
      <c r="H7" s="137">
        <v>75</v>
      </c>
      <c r="I7" s="36">
        <v>0</v>
      </c>
      <c r="J7" s="37">
        <v>0</v>
      </c>
      <c r="K7" s="37"/>
      <c r="L7" s="138">
        <v>0</v>
      </c>
      <c r="M7" s="138">
        <v>0</v>
      </c>
      <c r="N7" s="138">
        <v>0</v>
      </c>
      <c r="O7" s="138">
        <v>127590.97</v>
      </c>
      <c r="P7" s="138">
        <v>0</v>
      </c>
      <c r="Q7" s="138">
        <v>11250</v>
      </c>
      <c r="R7" s="138">
        <v>0</v>
      </c>
      <c r="S7" s="138">
        <v>0</v>
      </c>
      <c r="T7" s="138">
        <v>138840.97</v>
      </c>
    </row>
    <row r="8" spans="1:20">
      <c r="A8" s="39">
        <v>4</v>
      </c>
      <c r="B8" s="144" t="s">
        <v>168</v>
      </c>
      <c r="C8" s="145"/>
      <c r="D8" s="141">
        <v>0</v>
      </c>
      <c r="E8" s="141">
        <v>0</v>
      </c>
      <c r="F8" s="141">
        <v>1962.9380000000001</v>
      </c>
      <c r="G8" s="137">
        <v>0</v>
      </c>
      <c r="H8" s="137">
        <v>75</v>
      </c>
      <c r="I8" s="36">
        <v>0</v>
      </c>
      <c r="J8" s="37">
        <v>0</v>
      </c>
      <c r="K8" s="37"/>
      <c r="L8" s="138">
        <v>0</v>
      </c>
      <c r="M8" s="138">
        <v>0</v>
      </c>
      <c r="N8" s="138">
        <v>0</v>
      </c>
      <c r="O8" s="138">
        <v>127590.97</v>
      </c>
      <c r="P8" s="138">
        <v>0</v>
      </c>
      <c r="Q8" s="138">
        <v>11250</v>
      </c>
      <c r="R8" s="138">
        <v>0</v>
      </c>
      <c r="S8" s="138">
        <v>0</v>
      </c>
      <c r="T8" s="138">
        <v>138840.97</v>
      </c>
    </row>
    <row r="9" spans="1:20">
      <c r="A9" s="39">
        <v>5</v>
      </c>
      <c r="B9" s="144" t="s">
        <v>169</v>
      </c>
      <c r="C9" s="145"/>
      <c r="D9" s="141">
        <v>0</v>
      </c>
      <c r="E9" s="141">
        <v>0</v>
      </c>
      <c r="F9" s="141">
        <v>1962.9380000000001</v>
      </c>
      <c r="G9" s="137">
        <v>0</v>
      </c>
      <c r="H9" s="137">
        <v>75</v>
      </c>
      <c r="I9" s="36">
        <v>0</v>
      </c>
      <c r="J9" s="37">
        <v>0</v>
      </c>
      <c r="K9" s="37"/>
      <c r="L9" s="138">
        <v>0</v>
      </c>
      <c r="M9" s="138">
        <v>0</v>
      </c>
      <c r="N9" s="138">
        <v>0</v>
      </c>
      <c r="O9" s="138">
        <v>127590.97</v>
      </c>
      <c r="P9" s="138">
        <v>0</v>
      </c>
      <c r="Q9" s="138">
        <v>11250</v>
      </c>
      <c r="R9" s="138">
        <v>0</v>
      </c>
      <c r="S9" s="138">
        <v>0</v>
      </c>
      <c r="T9" s="138">
        <v>138840.97</v>
      </c>
    </row>
    <row r="10" spans="1:20">
      <c r="A10" s="39">
        <v>6</v>
      </c>
      <c r="B10" s="144" t="s">
        <v>170</v>
      </c>
      <c r="C10" s="145"/>
      <c r="D10" s="141">
        <v>0</v>
      </c>
      <c r="E10" s="141">
        <v>0</v>
      </c>
      <c r="F10" s="141">
        <v>1962.9380000000001</v>
      </c>
      <c r="G10" s="137">
        <v>0</v>
      </c>
      <c r="H10" s="137">
        <v>75</v>
      </c>
      <c r="I10" s="36">
        <v>0</v>
      </c>
      <c r="J10" s="37">
        <v>0</v>
      </c>
      <c r="K10" s="37"/>
      <c r="L10" s="138">
        <v>0</v>
      </c>
      <c r="M10" s="138">
        <v>0</v>
      </c>
      <c r="N10" s="138">
        <v>0</v>
      </c>
      <c r="O10" s="138">
        <v>127590.97</v>
      </c>
      <c r="P10" s="138">
        <v>0</v>
      </c>
      <c r="Q10" s="138">
        <v>11250</v>
      </c>
      <c r="R10" s="138">
        <v>0</v>
      </c>
      <c r="S10" s="138">
        <v>0</v>
      </c>
      <c r="T10" s="138">
        <v>138840.97</v>
      </c>
    </row>
    <row r="11" spans="1:20">
      <c r="A11" s="39">
        <v>7</v>
      </c>
      <c r="B11" s="144" t="s">
        <v>171</v>
      </c>
      <c r="C11" s="145"/>
      <c r="D11" s="141">
        <v>0</v>
      </c>
      <c r="E11" s="141">
        <v>0</v>
      </c>
      <c r="F11" s="141">
        <v>1962.9380000000001</v>
      </c>
      <c r="G11" s="137">
        <v>0</v>
      </c>
      <c r="H11" s="137">
        <v>75</v>
      </c>
      <c r="I11" s="36">
        <v>0</v>
      </c>
      <c r="J11" s="37">
        <v>0</v>
      </c>
      <c r="K11" s="37"/>
      <c r="L11" s="138">
        <v>0</v>
      </c>
      <c r="M11" s="138">
        <v>0</v>
      </c>
      <c r="N11" s="138">
        <v>0</v>
      </c>
      <c r="O11" s="138">
        <v>127590.97</v>
      </c>
      <c r="P11" s="138">
        <v>0</v>
      </c>
      <c r="Q11" s="138">
        <v>11250</v>
      </c>
      <c r="R11" s="138">
        <v>0</v>
      </c>
      <c r="S11" s="138">
        <v>0</v>
      </c>
      <c r="T11" s="138">
        <v>138840.97</v>
      </c>
    </row>
    <row r="12" spans="1:20">
      <c r="A12" s="39">
        <v>8</v>
      </c>
      <c r="B12" s="144" t="s">
        <v>172</v>
      </c>
      <c r="C12" s="145"/>
      <c r="D12" s="141">
        <v>0</v>
      </c>
      <c r="E12" s="141">
        <v>0</v>
      </c>
      <c r="F12" s="141">
        <v>1962.9380000000001</v>
      </c>
      <c r="G12" s="137">
        <v>0</v>
      </c>
      <c r="H12" s="137">
        <v>75</v>
      </c>
      <c r="I12" s="36">
        <v>0</v>
      </c>
      <c r="J12" s="37">
        <v>0</v>
      </c>
      <c r="K12" s="37"/>
      <c r="L12" s="138">
        <v>0</v>
      </c>
      <c r="M12" s="138">
        <v>0</v>
      </c>
      <c r="N12" s="138">
        <v>0</v>
      </c>
      <c r="O12" s="138">
        <v>127590.97</v>
      </c>
      <c r="P12" s="138">
        <v>0</v>
      </c>
      <c r="Q12" s="138">
        <v>11250</v>
      </c>
      <c r="R12" s="138">
        <v>0</v>
      </c>
      <c r="S12" s="138">
        <v>0</v>
      </c>
      <c r="T12" s="138">
        <v>138840.97</v>
      </c>
    </row>
    <row r="13" spans="1:20">
      <c r="A13" s="39">
        <v>9</v>
      </c>
      <c r="B13" s="144" t="s">
        <v>173</v>
      </c>
      <c r="C13" s="145"/>
      <c r="D13" s="141">
        <v>0</v>
      </c>
      <c r="E13" s="141">
        <v>0</v>
      </c>
      <c r="F13" s="141">
        <v>1962.9380000000001</v>
      </c>
      <c r="G13" s="137">
        <v>0</v>
      </c>
      <c r="H13" s="137">
        <v>75</v>
      </c>
      <c r="I13" s="36">
        <v>0</v>
      </c>
      <c r="J13" s="37">
        <v>0</v>
      </c>
      <c r="K13" s="37"/>
      <c r="L13" s="138">
        <v>0</v>
      </c>
      <c r="M13" s="138">
        <v>0</v>
      </c>
      <c r="N13" s="138">
        <v>0</v>
      </c>
      <c r="O13" s="138">
        <v>127590.97</v>
      </c>
      <c r="P13" s="138">
        <v>0</v>
      </c>
      <c r="Q13" s="138">
        <v>11250</v>
      </c>
      <c r="R13" s="138">
        <v>0</v>
      </c>
      <c r="S13" s="138">
        <v>0</v>
      </c>
      <c r="T13" s="138">
        <v>138840.97</v>
      </c>
    </row>
    <row r="14" spans="1:20">
      <c r="A14" s="39">
        <v>10</v>
      </c>
      <c r="B14" s="144" t="s">
        <v>174</v>
      </c>
      <c r="C14" s="145"/>
      <c r="D14" s="141">
        <v>0</v>
      </c>
      <c r="E14" s="141">
        <v>50.865000000000002</v>
      </c>
      <c r="F14" s="141">
        <v>1912.0730000000001</v>
      </c>
      <c r="G14" s="137">
        <v>0</v>
      </c>
      <c r="H14" s="137">
        <v>24.134999999999998</v>
      </c>
      <c r="I14" s="36">
        <v>0</v>
      </c>
      <c r="J14" s="37">
        <v>0</v>
      </c>
      <c r="K14" s="37"/>
      <c r="L14" s="138">
        <v>0</v>
      </c>
      <c r="M14" s="138">
        <v>0</v>
      </c>
      <c r="N14" s="138">
        <v>7629.75</v>
      </c>
      <c r="O14" s="138">
        <v>124284.75</v>
      </c>
      <c r="P14" s="138">
        <v>0</v>
      </c>
      <c r="Q14" s="138">
        <v>3620.25</v>
      </c>
      <c r="R14" s="138">
        <v>0</v>
      </c>
      <c r="S14" s="138">
        <v>0</v>
      </c>
      <c r="T14" s="138">
        <v>135534.75</v>
      </c>
    </row>
    <row r="15" spans="1:20">
      <c r="A15" s="39">
        <v>11</v>
      </c>
      <c r="B15" s="144" t="s">
        <v>175</v>
      </c>
      <c r="C15" s="145"/>
      <c r="D15" s="141">
        <v>0</v>
      </c>
      <c r="E15" s="141">
        <v>0</v>
      </c>
      <c r="F15" s="141">
        <v>1912.0730000000001</v>
      </c>
      <c r="G15" s="137">
        <v>0</v>
      </c>
      <c r="H15" s="137">
        <v>75</v>
      </c>
      <c r="I15" s="36">
        <v>0</v>
      </c>
      <c r="J15" s="37">
        <v>0</v>
      </c>
      <c r="K15" s="37"/>
      <c r="L15" s="138">
        <v>0</v>
      </c>
      <c r="M15" s="138">
        <v>0</v>
      </c>
      <c r="N15" s="138">
        <v>0</v>
      </c>
      <c r="O15" s="138">
        <v>124284.75</v>
      </c>
      <c r="P15" s="138">
        <v>0</v>
      </c>
      <c r="Q15" s="138">
        <v>11250</v>
      </c>
      <c r="R15" s="138">
        <v>0</v>
      </c>
      <c r="S15" s="138">
        <v>0</v>
      </c>
      <c r="T15" s="138">
        <v>135534.75</v>
      </c>
    </row>
    <row r="16" spans="1:20">
      <c r="A16" s="39">
        <v>12</v>
      </c>
      <c r="B16" s="144" t="s">
        <v>176</v>
      </c>
      <c r="C16" s="145"/>
      <c r="D16" s="141">
        <v>0</v>
      </c>
      <c r="E16" s="141">
        <v>0</v>
      </c>
      <c r="F16" s="141">
        <v>1912.0730000000001</v>
      </c>
      <c r="G16" s="137">
        <v>0</v>
      </c>
      <c r="H16" s="137">
        <v>75</v>
      </c>
      <c r="I16" s="36">
        <v>0</v>
      </c>
      <c r="J16" s="37">
        <v>0</v>
      </c>
      <c r="K16" s="42"/>
      <c r="L16" s="138">
        <v>0</v>
      </c>
      <c r="M16" s="138">
        <v>0</v>
      </c>
      <c r="N16" s="138">
        <v>0</v>
      </c>
      <c r="O16" s="138">
        <v>124284.75</v>
      </c>
      <c r="P16" s="138">
        <v>0</v>
      </c>
      <c r="Q16" s="138">
        <v>11250</v>
      </c>
      <c r="R16" s="138">
        <v>0</v>
      </c>
      <c r="S16" s="138">
        <v>0</v>
      </c>
      <c r="T16" s="138">
        <v>135534.75</v>
      </c>
    </row>
    <row r="17" spans="1:20">
      <c r="A17" s="39">
        <v>13</v>
      </c>
      <c r="B17" s="144" t="s">
        <v>177</v>
      </c>
      <c r="C17" s="145"/>
      <c r="D17" s="141">
        <v>0</v>
      </c>
      <c r="E17" s="141">
        <v>18.593</v>
      </c>
      <c r="F17" s="141">
        <v>1893.48</v>
      </c>
      <c r="G17" s="137">
        <v>0</v>
      </c>
      <c r="H17" s="137">
        <v>56.406999999999996</v>
      </c>
      <c r="I17" s="36">
        <v>0</v>
      </c>
      <c r="J17" s="37">
        <v>0</v>
      </c>
      <c r="K17" s="37"/>
      <c r="L17" s="138">
        <v>0</v>
      </c>
      <c r="M17" s="138">
        <v>0</v>
      </c>
      <c r="N17" s="138">
        <v>2788.95</v>
      </c>
      <c r="O17" s="138">
        <v>123076.2</v>
      </c>
      <c r="P17" s="138">
        <v>0</v>
      </c>
      <c r="Q17" s="138">
        <v>8461.0499999999993</v>
      </c>
      <c r="R17" s="138">
        <v>0</v>
      </c>
      <c r="S17" s="138">
        <v>0</v>
      </c>
      <c r="T17" s="138">
        <v>134326.20000000001</v>
      </c>
    </row>
    <row r="18" spans="1:20">
      <c r="A18" s="39">
        <v>14</v>
      </c>
      <c r="B18" s="144" t="s">
        <v>178</v>
      </c>
      <c r="C18" s="145"/>
      <c r="D18" s="141">
        <v>0</v>
      </c>
      <c r="E18" s="141">
        <v>0</v>
      </c>
      <c r="F18" s="141">
        <v>1893.48</v>
      </c>
      <c r="G18" s="137">
        <v>0</v>
      </c>
      <c r="H18" s="137">
        <v>75</v>
      </c>
      <c r="I18" s="36">
        <v>0</v>
      </c>
      <c r="J18" s="37">
        <v>0</v>
      </c>
      <c r="K18" s="37"/>
      <c r="L18" s="138">
        <v>0</v>
      </c>
      <c r="M18" s="138">
        <v>0</v>
      </c>
      <c r="N18" s="138">
        <v>0</v>
      </c>
      <c r="O18" s="138">
        <v>123076.2</v>
      </c>
      <c r="P18" s="138">
        <v>0</v>
      </c>
      <c r="Q18" s="138">
        <v>11250</v>
      </c>
      <c r="R18" s="138">
        <v>0</v>
      </c>
      <c r="S18" s="138">
        <v>0</v>
      </c>
      <c r="T18" s="138">
        <v>134326.20000000001</v>
      </c>
    </row>
    <row r="19" spans="1:20">
      <c r="A19" s="39">
        <v>15</v>
      </c>
      <c r="B19" s="144" t="s">
        <v>179</v>
      </c>
      <c r="C19" s="145"/>
      <c r="D19" s="141">
        <v>0</v>
      </c>
      <c r="E19" s="141">
        <v>0</v>
      </c>
      <c r="F19" s="141">
        <v>1893.48</v>
      </c>
      <c r="G19" s="137">
        <v>0</v>
      </c>
      <c r="H19" s="137">
        <v>75</v>
      </c>
      <c r="I19" s="36">
        <v>0</v>
      </c>
      <c r="J19" s="37">
        <v>0</v>
      </c>
      <c r="K19" s="37"/>
      <c r="L19" s="138">
        <v>0</v>
      </c>
      <c r="M19" s="138">
        <v>0</v>
      </c>
      <c r="N19" s="138">
        <v>0</v>
      </c>
      <c r="O19" s="138">
        <v>123076.2</v>
      </c>
      <c r="P19" s="138">
        <v>0</v>
      </c>
      <c r="Q19" s="138">
        <v>11250</v>
      </c>
      <c r="R19" s="138">
        <v>0</v>
      </c>
      <c r="S19" s="138">
        <v>0</v>
      </c>
      <c r="T19" s="138">
        <v>134326.20000000001</v>
      </c>
    </row>
    <row r="20" spans="1:20">
      <c r="A20" s="39">
        <v>16</v>
      </c>
      <c r="B20" s="144" t="s">
        <v>180</v>
      </c>
      <c r="C20" s="145"/>
      <c r="D20" s="141">
        <v>0</v>
      </c>
      <c r="E20" s="141">
        <v>0</v>
      </c>
      <c r="F20" s="141">
        <v>1893.48</v>
      </c>
      <c r="G20" s="137">
        <v>0</v>
      </c>
      <c r="H20" s="137">
        <v>75</v>
      </c>
      <c r="I20" s="36">
        <v>0</v>
      </c>
      <c r="J20" s="37">
        <v>0</v>
      </c>
      <c r="K20" s="37"/>
      <c r="L20" s="138">
        <v>0</v>
      </c>
      <c r="M20" s="138">
        <v>0</v>
      </c>
      <c r="N20" s="138">
        <v>0</v>
      </c>
      <c r="O20" s="138">
        <v>123076.2</v>
      </c>
      <c r="P20" s="138">
        <v>0</v>
      </c>
      <c r="Q20" s="138">
        <v>11250</v>
      </c>
      <c r="R20" s="138">
        <v>0</v>
      </c>
      <c r="S20" s="138">
        <v>0</v>
      </c>
      <c r="T20" s="138">
        <v>134326.20000000001</v>
      </c>
    </row>
    <row r="21" spans="1:20">
      <c r="A21" s="39">
        <v>17</v>
      </c>
      <c r="B21" s="144" t="s">
        <v>181</v>
      </c>
      <c r="C21" s="145"/>
      <c r="D21" s="141">
        <v>0</v>
      </c>
      <c r="E21" s="141">
        <v>0</v>
      </c>
      <c r="F21" s="141">
        <v>1893.48</v>
      </c>
      <c r="G21" s="137">
        <v>0</v>
      </c>
      <c r="H21" s="137">
        <v>75</v>
      </c>
      <c r="I21" s="36">
        <v>0</v>
      </c>
      <c r="J21" s="37">
        <v>0</v>
      </c>
      <c r="K21" s="37"/>
      <c r="L21" s="138">
        <v>0</v>
      </c>
      <c r="M21" s="138">
        <v>0</v>
      </c>
      <c r="N21" s="138">
        <v>0</v>
      </c>
      <c r="O21" s="138">
        <v>123076.2</v>
      </c>
      <c r="P21" s="138">
        <v>0</v>
      </c>
      <c r="Q21" s="138">
        <v>11250</v>
      </c>
      <c r="R21" s="138">
        <v>0</v>
      </c>
      <c r="S21" s="138">
        <v>0</v>
      </c>
      <c r="T21" s="138">
        <v>134326.20000000001</v>
      </c>
    </row>
    <row r="22" spans="1:20">
      <c r="A22" s="39">
        <v>18</v>
      </c>
      <c r="B22" s="144" t="s">
        <v>182</v>
      </c>
      <c r="C22" s="145"/>
      <c r="D22" s="141">
        <v>0</v>
      </c>
      <c r="E22" s="141">
        <v>0</v>
      </c>
      <c r="F22" s="141">
        <v>1893.48</v>
      </c>
      <c r="G22" s="137">
        <v>0</v>
      </c>
      <c r="H22" s="137">
        <v>75</v>
      </c>
      <c r="I22" s="36">
        <v>0</v>
      </c>
      <c r="J22" s="37">
        <v>0</v>
      </c>
      <c r="K22" s="37"/>
      <c r="L22" s="138">
        <v>0</v>
      </c>
      <c r="M22" s="138">
        <v>0</v>
      </c>
      <c r="N22" s="138">
        <v>0</v>
      </c>
      <c r="O22" s="138">
        <v>123076.2</v>
      </c>
      <c r="P22" s="138">
        <v>0</v>
      </c>
      <c r="Q22" s="138">
        <v>11250</v>
      </c>
      <c r="R22" s="138">
        <v>0</v>
      </c>
      <c r="S22" s="138">
        <v>0</v>
      </c>
      <c r="T22" s="138">
        <v>134326.20000000001</v>
      </c>
    </row>
    <row r="23" spans="1:20">
      <c r="A23" s="39">
        <v>19</v>
      </c>
      <c r="B23" s="144" t="s">
        <v>183</v>
      </c>
      <c r="C23" s="145"/>
      <c r="D23" s="141">
        <v>0</v>
      </c>
      <c r="E23" s="141">
        <v>0</v>
      </c>
      <c r="F23" s="141">
        <v>1893.48</v>
      </c>
      <c r="G23" s="137">
        <v>0</v>
      </c>
      <c r="H23" s="137">
        <v>75</v>
      </c>
      <c r="I23" s="36">
        <v>0</v>
      </c>
      <c r="J23" s="37">
        <v>0</v>
      </c>
      <c r="K23" s="37"/>
      <c r="L23" s="138">
        <v>0</v>
      </c>
      <c r="M23" s="138">
        <v>0</v>
      </c>
      <c r="N23" s="138">
        <v>0</v>
      </c>
      <c r="O23" s="138">
        <v>123076.2</v>
      </c>
      <c r="P23" s="138">
        <v>0</v>
      </c>
      <c r="Q23" s="138">
        <v>11250</v>
      </c>
      <c r="R23" s="138">
        <v>0</v>
      </c>
      <c r="S23" s="138">
        <v>0</v>
      </c>
      <c r="T23" s="138">
        <v>134326.20000000001</v>
      </c>
    </row>
    <row r="24" spans="1:20">
      <c r="A24" s="39">
        <v>20</v>
      </c>
      <c r="B24" s="144" t="s">
        <v>184</v>
      </c>
      <c r="C24" s="145"/>
      <c r="D24" s="141">
        <v>0</v>
      </c>
      <c r="E24" s="141">
        <v>0</v>
      </c>
      <c r="F24" s="141">
        <v>1893.48</v>
      </c>
      <c r="G24" s="137">
        <v>0</v>
      </c>
      <c r="H24" s="137">
        <v>75</v>
      </c>
      <c r="I24" s="36">
        <v>0</v>
      </c>
      <c r="J24" s="37">
        <v>0</v>
      </c>
      <c r="K24" s="37"/>
      <c r="L24" s="138">
        <v>0</v>
      </c>
      <c r="M24" s="138">
        <v>0</v>
      </c>
      <c r="N24" s="138">
        <v>0</v>
      </c>
      <c r="O24" s="138">
        <v>123076.2</v>
      </c>
      <c r="P24" s="138">
        <v>0</v>
      </c>
      <c r="Q24" s="138">
        <v>11250</v>
      </c>
      <c r="R24" s="138">
        <v>0</v>
      </c>
      <c r="S24" s="138">
        <v>0</v>
      </c>
      <c r="T24" s="138">
        <v>134326.20000000001</v>
      </c>
    </row>
    <row r="25" spans="1:20">
      <c r="A25" s="39">
        <v>21</v>
      </c>
      <c r="B25" s="144" t="s">
        <v>185</v>
      </c>
      <c r="C25" s="145"/>
      <c r="D25" s="141">
        <v>0</v>
      </c>
      <c r="E25" s="141">
        <v>0</v>
      </c>
      <c r="F25" s="141">
        <v>1893.48</v>
      </c>
      <c r="G25" s="137">
        <v>0</v>
      </c>
      <c r="H25" s="137">
        <v>75</v>
      </c>
      <c r="I25" s="36">
        <v>0</v>
      </c>
      <c r="J25" s="37">
        <v>0</v>
      </c>
      <c r="K25" s="37"/>
      <c r="L25" s="138">
        <v>0</v>
      </c>
      <c r="M25" s="138">
        <v>0</v>
      </c>
      <c r="N25" s="138">
        <v>0</v>
      </c>
      <c r="O25" s="138">
        <v>123076.2</v>
      </c>
      <c r="P25" s="138">
        <v>0</v>
      </c>
      <c r="Q25" s="138">
        <v>11250</v>
      </c>
      <c r="R25" s="138">
        <v>0</v>
      </c>
      <c r="S25" s="138">
        <v>0</v>
      </c>
      <c r="T25" s="138">
        <v>134326.20000000001</v>
      </c>
    </row>
    <row r="26" spans="1:20">
      <c r="A26" s="39">
        <v>22</v>
      </c>
      <c r="B26" s="144" t="s">
        <v>186</v>
      </c>
      <c r="C26" s="145"/>
      <c r="D26" s="141">
        <v>0</v>
      </c>
      <c r="E26" s="141">
        <v>0</v>
      </c>
      <c r="F26" s="141">
        <v>1893.48</v>
      </c>
      <c r="G26" s="137">
        <v>0</v>
      </c>
      <c r="H26" s="137">
        <v>75</v>
      </c>
      <c r="I26" s="36">
        <v>0</v>
      </c>
      <c r="J26" s="37">
        <v>0</v>
      </c>
      <c r="K26" s="37"/>
      <c r="L26" s="138">
        <v>0</v>
      </c>
      <c r="M26" s="138">
        <v>0</v>
      </c>
      <c r="N26" s="138">
        <v>0</v>
      </c>
      <c r="O26" s="138">
        <v>123076.2</v>
      </c>
      <c r="P26" s="138">
        <v>0</v>
      </c>
      <c r="Q26" s="138">
        <v>11250</v>
      </c>
      <c r="R26" s="138">
        <v>0</v>
      </c>
      <c r="S26" s="138">
        <v>0</v>
      </c>
      <c r="T26" s="138">
        <v>134326.20000000001</v>
      </c>
    </row>
    <row r="27" spans="1:20">
      <c r="A27" s="39">
        <v>23</v>
      </c>
      <c r="B27" s="144" t="s">
        <v>187</v>
      </c>
      <c r="C27" s="145"/>
      <c r="D27" s="141">
        <v>0</v>
      </c>
      <c r="E27" s="141">
        <v>0</v>
      </c>
      <c r="F27" s="141">
        <v>1893.48</v>
      </c>
      <c r="G27" s="137">
        <v>0</v>
      </c>
      <c r="H27" s="137">
        <v>75</v>
      </c>
      <c r="I27" s="36">
        <v>0</v>
      </c>
      <c r="J27" s="37">
        <v>0</v>
      </c>
      <c r="K27" s="37"/>
      <c r="L27" s="138">
        <v>0</v>
      </c>
      <c r="M27" s="138">
        <v>0</v>
      </c>
      <c r="N27" s="138">
        <v>0</v>
      </c>
      <c r="O27" s="138">
        <v>123076.2</v>
      </c>
      <c r="P27" s="138">
        <v>0</v>
      </c>
      <c r="Q27" s="138">
        <v>11250</v>
      </c>
      <c r="R27" s="138">
        <v>0</v>
      </c>
      <c r="S27" s="138">
        <v>0</v>
      </c>
      <c r="T27" s="138">
        <v>134326.20000000001</v>
      </c>
    </row>
    <row r="28" spans="1:20">
      <c r="A28" s="39">
        <v>24</v>
      </c>
      <c r="B28" s="144" t="s">
        <v>188</v>
      </c>
      <c r="C28" s="145"/>
      <c r="D28" s="141">
        <v>0</v>
      </c>
      <c r="E28" s="141">
        <v>0</v>
      </c>
      <c r="F28" s="141">
        <v>1893.48</v>
      </c>
      <c r="G28" s="137">
        <v>0</v>
      </c>
      <c r="H28" s="137">
        <v>75</v>
      </c>
      <c r="I28" s="36">
        <v>0</v>
      </c>
      <c r="J28" s="37">
        <v>0</v>
      </c>
      <c r="K28" s="37"/>
      <c r="L28" s="138">
        <v>0</v>
      </c>
      <c r="M28" s="138">
        <v>0</v>
      </c>
      <c r="N28" s="138">
        <v>0</v>
      </c>
      <c r="O28" s="138">
        <v>123076.2</v>
      </c>
      <c r="P28" s="138">
        <v>0</v>
      </c>
      <c r="Q28" s="138">
        <v>11250</v>
      </c>
      <c r="R28" s="138">
        <v>0</v>
      </c>
      <c r="S28" s="138">
        <v>0</v>
      </c>
      <c r="T28" s="138">
        <v>134326.20000000001</v>
      </c>
    </row>
    <row r="29" spans="1:20">
      <c r="A29" s="39">
        <v>25</v>
      </c>
      <c r="B29" s="144" t="s">
        <v>189</v>
      </c>
      <c r="C29" s="145"/>
      <c r="D29" s="141">
        <v>0</v>
      </c>
      <c r="E29" s="141">
        <v>0</v>
      </c>
      <c r="F29" s="141">
        <v>1893.48</v>
      </c>
      <c r="G29" s="137">
        <v>0</v>
      </c>
      <c r="H29" s="137">
        <v>75</v>
      </c>
      <c r="I29" s="36">
        <v>0</v>
      </c>
      <c r="J29" s="37">
        <v>0</v>
      </c>
      <c r="K29" s="37"/>
      <c r="L29" s="138">
        <v>0</v>
      </c>
      <c r="M29" s="138">
        <v>0</v>
      </c>
      <c r="N29" s="138">
        <v>0</v>
      </c>
      <c r="O29" s="138">
        <v>123076.2</v>
      </c>
      <c r="P29" s="138">
        <v>0</v>
      </c>
      <c r="Q29" s="138">
        <v>11250</v>
      </c>
      <c r="R29" s="138">
        <v>0</v>
      </c>
      <c r="S29" s="138">
        <v>0</v>
      </c>
      <c r="T29" s="138">
        <v>134326.20000000001</v>
      </c>
    </row>
    <row r="30" spans="1:20">
      <c r="A30" s="39">
        <v>26</v>
      </c>
      <c r="B30" s="144" t="s">
        <v>190</v>
      </c>
      <c r="C30" s="145"/>
      <c r="D30" s="141">
        <v>0</v>
      </c>
      <c r="E30" s="141">
        <v>0</v>
      </c>
      <c r="F30" s="141">
        <v>1893.48</v>
      </c>
      <c r="G30" s="137">
        <v>0</v>
      </c>
      <c r="H30" s="137">
        <v>75</v>
      </c>
      <c r="I30" s="36">
        <v>0</v>
      </c>
      <c r="J30" s="37">
        <v>0</v>
      </c>
      <c r="K30" s="37"/>
      <c r="L30" s="138">
        <v>0</v>
      </c>
      <c r="M30" s="138">
        <v>0</v>
      </c>
      <c r="N30" s="138">
        <v>0</v>
      </c>
      <c r="O30" s="138">
        <v>123076.2</v>
      </c>
      <c r="P30" s="138">
        <v>0</v>
      </c>
      <c r="Q30" s="138">
        <v>11250</v>
      </c>
      <c r="R30" s="138">
        <v>0</v>
      </c>
      <c r="S30" s="138">
        <v>0</v>
      </c>
      <c r="T30" s="138">
        <v>134326.20000000001</v>
      </c>
    </row>
    <row r="31" spans="1:20">
      <c r="A31" s="39">
        <v>27</v>
      </c>
      <c r="B31" s="144" t="s">
        <v>191</v>
      </c>
      <c r="C31" s="145"/>
      <c r="D31" s="141">
        <v>0</v>
      </c>
      <c r="E31" s="141">
        <v>0</v>
      </c>
      <c r="F31" s="141">
        <v>1893.48</v>
      </c>
      <c r="G31" s="137">
        <v>0</v>
      </c>
      <c r="H31" s="137">
        <v>75</v>
      </c>
      <c r="I31" s="36">
        <v>0</v>
      </c>
      <c r="J31" s="37">
        <v>0</v>
      </c>
      <c r="K31" s="37"/>
      <c r="L31" s="138">
        <v>0</v>
      </c>
      <c r="M31" s="138">
        <v>0</v>
      </c>
      <c r="N31" s="138">
        <v>0</v>
      </c>
      <c r="O31" s="138">
        <v>123076.2</v>
      </c>
      <c r="P31" s="138">
        <v>0</v>
      </c>
      <c r="Q31" s="138">
        <v>11250</v>
      </c>
      <c r="R31" s="138">
        <v>0</v>
      </c>
      <c r="S31" s="138">
        <v>0</v>
      </c>
      <c r="T31" s="138">
        <v>134326.20000000001</v>
      </c>
    </row>
    <row r="32" spans="1:20">
      <c r="A32" s="39">
        <v>28</v>
      </c>
      <c r="B32" s="144" t="s">
        <v>192</v>
      </c>
      <c r="C32" s="145"/>
      <c r="D32" s="141">
        <v>0</v>
      </c>
      <c r="E32" s="141">
        <v>0</v>
      </c>
      <c r="F32" s="141">
        <v>1893.48</v>
      </c>
      <c r="G32" s="137">
        <v>0</v>
      </c>
      <c r="H32" s="137">
        <v>75</v>
      </c>
      <c r="I32" s="36">
        <v>0</v>
      </c>
      <c r="J32" s="37">
        <v>0</v>
      </c>
      <c r="K32" s="37"/>
      <c r="L32" s="138">
        <v>0</v>
      </c>
      <c r="M32" s="138">
        <v>0</v>
      </c>
      <c r="N32" s="138">
        <v>0</v>
      </c>
      <c r="O32" s="138">
        <v>123076.2</v>
      </c>
      <c r="P32" s="138">
        <v>0</v>
      </c>
      <c r="Q32" s="138">
        <v>11250</v>
      </c>
      <c r="R32" s="138">
        <v>0</v>
      </c>
      <c r="S32" s="138">
        <v>0</v>
      </c>
      <c r="T32" s="138">
        <v>134326.20000000001</v>
      </c>
    </row>
    <row r="33" spans="1:20">
      <c r="A33" s="39">
        <v>29</v>
      </c>
      <c r="B33" s="144" t="s">
        <v>193</v>
      </c>
      <c r="C33" s="145"/>
      <c r="D33" s="141">
        <v>0</v>
      </c>
      <c r="E33" s="141">
        <v>0</v>
      </c>
      <c r="F33" s="141">
        <v>1893.48</v>
      </c>
      <c r="G33" s="137">
        <v>0</v>
      </c>
      <c r="H33" s="137">
        <v>75</v>
      </c>
      <c r="I33" s="36">
        <v>0</v>
      </c>
      <c r="J33" s="37">
        <v>0</v>
      </c>
      <c r="K33" s="37"/>
      <c r="L33" s="138">
        <v>0</v>
      </c>
      <c r="M33" s="138">
        <v>0</v>
      </c>
      <c r="N33" s="138">
        <v>0</v>
      </c>
      <c r="O33" s="138">
        <v>123076.2</v>
      </c>
      <c r="P33" s="138">
        <v>0</v>
      </c>
      <c r="Q33" s="138">
        <v>11250</v>
      </c>
      <c r="R33" s="138">
        <v>0</v>
      </c>
      <c r="S33" s="138">
        <v>0</v>
      </c>
      <c r="T33" s="138">
        <v>134326.20000000001</v>
      </c>
    </row>
    <row r="34" spans="1:20">
      <c r="A34" s="39">
        <v>30</v>
      </c>
      <c r="B34" s="144" t="s">
        <v>194</v>
      </c>
      <c r="C34" s="145"/>
      <c r="D34" s="141">
        <v>0</v>
      </c>
      <c r="E34" s="141">
        <v>0</v>
      </c>
      <c r="F34" s="141">
        <v>1893.48</v>
      </c>
      <c r="G34" s="137">
        <v>0</v>
      </c>
      <c r="H34" s="137">
        <v>75</v>
      </c>
      <c r="I34" s="36">
        <v>0</v>
      </c>
      <c r="J34" s="37">
        <v>0</v>
      </c>
      <c r="K34" s="37"/>
      <c r="L34" s="138">
        <v>0</v>
      </c>
      <c r="M34" s="138">
        <v>0</v>
      </c>
      <c r="N34" s="138">
        <v>0</v>
      </c>
      <c r="O34" s="138">
        <v>123076.2</v>
      </c>
      <c r="P34" s="138">
        <v>0</v>
      </c>
      <c r="Q34" s="138">
        <v>11250</v>
      </c>
      <c r="R34" s="138">
        <v>0</v>
      </c>
      <c r="S34" s="138">
        <v>0</v>
      </c>
      <c r="T34" s="138">
        <v>134326.20000000001</v>
      </c>
    </row>
    <row r="35" spans="1:20">
      <c r="A35" s="39">
        <v>31</v>
      </c>
      <c r="B35" s="144"/>
      <c r="C35" s="145"/>
      <c r="D35" s="141">
        <v>0</v>
      </c>
      <c r="E35" s="141">
        <v>0</v>
      </c>
      <c r="F35" s="141">
        <v>0</v>
      </c>
      <c r="G35" s="137">
        <v>0</v>
      </c>
      <c r="H35" s="137">
        <v>0</v>
      </c>
      <c r="I35" s="36">
        <v>0</v>
      </c>
      <c r="J35" s="37">
        <v>0</v>
      </c>
      <c r="K35" s="37"/>
      <c r="L35" s="138">
        <v>0</v>
      </c>
      <c r="M35" s="138">
        <v>0</v>
      </c>
      <c r="N35" s="138">
        <v>0</v>
      </c>
      <c r="O35" s="138">
        <v>0</v>
      </c>
      <c r="P35" s="138">
        <v>0</v>
      </c>
      <c r="Q35" s="138">
        <v>0</v>
      </c>
      <c r="R35" s="138">
        <v>0</v>
      </c>
      <c r="S35" s="138">
        <v>0</v>
      </c>
      <c r="T35" s="138">
        <v>0</v>
      </c>
    </row>
    <row r="36" spans="1:20">
      <c r="D36" s="43">
        <v>0</v>
      </c>
      <c r="E36" s="43">
        <v>69.457999999999998</v>
      </c>
      <c r="F36" s="43">
        <v>57485.301000000043</v>
      </c>
      <c r="G36" s="43">
        <v>0</v>
      </c>
      <c r="H36" s="43">
        <v>2180.5419999999999</v>
      </c>
      <c r="I36" s="43">
        <v>0</v>
      </c>
      <c r="J36" s="44">
        <v>0</v>
      </c>
      <c r="K36" s="44">
        <v>0</v>
      </c>
      <c r="L36" s="139">
        <v>0</v>
      </c>
      <c r="M36" s="139">
        <v>0</v>
      </c>
      <c r="N36" s="139">
        <v>10418.700000000001</v>
      </c>
      <c r="O36" s="139">
        <v>3736544.57</v>
      </c>
      <c r="P36" s="139">
        <v>0</v>
      </c>
      <c r="Q36" s="139">
        <v>327081.3</v>
      </c>
      <c r="R36" s="139">
        <v>0</v>
      </c>
      <c r="S36" s="139">
        <v>0</v>
      </c>
      <c r="T36" s="139">
        <v>4074044.57</v>
      </c>
    </row>
    <row r="37" spans="1:20">
      <c r="R37" s="46"/>
      <c r="S37" s="46"/>
      <c r="T37" s="140">
        <v>4970334.37</v>
      </c>
    </row>
  </sheetData>
  <mergeCells count="50"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B8:C8"/>
    <mergeCell ref="B9:C9"/>
    <mergeCell ref="B10:C10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E8276-27C9-49F2-82BC-FB5C323CA71B}">
  <dimension ref="A1:A18"/>
  <sheetViews>
    <sheetView workbookViewId="0">
      <selection activeCell="D31" sqref="D31"/>
    </sheetView>
  </sheetViews>
  <sheetFormatPr defaultRowHeight="15"/>
  <cols>
    <col min="1" max="1" width="14.140625" style="28" customWidth="1"/>
    <col min="2" max="16384" width="9.140625" style="28"/>
  </cols>
  <sheetData>
    <row r="1" spans="1:1">
      <c r="A1" s="143">
        <v>46023</v>
      </c>
    </row>
    <row r="2" spans="1:1">
      <c r="A2" s="143">
        <v>46024</v>
      </c>
    </row>
    <row r="3" spans="1:1">
      <c r="A3" s="143">
        <v>46025</v>
      </c>
    </row>
    <row r="4" spans="1:1">
      <c r="A4" s="143">
        <v>46026</v>
      </c>
    </row>
    <row r="5" spans="1:1">
      <c r="A5" s="143">
        <v>46027</v>
      </c>
    </row>
    <row r="6" spans="1:1">
      <c r="A6" s="143">
        <v>46028</v>
      </c>
    </row>
    <row r="7" spans="1:1">
      <c r="A7" s="143">
        <v>46029</v>
      </c>
    </row>
    <row r="8" spans="1:1">
      <c r="A8" s="143">
        <v>46030</v>
      </c>
    </row>
    <row r="9" spans="1:1">
      <c r="A9" s="143">
        <v>46031</v>
      </c>
    </row>
    <row r="10" spans="1:1">
      <c r="A10" s="143">
        <v>46032</v>
      </c>
    </row>
    <row r="11" spans="1:1">
      <c r="A11" s="143">
        <v>46033</v>
      </c>
    </row>
    <row r="12" spans="1:1">
      <c r="A12" s="143">
        <v>46076</v>
      </c>
    </row>
    <row r="13" spans="1:1">
      <c r="A13" s="143">
        <v>46090</v>
      </c>
    </row>
    <row r="14" spans="1:1">
      <c r="A14" s="143">
        <v>46143</v>
      </c>
    </row>
    <row r="15" spans="1:1">
      <c r="A15" s="143">
        <v>46153</v>
      </c>
    </row>
    <row r="16" spans="1:1">
      <c r="A16" s="143">
        <v>46185</v>
      </c>
    </row>
    <row r="17" spans="1:1">
      <c r="A17" s="143">
        <v>46330</v>
      </c>
    </row>
    <row r="18" spans="1:1">
      <c r="A18" s="143">
        <v>46387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43</vt:i4>
      </vt:variant>
    </vt:vector>
  </HeadingPairs>
  <TitlesOfParts>
    <vt:vector size="43" baseType="lpstr">
      <vt:lpstr>Лист1</vt:lpstr>
      <vt:lpstr>Биаксплен Новосибирск</vt:lpstr>
      <vt:lpstr>ИТОГО</vt:lpstr>
      <vt:lpstr>Другое</vt:lpstr>
      <vt:lpstr>Нижнекамск завод</vt:lpstr>
      <vt:lpstr>Сводка</vt:lpstr>
      <vt:lpstr>Нижнекамск экспорт</vt:lpstr>
      <vt:lpstr>Зеленодольск экспорт</vt:lpstr>
      <vt:lpstr>Литейные решения</vt:lpstr>
      <vt:lpstr>ЛС-Техномет</vt:lpstr>
      <vt:lpstr>Сандекс</vt:lpstr>
      <vt:lpstr>СтройТех</vt:lpstr>
      <vt:lpstr>Ергарда</vt:lpstr>
      <vt:lpstr>Оникс Нижнекамск</vt:lpstr>
      <vt:lpstr>Зеленодольск Доп услуги</vt:lpstr>
      <vt:lpstr>Казань_Приволжская экспорт</vt:lpstr>
      <vt:lpstr>Казань_Автосервисная экспорт</vt:lpstr>
      <vt:lpstr>Екатеринбург экспорт</vt:lpstr>
      <vt:lpstr>Баумана KPI</vt:lpstr>
      <vt:lpstr>Баумана Полимеры</vt:lpstr>
      <vt:lpstr>Баумана Полиом</vt:lpstr>
      <vt:lpstr>Екатеринбург KPI</vt:lpstr>
      <vt:lpstr>Екатеринбург НПЭГ</vt:lpstr>
      <vt:lpstr>Екатеринбург Полимеры</vt:lpstr>
      <vt:lpstr>Екатеринбург Полиом</vt:lpstr>
      <vt:lpstr>Зеленодольск KPI</vt:lpstr>
      <vt:lpstr>Зеленодольск Данафлекс</vt:lpstr>
      <vt:lpstr>Зеленодольск Полимеры</vt:lpstr>
      <vt:lpstr>Казань_Автосервисная Полимеры</vt:lpstr>
      <vt:lpstr>Казань_Автосервисная Полиом</vt:lpstr>
      <vt:lpstr>Казань_Приволжская Полимеры</vt:lpstr>
      <vt:lpstr>Нижнекамск НПЭГ</vt:lpstr>
      <vt:lpstr>Нижнекамск ПСОН НПЭГ</vt:lpstr>
      <vt:lpstr>Нижнекамск ПСОН</vt:lpstr>
      <vt:lpstr>Новикова-Прибоя KPI</vt:lpstr>
      <vt:lpstr>Новикова-Прибоя Полимеры</vt:lpstr>
      <vt:lpstr>Новикова-Прибоя Полиом</vt:lpstr>
      <vt:lpstr>Новосибирск KPI</vt:lpstr>
      <vt:lpstr>Новосибирск Полимеры</vt:lpstr>
      <vt:lpstr>Новосибирск Полиом</vt:lpstr>
      <vt:lpstr>Новосибирск Порошок</vt:lpstr>
      <vt:lpstr>Новосибирск_Пасечная Порошок</vt:lpstr>
      <vt:lpstr>Праздники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2026-05-12T12:35:26Z</dcterms:created>
  <dcterms:modified xsi:type="dcterms:W3CDTF">2026-06-10T17:28:55Z</dcterms:modified>
</cp:coreProperties>
</file>
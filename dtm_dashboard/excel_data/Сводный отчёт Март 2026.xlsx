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user\WebstormProjects\dtm\dtm_dashboard\excel_data\"/>
    </mc:Choice>
  </mc:AlternateContent>
  <xr:revisionPtr revIDLastSave="0" documentId="8_{AE4323F6-C5C1-44CB-87C6-D6ECB8667288}" xr6:coauthVersionLast="47" xr6:coauthVersionMax="47" xr10:uidLastSave="{00000000-0000-0000-0000-000000000000}"/>
  <bookViews>
    <workbookView xWindow="-120" yWindow="-120" windowWidth="29040" windowHeight="15840" firstSheet="2" activeTab="2" xr2:uid="{FC010A27-ACB7-4C1B-A004-1821D97CECA3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Сводка" sheetId="6" r:id="rId6"/>
    <sheet name="Резерв" sheetId="8" r:id="rId7"/>
    <sheet name="РВ Баумана" sheetId="9" r:id="rId8"/>
    <sheet name="РВ Березовая Пойма" sheetId="11" r:id="rId9"/>
    <sheet name="РВ Новикова-Прибоя" sheetId="12" r:id="rId10"/>
    <sheet name="Нижнекамск экспорт" sheetId="17" r:id="rId11"/>
    <sheet name="Зеленодольск экспорт" sheetId="18" r:id="rId12"/>
    <sheet name="Литейные решения" sheetId="19" r:id="rId13"/>
    <sheet name="ЛС-Техномет" sheetId="20" r:id="rId14"/>
    <sheet name="Сандекс" sheetId="21" r:id="rId15"/>
    <sheet name="СтройТех" sheetId="22" r:id="rId16"/>
    <sheet name="Ергарда" sheetId="23" r:id="rId17"/>
    <sheet name="Оникс Нижнекамск" sheetId="24" r:id="rId18"/>
    <sheet name="Зеленодольск Доп услуги" sheetId="25" r:id="rId19"/>
    <sheet name="Казань_Приволжская экспорт" sheetId="26" r:id="rId20"/>
    <sheet name="Казань_Автосервисная экспорт" sheetId="27" r:id="rId21"/>
    <sheet name="Казань_Приволжская Доп услуги" sheetId="28" r:id="rId22"/>
    <sheet name="Екатеринбург экспорт" sheetId="29" r:id="rId23"/>
    <sheet name="Баумана KPI" sheetId="30" r:id="rId24"/>
    <sheet name="Баумана Полимеры" sheetId="31" r:id="rId25"/>
    <sheet name="Баумана Полиом" sheetId="32" r:id="rId26"/>
    <sheet name="Лист1 (2)" sheetId="33" r:id="rId27"/>
    <sheet name="Лист1 (3)" sheetId="34" r:id="rId28"/>
    <sheet name="Лист1 (4)" sheetId="35" r:id="rId29"/>
    <sheet name="Лист1 (5)" sheetId="36" r:id="rId30"/>
    <sheet name="Екатеринбург KPI" sheetId="37" r:id="rId31"/>
    <sheet name="Екатеринбург Полимеры" sheetId="38" r:id="rId32"/>
    <sheet name="Екатеринбург Полиом" sheetId="39" r:id="rId33"/>
    <sheet name="Екатеринбург НПЭГ" sheetId="40" r:id="rId34"/>
    <sheet name="Зеленодольск KPI" sheetId="41" r:id="rId35"/>
    <sheet name="Зеленодольск Данафлекс" sheetId="42" r:id="rId36"/>
    <sheet name="Зеленодольск Полимеры" sheetId="43" r:id="rId37"/>
    <sheet name="Казань_Автосервисная Полимеры" sheetId="44" r:id="rId38"/>
    <sheet name="Казань_Автосервисная Полиом" sheetId="45" r:id="rId39"/>
    <sheet name="Казань_Приволжская Полимеры" sheetId="46" r:id="rId40"/>
    <sheet name="Нижнекамск НПЭГ" sheetId="47" r:id="rId41"/>
    <sheet name="Нижнекамск ПСОН" sheetId="48" r:id="rId42"/>
    <sheet name="Новикова-Прибоя KPI" sheetId="49" r:id="rId43"/>
    <sheet name="Новикова-Прибоя Полимеры" sheetId="50" r:id="rId44"/>
    <sheet name="Новикова-Прибоя Полиом" sheetId="51" r:id="rId45"/>
    <sheet name="Новосибирск KPI" sheetId="52" r:id="rId46"/>
    <sheet name="Новосибирск Полимеры" sheetId="53" r:id="rId47"/>
    <sheet name="Новосибирск Полиом" sheetId="54" r:id="rId48"/>
    <sheet name="Новосибирск Порошок" sheetId="55" r:id="rId49"/>
    <sheet name="Новосибирск_Пасечная Порошок" sheetId="56" r:id="rId50"/>
    <sheet name="Праздники (2)" sheetId="57" r:id="rId51"/>
    <sheet name="Праздники" sheetId="16" state="hidden" r:id="rId52"/>
    <sheet name="АВР Березовая Пойма" sheetId="15" state="hidden" r:id="rId53"/>
    <sheet name="АВР Новикова" sheetId="14" state="hidden" r:id="rId54"/>
    <sheet name="АВР Баумана" sheetId="13" state="hidden" r:id="rId55"/>
    <sheet name="Окская Мешки" sheetId="10" state="hidden" r:id="rId56"/>
    <sheet name="Общее и резерв" sheetId="7" state="hidden" r:id="rId57"/>
  </sheets>
  <externalReferences>
    <externalReference r:id="rId58"/>
    <externalReference r:id="rId59"/>
    <externalReference r:id="rId60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9" l="1"/>
  <c r="F11" i="29"/>
  <c r="G11" i="29" s="1"/>
  <c r="F10" i="29"/>
  <c r="G10" i="29" s="1"/>
  <c r="G12" i="29" s="1"/>
  <c r="A7" i="29"/>
  <c r="A4" i="29"/>
  <c r="A3" i="29"/>
  <c r="F12" i="29" l="1"/>
  <c r="F11" i="28" l="1"/>
  <c r="D10" i="28"/>
  <c r="F10" i="28" s="1"/>
  <c r="F9" i="28"/>
  <c r="F12" i="28" s="1"/>
  <c r="F13" i="28" s="1"/>
  <c r="F14" i="28" s="1"/>
  <c r="A6" i="28"/>
  <c r="A3" i="28"/>
  <c r="A2" i="28"/>
  <c r="B14" i="27" l="1"/>
  <c r="F11" i="27"/>
  <c r="G11" i="27" s="1"/>
  <c r="F10" i="27"/>
  <c r="F12" i="27" s="1"/>
  <c r="A7" i="27"/>
  <c r="A4" i="27"/>
  <c r="A3" i="27"/>
  <c r="G10" i="27" l="1"/>
  <c r="G12" i="27" s="1"/>
  <c r="B14" i="26"/>
  <c r="F11" i="26"/>
  <c r="G11" i="26" s="1"/>
  <c r="F10" i="26"/>
  <c r="G10" i="26" s="1"/>
  <c r="G12" i="26" s="1"/>
  <c r="A7" i="26"/>
  <c r="A4" i="26"/>
  <c r="A3" i="26"/>
  <c r="F12" i="26" l="1"/>
  <c r="F11" i="25" l="1"/>
  <c r="F10" i="25"/>
  <c r="D10" i="25"/>
  <c r="F9" i="25"/>
  <c r="F12" i="25" s="1"/>
  <c r="F13" i="25" s="1"/>
  <c r="F14" i="25" s="1"/>
  <c r="A6" i="25"/>
  <c r="A3" i="25"/>
  <c r="A2" i="25"/>
  <c r="H36" i="24" l="1"/>
  <c r="G36" i="24"/>
  <c r="E36" i="24"/>
  <c r="D36" i="24"/>
  <c r="M35" i="24"/>
  <c r="L35" i="24"/>
  <c r="J35" i="24"/>
  <c r="I35" i="24"/>
  <c r="F35" i="24"/>
  <c r="K35" i="24" s="1"/>
  <c r="M34" i="24"/>
  <c r="L34" i="24"/>
  <c r="K34" i="24"/>
  <c r="J34" i="24"/>
  <c r="I34" i="24"/>
  <c r="N34" i="24" s="1"/>
  <c r="M33" i="24"/>
  <c r="L33" i="24"/>
  <c r="J33" i="24"/>
  <c r="I33" i="24"/>
  <c r="M32" i="24"/>
  <c r="L32" i="24"/>
  <c r="J32" i="24"/>
  <c r="I32" i="24"/>
  <c r="M31" i="24"/>
  <c r="L31" i="24"/>
  <c r="J31" i="24"/>
  <c r="I31" i="24"/>
  <c r="M30" i="24"/>
  <c r="L30" i="24"/>
  <c r="J30" i="24"/>
  <c r="I30" i="24"/>
  <c r="M29" i="24"/>
  <c r="L29" i="24"/>
  <c r="J29" i="24"/>
  <c r="I29" i="24"/>
  <c r="M28" i="24"/>
  <c r="L28" i="24"/>
  <c r="J28" i="24"/>
  <c r="I28" i="24"/>
  <c r="M27" i="24"/>
  <c r="L27" i="24"/>
  <c r="J27" i="24"/>
  <c r="I27" i="24"/>
  <c r="M26" i="24"/>
  <c r="L26" i="24"/>
  <c r="J26" i="24"/>
  <c r="I26" i="24"/>
  <c r="M25" i="24"/>
  <c r="L25" i="24"/>
  <c r="J25" i="24"/>
  <c r="I25" i="24"/>
  <c r="M24" i="24"/>
  <c r="L24" i="24"/>
  <c r="J24" i="24"/>
  <c r="I24" i="24"/>
  <c r="M23" i="24"/>
  <c r="L23" i="24"/>
  <c r="J23" i="24"/>
  <c r="I23" i="24"/>
  <c r="M22" i="24"/>
  <c r="L22" i="24"/>
  <c r="J22" i="24"/>
  <c r="I22" i="24"/>
  <c r="M21" i="24"/>
  <c r="L21" i="24"/>
  <c r="J21" i="24"/>
  <c r="I21" i="24"/>
  <c r="M20" i="24"/>
  <c r="L20" i="24"/>
  <c r="J20" i="24"/>
  <c r="I20" i="24"/>
  <c r="M19" i="24"/>
  <c r="L19" i="24"/>
  <c r="J19" i="24"/>
  <c r="I19" i="24"/>
  <c r="M18" i="24"/>
  <c r="L18" i="24"/>
  <c r="J18" i="24"/>
  <c r="I18" i="24"/>
  <c r="M17" i="24"/>
  <c r="L17" i="24"/>
  <c r="J17" i="24"/>
  <c r="I17" i="24"/>
  <c r="M16" i="24"/>
  <c r="L16" i="24"/>
  <c r="J16" i="24"/>
  <c r="I16" i="24"/>
  <c r="M15" i="24"/>
  <c r="L15" i="24"/>
  <c r="J15" i="24"/>
  <c r="I15" i="24"/>
  <c r="M14" i="24"/>
  <c r="L14" i="24"/>
  <c r="J14" i="24"/>
  <c r="I14" i="24"/>
  <c r="M13" i="24"/>
  <c r="L13" i="24"/>
  <c r="J13" i="24"/>
  <c r="I13" i="24"/>
  <c r="M12" i="24"/>
  <c r="L12" i="24"/>
  <c r="J12" i="24"/>
  <c r="I12" i="24"/>
  <c r="M11" i="24"/>
  <c r="L11" i="24"/>
  <c r="J11" i="24"/>
  <c r="I11" i="24"/>
  <c r="M10" i="24"/>
  <c r="L10" i="24"/>
  <c r="J10" i="24"/>
  <c r="I10" i="24"/>
  <c r="M9" i="24"/>
  <c r="M36" i="24" s="1"/>
  <c r="L9" i="24"/>
  <c r="J9" i="24"/>
  <c r="I9" i="24"/>
  <c r="M8" i="24"/>
  <c r="L8" i="24"/>
  <c r="J8" i="24"/>
  <c r="I8" i="24"/>
  <c r="M7" i="24"/>
  <c r="L7" i="24"/>
  <c r="J7" i="24"/>
  <c r="I7" i="24"/>
  <c r="M6" i="24"/>
  <c r="L6" i="24"/>
  <c r="K6" i="24"/>
  <c r="J6" i="24"/>
  <c r="I6" i="24"/>
  <c r="N6" i="24" s="1"/>
  <c r="F6" i="24"/>
  <c r="F7" i="24" s="1"/>
  <c r="M5" i="24"/>
  <c r="L5" i="24"/>
  <c r="L36" i="24" s="1"/>
  <c r="K5" i="24"/>
  <c r="J5" i="24"/>
  <c r="J36" i="24" s="1"/>
  <c r="I5" i="24"/>
  <c r="I36" i="24" s="1"/>
  <c r="A2" i="24"/>
  <c r="F8" i="24" l="1"/>
  <c r="K7" i="24"/>
  <c r="N7" i="24" s="1"/>
  <c r="N35" i="24"/>
  <c r="N5" i="24"/>
  <c r="F9" i="24" l="1"/>
  <c r="K8" i="24"/>
  <c r="N8" i="24" s="1"/>
  <c r="K9" i="24" l="1"/>
  <c r="N9" i="24" s="1"/>
  <c r="F10" i="24"/>
  <c r="F11" i="24" l="1"/>
  <c r="K10" i="24"/>
  <c r="F12" i="24" l="1"/>
  <c r="K11" i="24"/>
  <c r="N11" i="24" s="1"/>
  <c r="N10" i="24"/>
  <c r="F13" i="24" l="1"/>
  <c r="K12" i="24"/>
  <c r="N12" i="24" s="1"/>
  <c r="F14" i="24" l="1"/>
  <c r="K13" i="24"/>
  <c r="N13" i="24" s="1"/>
  <c r="K14" i="24" l="1"/>
  <c r="N14" i="24" s="1"/>
  <c r="F15" i="24"/>
  <c r="F16" i="24" l="1"/>
  <c r="K15" i="24"/>
  <c r="N15" i="24" s="1"/>
  <c r="K16" i="24" l="1"/>
  <c r="N16" i="24" s="1"/>
  <c r="F17" i="24"/>
  <c r="F18" i="24" l="1"/>
  <c r="K17" i="24"/>
  <c r="N17" i="24" s="1"/>
  <c r="K18" i="24" l="1"/>
  <c r="N18" i="24" s="1"/>
  <c r="F19" i="24"/>
  <c r="F20" i="24" l="1"/>
  <c r="K19" i="24"/>
  <c r="N19" i="24" s="1"/>
  <c r="F21" i="24" l="1"/>
  <c r="K20" i="24"/>
  <c r="N20" i="24" s="1"/>
  <c r="K21" i="24" l="1"/>
  <c r="N21" i="24" s="1"/>
  <c r="F22" i="24"/>
  <c r="F23" i="24" l="1"/>
  <c r="K22" i="24"/>
  <c r="N22" i="24" s="1"/>
  <c r="F24" i="24" l="1"/>
  <c r="K23" i="24"/>
  <c r="N23" i="24" s="1"/>
  <c r="F25" i="24" l="1"/>
  <c r="K24" i="24"/>
  <c r="N24" i="24" s="1"/>
  <c r="F26" i="24" l="1"/>
  <c r="K25" i="24"/>
  <c r="N25" i="24" s="1"/>
  <c r="F27" i="24" l="1"/>
  <c r="K26" i="24"/>
  <c r="N26" i="24" s="1"/>
  <c r="F28" i="24" l="1"/>
  <c r="K27" i="24"/>
  <c r="N27" i="24" s="1"/>
  <c r="F29" i="24" l="1"/>
  <c r="K28" i="24"/>
  <c r="N28" i="24" s="1"/>
  <c r="F30" i="24" l="1"/>
  <c r="K29" i="24"/>
  <c r="N29" i="24" s="1"/>
  <c r="K30" i="24" l="1"/>
  <c r="N30" i="24" s="1"/>
  <c r="F31" i="24"/>
  <c r="K31" i="24" l="1"/>
  <c r="N31" i="24" s="1"/>
  <c r="F32" i="24"/>
  <c r="K32" i="24" l="1"/>
  <c r="N32" i="24" s="1"/>
  <c r="F33" i="24"/>
  <c r="K33" i="24" l="1"/>
  <c r="F36" i="24"/>
  <c r="N33" i="24" l="1"/>
  <c r="N36" i="24" s="1"/>
  <c r="N37" i="24" s="1"/>
  <c r="A1" i="24" s="1"/>
  <c r="K36" i="24"/>
  <c r="I34" i="23" l="1"/>
  <c r="H34" i="23"/>
  <c r="G34" i="23"/>
  <c r="J34" i="23" s="1"/>
  <c r="I33" i="23"/>
  <c r="H33" i="23"/>
  <c r="G33" i="23"/>
  <c r="J33" i="23" s="1"/>
  <c r="I32" i="23"/>
  <c r="H32" i="23"/>
  <c r="G32" i="23"/>
  <c r="J32" i="23" s="1"/>
  <c r="I31" i="23"/>
  <c r="H31" i="23"/>
  <c r="G31" i="23"/>
  <c r="J31" i="23" s="1"/>
  <c r="I30" i="23"/>
  <c r="H30" i="23"/>
  <c r="G30" i="23"/>
  <c r="J30" i="23" s="1"/>
  <c r="I29" i="23"/>
  <c r="H29" i="23"/>
  <c r="G29" i="23"/>
  <c r="J29" i="23" s="1"/>
  <c r="I28" i="23"/>
  <c r="H28" i="23"/>
  <c r="G28" i="23"/>
  <c r="J28" i="23" s="1"/>
  <c r="I27" i="23"/>
  <c r="H27" i="23"/>
  <c r="G27" i="23"/>
  <c r="J27" i="23" s="1"/>
  <c r="I26" i="23"/>
  <c r="H26" i="23"/>
  <c r="G26" i="23"/>
  <c r="J26" i="23" s="1"/>
  <c r="I25" i="23"/>
  <c r="H25" i="23"/>
  <c r="G25" i="23"/>
  <c r="J25" i="23" s="1"/>
  <c r="I24" i="23"/>
  <c r="H24" i="23"/>
  <c r="G24" i="23"/>
  <c r="J24" i="23" s="1"/>
  <c r="I23" i="23"/>
  <c r="H23" i="23"/>
  <c r="G23" i="23"/>
  <c r="J23" i="23" s="1"/>
  <c r="I22" i="23"/>
  <c r="H22" i="23"/>
  <c r="G22" i="23"/>
  <c r="J22" i="23" s="1"/>
  <c r="I21" i="23"/>
  <c r="H21" i="23"/>
  <c r="G21" i="23"/>
  <c r="J21" i="23" s="1"/>
  <c r="I20" i="23"/>
  <c r="H20" i="23"/>
  <c r="G20" i="23"/>
  <c r="J20" i="23" s="1"/>
  <c r="I19" i="23"/>
  <c r="H19" i="23"/>
  <c r="G19" i="23"/>
  <c r="J19" i="23" s="1"/>
  <c r="I18" i="23"/>
  <c r="H18" i="23"/>
  <c r="G18" i="23"/>
  <c r="J18" i="23" s="1"/>
  <c r="I17" i="23"/>
  <c r="H17" i="23"/>
  <c r="G17" i="23"/>
  <c r="J17" i="23" s="1"/>
  <c r="I16" i="23"/>
  <c r="H16" i="23"/>
  <c r="G16" i="23"/>
  <c r="J16" i="23" s="1"/>
  <c r="I15" i="23"/>
  <c r="H15" i="23"/>
  <c r="G15" i="23"/>
  <c r="J15" i="23" s="1"/>
  <c r="I14" i="23"/>
  <c r="H14" i="23"/>
  <c r="G14" i="23"/>
  <c r="J14" i="23" s="1"/>
  <c r="I13" i="23"/>
  <c r="H13" i="23"/>
  <c r="G13" i="23"/>
  <c r="J13" i="23" s="1"/>
  <c r="I12" i="23"/>
  <c r="H12" i="23"/>
  <c r="G12" i="23"/>
  <c r="J12" i="23" s="1"/>
  <c r="I11" i="23"/>
  <c r="H11" i="23"/>
  <c r="G11" i="23"/>
  <c r="J11" i="23" s="1"/>
  <c r="I10" i="23"/>
  <c r="H10" i="23"/>
  <c r="G10" i="23"/>
  <c r="J10" i="23" s="1"/>
  <c r="I9" i="23"/>
  <c r="H9" i="23"/>
  <c r="G9" i="23"/>
  <c r="J9" i="23" s="1"/>
  <c r="I8" i="23"/>
  <c r="H8" i="23"/>
  <c r="G8" i="23"/>
  <c r="J8" i="23" s="1"/>
  <c r="I7" i="23"/>
  <c r="H7" i="23"/>
  <c r="G7" i="23"/>
  <c r="J7" i="23" s="1"/>
  <c r="I6" i="23"/>
  <c r="H6" i="23"/>
  <c r="G6" i="23"/>
  <c r="J6" i="23" s="1"/>
  <c r="I5" i="23"/>
  <c r="H5" i="23"/>
  <c r="G5" i="23"/>
  <c r="J5" i="23" s="1"/>
  <c r="I4" i="23"/>
  <c r="I35" i="23" s="1"/>
  <c r="H4" i="23"/>
  <c r="H35" i="23" s="1"/>
  <c r="G4" i="23"/>
  <c r="G35" i="23" s="1"/>
  <c r="G36" i="22"/>
  <c r="K35" i="22"/>
  <c r="J35" i="22"/>
  <c r="I35" i="22"/>
  <c r="H35" i="22"/>
  <c r="J34" i="22"/>
  <c r="I34" i="22"/>
  <c r="H34" i="22"/>
  <c r="K34" i="22" s="1"/>
  <c r="J33" i="22"/>
  <c r="I33" i="22"/>
  <c r="K33" i="22" s="1"/>
  <c r="H33" i="22"/>
  <c r="J32" i="22"/>
  <c r="I32" i="22"/>
  <c r="H32" i="22"/>
  <c r="K32" i="22" s="1"/>
  <c r="K31" i="22"/>
  <c r="J31" i="22"/>
  <c r="I31" i="22"/>
  <c r="H31" i="22"/>
  <c r="J30" i="22"/>
  <c r="I30" i="22"/>
  <c r="H30" i="22"/>
  <c r="K30" i="22" s="1"/>
  <c r="J29" i="22"/>
  <c r="I29" i="22"/>
  <c r="K29" i="22" s="1"/>
  <c r="H29" i="22"/>
  <c r="J28" i="22"/>
  <c r="I28" i="22"/>
  <c r="H28" i="22"/>
  <c r="K28" i="22" s="1"/>
  <c r="K27" i="22"/>
  <c r="J27" i="22"/>
  <c r="I27" i="22"/>
  <c r="H27" i="22"/>
  <c r="J26" i="22"/>
  <c r="I26" i="22"/>
  <c r="H26" i="22"/>
  <c r="K26" i="22" s="1"/>
  <c r="J25" i="22"/>
  <c r="I25" i="22"/>
  <c r="K25" i="22" s="1"/>
  <c r="H25" i="22"/>
  <c r="J24" i="22"/>
  <c r="I24" i="22"/>
  <c r="H24" i="22"/>
  <c r="K24" i="22" s="1"/>
  <c r="K23" i="22"/>
  <c r="J23" i="22"/>
  <c r="I23" i="22"/>
  <c r="H23" i="22"/>
  <c r="J22" i="22"/>
  <c r="I22" i="22"/>
  <c r="H22" i="22"/>
  <c r="K22" i="22" s="1"/>
  <c r="J21" i="22"/>
  <c r="I21" i="22"/>
  <c r="K21" i="22" s="1"/>
  <c r="H21" i="22"/>
  <c r="J20" i="22"/>
  <c r="I20" i="22"/>
  <c r="H20" i="22"/>
  <c r="K20" i="22" s="1"/>
  <c r="K19" i="22"/>
  <c r="J19" i="22"/>
  <c r="I19" i="22"/>
  <c r="H19" i="22"/>
  <c r="J18" i="22"/>
  <c r="I18" i="22"/>
  <c r="H18" i="22"/>
  <c r="K18" i="22" s="1"/>
  <c r="J17" i="22"/>
  <c r="I17" i="22"/>
  <c r="K17" i="22" s="1"/>
  <c r="H17" i="22"/>
  <c r="J16" i="22"/>
  <c r="I16" i="22"/>
  <c r="H16" i="22"/>
  <c r="K16" i="22" s="1"/>
  <c r="K15" i="22"/>
  <c r="J15" i="22"/>
  <c r="I15" i="22"/>
  <c r="H15" i="22"/>
  <c r="J14" i="22"/>
  <c r="I14" i="22"/>
  <c r="H14" i="22"/>
  <c r="K14" i="22" s="1"/>
  <c r="J13" i="22"/>
  <c r="I13" i="22"/>
  <c r="K13" i="22" s="1"/>
  <c r="H13" i="22"/>
  <c r="J12" i="22"/>
  <c r="I12" i="22"/>
  <c r="H12" i="22"/>
  <c r="K12" i="22" s="1"/>
  <c r="K11" i="22"/>
  <c r="J11" i="22"/>
  <c r="I11" i="22"/>
  <c r="H11" i="22"/>
  <c r="J10" i="22"/>
  <c r="I10" i="22"/>
  <c r="H10" i="22"/>
  <c r="K10" i="22" s="1"/>
  <c r="J9" i="22"/>
  <c r="I9" i="22"/>
  <c r="K9" i="22" s="1"/>
  <c r="H9" i="22"/>
  <c r="J8" i="22"/>
  <c r="I8" i="22"/>
  <c r="H8" i="22"/>
  <c r="K8" i="22" s="1"/>
  <c r="K7" i="22"/>
  <c r="J7" i="22"/>
  <c r="I7" i="22"/>
  <c r="H7" i="22"/>
  <c r="J6" i="22"/>
  <c r="I6" i="22"/>
  <c r="H6" i="22"/>
  <c r="K6" i="22" s="1"/>
  <c r="J5" i="22"/>
  <c r="J36" i="22" s="1"/>
  <c r="I5" i="22"/>
  <c r="I36" i="22" s="1"/>
  <c r="H5" i="22"/>
  <c r="H36" i="22" s="1"/>
  <c r="K38" i="21"/>
  <c r="J38" i="21"/>
  <c r="I38" i="21"/>
  <c r="H38" i="21"/>
  <c r="G38" i="21"/>
  <c r="F38" i="21"/>
  <c r="E38" i="21"/>
  <c r="D38" i="21"/>
  <c r="C38" i="21"/>
  <c r="R37" i="21"/>
  <c r="Q37" i="21"/>
  <c r="P37" i="21"/>
  <c r="O37" i="21"/>
  <c r="N37" i="21"/>
  <c r="M37" i="21"/>
  <c r="L37" i="21"/>
  <c r="S37" i="21" s="1"/>
  <c r="R36" i="21"/>
  <c r="Q36" i="21"/>
  <c r="P36" i="21"/>
  <c r="O36" i="21"/>
  <c r="N36" i="21"/>
  <c r="S36" i="21" s="1"/>
  <c r="M36" i="21"/>
  <c r="L36" i="21"/>
  <c r="R35" i="21"/>
  <c r="Q35" i="21"/>
  <c r="P35" i="21"/>
  <c r="O35" i="21"/>
  <c r="N35" i="21"/>
  <c r="M35" i="21"/>
  <c r="L35" i="21"/>
  <c r="S35" i="21" s="1"/>
  <c r="R34" i="21"/>
  <c r="Q34" i="21"/>
  <c r="P34" i="21"/>
  <c r="O34" i="21"/>
  <c r="N34" i="21"/>
  <c r="S34" i="21" s="1"/>
  <c r="M34" i="21"/>
  <c r="L34" i="21"/>
  <c r="R33" i="21"/>
  <c r="Q33" i="21"/>
  <c r="P33" i="21"/>
  <c r="O33" i="21"/>
  <c r="N33" i="21"/>
  <c r="M33" i="21"/>
  <c r="L33" i="21"/>
  <c r="S33" i="21" s="1"/>
  <c r="R32" i="21"/>
  <c r="Q32" i="21"/>
  <c r="P32" i="21"/>
  <c r="O32" i="21"/>
  <c r="N32" i="21"/>
  <c r="S32" i="21" s="1"/>
  <c r="M32" i="21"/>
  <c r="L32" i="21"/>
  <c r="R31" i="21"/>
  <c r="Q31" i="21"/>
  <c r="P31" i="21"/>
  <c r="O31" i="21"/>
  <c r="N31" i="21"/>
  <c r="M31" i="21"/>
  <c r="L31" i="21"/>
  <c r="S31" i="21" s="1"/>
  <c r="R30" i="21"/>
  <c r="Q30" i="21"/>
  <c r="P30" i="21"/>
  <c r="O30" i="21"/>
  <c r="N30" i="21"/>
  <c r="S30" i="21" s="1"/>
  <c r="M30" i="21"/>
  <c r="L30" i="21"/>
  <c r="R29" i="21"/>
  <c r="Q29" i="21"/>
  <c r="P29" i="21"/>
  <c r="O29" i="21"/>
  <c r="N29" i="21"/>
  <c r="M29" i="21"/>
  <c r="L29" i="21"/>
  <c r="S29" i="21" s="1"/>
  <c r="R28" i="21"/>
  <c r="Q28" i="21"/>
  <c r="P28" i="21"/>
  <c r="O28" i="21"/>
  <c r="N28" i="21"/>
  <c r="S28" i="21" s="1"/>
  <c r="M28" i="21"/>
  <c r="L28" i="21"/>
  <c r="R27" i="21"/>
  <c r="Q27" i="21"/>
  <c r="P27" i="21"/>
  <c r="O27" i="21"/>
  <c r="N27" i="21"/>
  <c r="M27" i="21"/>
  <c r="L27" i="21"/>
  <c r="S27" i="21" s="1"/>
  <c r="R26" i="21"/>
  <c r="Q26" i="21"/>
  <c r="P26" i="21"/>
  <c r="O26" i="21"/>
  <c r="N26" i="21"/>
  <c r="S26" i="21" s="1"/>
  <c r="M26" i="21"/>
  <c r="L26" i="21"/>
  <c r="R25" i="21"/>
  <c r="Q25" i="21"/>
  <c r="P25" i="21"/>
  <c r="O25" i="21"/>
  <c r="N25" i="21"/>
  <c r="M25" i="21"/>
  <c r="L25" i="21"/>
  <c r="S25" i="21" s="1"/>
  <c r="R24" i="21"/>
  <c r="Q24" i="21"/>
  <c r="P24" i="21"/>
  <c r="O24" i="21"/>
  <c r="N24" i="21"/>
  <c r="S24" i="21" s="1"/>
  <c r="M24" i="21"/>
  <c r="L24" i="21"/>
  <c r="R23" i="21"/>
  <c r="Q23" i="21"/>
  <c r="P23" i="21"/>
  <c r="O23" i="21"/>
  <c r="N23" i="21"/>
  <c r="M23" i="21"/>
  <c r="L23" i="21"/>
  <c r="S23" i="21" s="1"/>
  <c r="R22" i="21"/>
  <c r="Q22" i="21"/>
  <c r="P22" i="21"/>
  <c r="O22" i="21"/>
  <c r="N22" i="21"/>
  <c r="S22" i="21" s="1"/>
  <c r="M22" i="21"/>
  <c r="L22" i="21"/>
  <c r="R21" i="21"/>
  <c r="Q21" i="21"/>
  <c r="P21" i="21"/>
  <c r="O21" i="21"/>
  <c r="N21" i="21"/>
  <c r="M21" i="21"/>
  <c r="L21" i="21"/>
  <c r="S21" i="21" s="1"/>
  <c r="R20" i="21"/>
  <c r="Q20" i="21"/>
  <c r="P20" i="21"/>
  <c r="O20" i="21"/>
  <c r="N20" i="21"/>
  <c r="S20" i="21" s="1"/>
  <c r="M20" i="21"/>
  <c r="L20" i="21"/>
  <c r="R19" i="21"/>
  <c r="Q19" i="21"/>
  <c r="P19" i="21"/>
  <c r="O19" i="21"/>
  <c r="N19" i="21"/>
  <c r="M19" i="21"/>
  <c r="L19" i="21"/>
  <c r="S19" i="21" s="1"/>
  <c r="R18" i="21"/>
  <c r="Q18" i="21"/>
  <c r="P18" i="21"/>
  <c r="O18" i="21"/>
  <c r="N18" i="21"/>
  <c r="S18" i="21" s="1"/>
  <c r="M18" i="21"/>
  <c r="L18" i="21"/>
  <c r="R17" i="21"/>
  <c r="Q17" i="21"/>
  <c r="P17" i="21"/>
  <c r="O17" i="21"/>
  <c r="N17" i="21"/>
  <c r="M17" i="21"/>
  <c r="L17" i="21"/>
  <c r="S17" i="21" s="1"/>
  <c r="R16" i="21"/>
  <c r="Q16" i="21"/>
  <c r="P16" i="21"/>
  <c r="O16" i="21"/>
  <c r="N16" i="21"/>
  <c r="S16" i="21" s="1"/>
  <c r="M16" i="21"/>
  <c r="L16" i="21"/>
  <c r="R15" i="21"/>
  <c r="Q15" i="21"/>
  <c r="P15" i="21"/>
  <c r="O15" i="21"/>
  <c r="N15" i="21"/>
  <c r="M15" i="21"/>
  <c r="L15" i="21"/>
  <c r="S15" i="21" s="1"/>
  <c r="R14" i="21"/>
  <c r="Q14" i="21"/>
  <c r="P14" i="21"/>
  <c r="O14" i="21"/>
  <c r="N14" i="21"/>
  <c r="S14" i="21" s="1"/>
  <c r="M14" i="21"/>
  <c r="L14" i="21"/>
  <c r="R13" i="21"/>
  <c r="Q13" i="21"/>
  <c r="P13" i="21"/>
  <c r="O13" i="21"/>
  <c r="N13" i="21"/>
  <c r="M13" i="21"/>
  <c r="L13" i="21"/>
  <c r="S13" i="21" s="1"/>
  <c r="R12" i="21"/>
  <c r="Q12" i="21"/>
  <c r="P12" i="21"/>
  <c r="O12" i="21"/>
  <c r="N12" i="21"/>
  <c r="S12" i="21" s="1"/>
  <c r="M12" i="21"/>
  <c r="L12" i="21"/>
  <c r="R11" i="21"/>
  <c r="Q11" i="21"/>
  <c r="P11" i="21"/>
  <c r="O11" i="21"/>
  <c r="N11" i="21"/>
  <c r="M11" i="21"/>
  <c r="L11" i="21"/>
  <c r="S11" i="21" s="1"/>
  <c r="R10" i="21"/>
  <c r="Q10" i="21"/>
  <c r="P10" i="21"/>
  <c r="O10" i="21"/>
  <c r="N10" i="21"/>
  <c r="S10" i="21" s="1"/>
  <c r="M10" i="21"/>
  <c r="L10" i="21"/>
  <c r="R9" i="21"/>
  <c r="Q9" i="21"/>
  <c r="P9" i="21"/>
  <c r="O9" i="21"/>
  <c r="N9" i="21"/>
  <c r="M9" i="21"/>
  <c r="L9" i="21"/>
  <c r="S9" i="21" s="1"/>
  <c r="R8" i="21"/>
  <c r="Q8" i="21"/>
  <c r="P8" i="21"/>
  <c r="O8" i="21"/>
  <c r="N8" i="21"/>
  <c r="N38" i="21" s="1"/>
  <c r="M8" i="21"/>
  <c r="L8" i="21"/>
  <c r="R7" i="21"/>
  <c r="R38" i="21" s="1"/>
  <c r="Q7" i="21"/>
  <c r="Q38" i="21" s="1"/>
  <c r="P7" i="21"/>
  <c r="P38" i="21" s="1"/>
  <c r="O7" i="21"/>
  <c r="O38" i="21" s="1"/>
  <c r="N7" i="21"/>
  <c r="M7" i="21"/>
  <c r="M38" i="21" s="1"/>
  <c r="L7" i="21"/>
  <c r="S7" i="21" s="1"/>
  <c r="H36" i="20"/>
  <c r="F36" i="20"/>
  <c r="E36" i="20"/>
  <c r="D36" i="20"/>
  <c r="Q35" i="20"/>
  <c r="P35" i="20"/>
  <c r="O35" i="20"/>
  <c r="N35" i="20"/>
  <c r="M35" i="20"/>
  <c r="R35" i="20" s="1"/>
  <c r="L35" i="20"/>
  <c r="K35" i="20"/>
  <c r="Q34" i="20"/>
  <c r="P34" i="20"/>
  <c r="O34" i="20"/>
  <c r="N34" i="20"/>
  <c r="M34" i="20"/>
  <c r="L34" i="20"/>
  <c r="K34" i="20"/>
  <c r="R34" i="20" s="1"/>
  <c r="Q33" i="20"/>
  <c r="P33" i="20"/>
  <c r="O33" i="20"/>
  <c r="N33" i="20"/>
  <c r="M33" i="20"/>
  <c r="R33" i="20" s="1"/>
  <c r="L33" i="20"/>
  <c r="K33" i="20"/>
  <c r="Q32" i="20"/>
  <c r="P32" i="20"/>
  <c r="O32" i="20"/>
  <c r="N32" i="20"/>
  <c r="M32" i="20"/>
  <c r="L32" i="20"/>
  <c r="K32" i="20"/>
  <c r="R32" i="20" s="1"/>
  <c r="Q31" i="20"/>
  <c r="P31" i="20"/>
  <c r="O31" i="20"/>
  <c r="N31" i="20"/>
  <c r="M31" i="20"/>
  <c r="R31" i="20" s="1"/>
  <c r="L31" i="20"/>
  <c r="K31" i="20"/>
  <c r="Q30" i="20"/>
  <c r="P30" i="20"/>
  <c r="O30" i="20"/>
  <c r="N30" i="20"/>
  <c r="M30" i="20"/>
  <c r="L30" i="20"/>
  <c r="K30" i="20"/>
  <c r="R30" i="20" s="1"/>
  <c r="Q29" i="20"/>
  <c r="P29" i="20"/>
  <c r="O29" i="20"/>
  <c r="N29" i="20"/>
  <c r="M29" i="20"/>
  <c r="R29" i="20" s="1"/>
  <c r="L29" i="20"/>
  <c r="K29" i="20"/>
  <c r="Q28" i="20"/>
  <c r="P28" i="20"/>
  <c r="O28" i="20"/>
  <c r="N28" i="20"/>
  <c r="M28" i="20"/>
  <c r="L28" i="20"/>
  <c r="K28" i="20"/>
  <c r="R28" i="20" s="1"/>
  <c r="Q27" i="20"/>
  <c r="P27" i="20"/>
  <c r="O27" i="20"/>
  <c r="N27" i="20"/>
  <c r="M27" i="20"/>
  <c r="R27" i="20" s="1"/>
  <c r="L27" i="20"/>
  <c r="K27" i="20"/>
  <c r="Q26" i="20"/>
  <c r="P26" i="20"/>
  <c r="O26" i="20"/>
  <c r="N26" i="20"/>
  <c r="M26" i="20"/>
  <c r="L26" i="20"/>
  <c r="K26" i="20"/>
  <c r="R26" i="20" s="1"/>
  <c r="Q25" i="20"/>
  <c r="P25" i="20"/>
  <c r="O25" i="20"/>
  <c r="N25" i="20"/>
  <c r="M25" i="20"/>
  <c r="R25" i="20" s="1"/>
  <c r="L25" i="20"/>
  <c r="K25" i="20"/>
  <c r="Q24" i="20"/>
  <c r="P24" i="20"/>
  <c r="O24" i="20"/>
  <c r="N24" i="20"/>
  <c r="M24" i="20"/>
  <c r="L24" i="20"/>
  <c r="K24" i="20"/>
  <c r="R24" i="20" s="1"/>
  <c r="Q23" i="20"/>
  <c r="P23" i="20"/>
  <c r="O23" i="20"/>
  <c r="N23" i="20"/>
  <c r="M23" i="20"/>
  <c r="R23" i="20" s="1"/>
  <c r="L23" i="20"/>
  <c r="K23" i="20"/>
  <c r="Q22" i="20"/>
  <c r="P22" i="20"/>
  <c r="O22" i="20"/>
  <c r="N22" i="20"/>
  <c r="M22" i="20"/>
  <c r="L22" i="20"/>
  <c r="K22" i="20"/>
  <c r="R22" i="20" s="1"/>
  <c r="Q21" i="20"/>
  <c r="P21" i="20"/>
  <c r="O21" i="20"/>
  <c r="N21" i="20"/>
  <c r="M21" i="20"/>
  <c r="R21" i="20" s="1"/>
  <c r="L21" i="20"/>
  <c r="K21" i="20"/>
  <c r="Q20" i="20"/>
  <c r="P20" i="20"/>
  <c r="O20" i="20"/>
  <c r="N20" i="20"/>
  <c r="M20" i="20"/>
  <c r="L20" i="20"/>
  <c r="K20" i="20"/>
  <c r="R20" i="20" s="1"/>
  <c r="Q19" i="20"/>
  <c r="P19" i="20"/>
  <c r="O19" i="20"/>
  <c r="N19" i="20"/>
  <c r="M19" i="20"/>
  <c r="R19" i="20" s="1"/>
  <c r="L19" i="20"/>
  <c r="K19" i="20"/>
  <c r="Q18" i="20"/>
  <c r="P18" i="20"/>
  <c r="O18" i="20"/>
  <c r="N18" i="20"/>
  <c r="M18" i="20"/>
  <c r="L18" i="20"/>
  <c r="K18" i="20"/>
  <c r="R18" i="20" s="1"/>
  <c r="Q17" i="20"/>
  <c r="P17" i="20"/>
  <c r="O17" i="20"/>
  <c r="N17" i="20"/>
  <c r="M17" i="20"/>
  <c r="R17" i="20" s="1"/>
  <c r="L17" i="20"/>
  <c r="K17" i="20"/>
  <c r="Q16" i="20"/>
  <c r="P16" i="20"/>
  <c r="O16" i="20"/>
  <c r="N16" i="20"/>
  <c r="M16" i="20"/>
  <c r="L16" i="20"/>
  <c r="K16" i="20"/>
  <c r="R16" i="20" s="1"/>
  <c r="Q15" i="20"/>
  <c r="P15" i="20"/>
  <c r="O15" i="20"/>
  <c r="N15" i="20"/>
  <c r="M15" i="20"/>
  <c r="R15" i="20" s="1"/>
  <c r="L15" i="20"/>
  <c r="K15" i="20"/>
  <c r="Q14" i="20"/>
  <c r="P14" i="20"/>
  <c r="O14" i="20"/>
  <c r="N14" i="20"/>
  <c r="M14" i="20"/>
  <c r="L14" i="20"/>
  <c r="K14" i="20"/>
  <c r="R14" i="20" s="1"/>
  <c r="Q13" i="20"/>
  <c r="P13" i="20"/>
  <c r="O13" i="20"/>
  <c r="N13" i="20"/>
  <c r="M13" i="20"/>
  <c r="R13" i="20" s="1"/>
  <c r="L13" i="20"/>
  <c r="K13" i="20"/>
  <c r="Q12" i="20"/>
  <c r="P12" i="20"/>
  <c r="O12" i="20"/>
  <c r="N12" i="20"/>
  <c r="M12" i="20"/>
  <c r="L12" i="20"/>
  <c r="K12" i="20"/>
  <c r="R12" i="20" s="1"/>
  <c r="Q11" i="20"/>
  <c r="P11" i="20"/>
  <c r="O11" i="20"/>
  <c r="N11" i="20"/>
  <c r="M11" i="20"/>
  <c r="R11" i="20" s="1"/>
  <c r="L11" i="20"/>
  <c r="K11" i="20"/>
  <c r="Q10" i="20"/>
  <c r="P10" i="20"/>
  <c r="O10" i="20"/>
  <c r="N10" i="20"/>
  <c r="M10" i="20"/>
  <c r="L10" i="20"/>
  <c r="K10" i="20"/>
  <c r="R10" i="20" s="1"/>
  <c r="Q9" i="20"/>
  <c r="P9" i="20"/>
  <c r="O9" i="20"/>
  <c r="N9" i="20"/>
  <c r="M9" i="20"/>
  <c r="R9" i="20" s="1"/>
  <c r="L9" i="20"/>
  <c r="K9" i="20"/>
  <c r="Q8" i="20"/>
  <c r="P8" i="20"/>
  <c r="O8" i="20"/>
  <c r="N8" i="20"/>
  <c r="M8" i="20"/>
  <c r="L8" i="20"/>
  <c r="K8" i="20"/>
  <c r="R8" i="20" s="1"/>
  <c r="Q7" i="20"/>
  <c r="P7" i="20"/>
  <c r="O7" i="20"/>
  <c r="N7" i="20"/>
  <c r="M7" i="20"/>
  <c r="R7" i="20" s="1"/>
  <c r="L7" i="20"/>
  <c r="K7" i="20"/>
  <c r="Q6" i="20"/>
  <c r="P6" i="20"/>
  <c r="O6" i="20"/>
  <c r="N6" i="20"/>
  <c r="M6" i="20"/>
  <c r="L6" i="20"/>
  <c r="L36" i="20" s="1"/>
  <c r="K6" i="20"/>
  <c r="R6" i="20" s="1"/>
  <c r="Q5" i="20"/>
  <c r="Q36" i="20" s="1"/>
  <c r="P5" i="20"/>
  <c r="P36" i="20" s="1"/>
  <c r="O5" i="20"/>
  <c r="O36" i="20" s="1"/>
  <c r="N5" i="20"/>
  <c r="N36" i="20" s="1"/>
  <c r="M5" i="20"/>
  <c r="M36" i="20" s="1"/>
  <c r="L5" i="20"/>
  <c r="K5" i="20"/>
  <c r="F36" i="19"/>
  <c r="E36" i="19"/>
  <c r="D36" i="19"/>
  <c r="Q35" i="19"/>
  <c r="P35" i="19"/>
  <c r="N35" i="19"/>
  <c r="M35" i="19"/>
  <c r="L35" i="19"/>
  <c r="K35" i="19"/>
  <c r="Q34" i="19"/>
  <c r="P34" i="19"/>
  <c r="N34" i="19"/>
  <c r="M34" i="19"/>
  <c r="L34" i="19"/>
  <c r="K34" i="19"/>
  <c r="Q33" i="19"/>
  <c r="P33" i="19"/>
  <c r="N33" i="19"/>
  <c r="M33" i="19"/>
  <c r="L33" i="19"/>
  <c r="K33" i="19"/>
  <c r="Q32" i="19"/>
  <c r="P32" i="19"/>
  <c r="N32" i="19"/>
  <c r="M32" i="19"/>
  <c r="L32" i="19"/>
  <c r="K32" i="19"/>
  <c r="Q31" i="19"/>
  <c r="P31" i="19"/>
  <c r="N31" i="19"/>
  <c r="M31" i="19"/>
  <c r="L31" i="19"/>
  <c r="K31" i="19"/>
  <c r="Q30" i="19"/>
  <c r="P30" i="19"/>
  <c r="N30" i="19"/>
  <c r="M30" i="19"/>
  <c r="L30" i="19"/>
  <c r="K30" i="19"/>
  <c r="Q29" i="19"/>
  <c r="P29" i="19"/>
  <c r="N29" i="19"/>
  <c r="M29" i="19"/>
  <c r="L29" i="19"/>
  <c r="K29" i="19"/>
  <c r="Q28" i="19"/>
  <c r="P28" i="19"/>
  <c r="N28" i="19"/>
  <c r="M28" i="19"/>
  <c r="L28" i="19"/>
  <c r="K28" i="19"/>
  <c r="Q27" i="19"/>
  <c r="P27" i="19"/>
  <c r="N27" i="19"/>
  <c r="M27" i="19"/>
  <c r="L27" i="19"/>
  <c r="K27" i="19"/>
  <c r="Q26" i="19"/>
  <c r="P26" i="19"/>
  <c r="N26" i="19"/>
  <c r="M26" i="19"/>
  <c r="L26" i="19"/>
  <c r="K26" i="19"/>
  <c r="Q25" i="19"/>
  <c r="P25" i="19"/>
  <c r="N25" i="19"/>
  <c r="M25" i="19"/>
  <c r="L25" i="19"/>
  <c r="K25" i="19"/>
  <c r="Q24" i="19"/>
  <c r="P24" i="19"/>
  <c r="N24" i="19"/>
  <c r="M24" i="19"/>
  <c r="L24" i="19"/>
  <c r="K24" i="19"/>
  <c r="Q23" i="19"/>
  <c r="P23" i="19"/>
  <c r="N23" i="19"/>
  <c r="M23" i="19"/>
  <c r="L23" i="19"/>
  <c r="K23" i="19"/>
  <c r="Q22" i="19"/>
  <c r="P22" i="19"/>
  <c r="N22" i="19"/>
  <c r="M22" i="19"/>
  <c r="L22" i="19"/>
  <c r="K22" i="19"/>
  <c r="Q21" i="19"/>
  <c r="P21" i="19"/>
  <c r="N21" i="19"/>
  <c r="M21" i="19"/>
  <c r="L21" i="19"/>
  <c r="K21" i="19"/>
  <c r="Q20" i="19"/>
  <c r="P20" i="19"/>
  <c r="N20" i="19"/>
  <c r="M20" i="19"/>
  <c r="L20" i="19"/>
  <c r="K20" i="19"/>
  <c r="Q19" i="19"/>
  <c r="P19" i="19"/>
  <c r="N19" i="19"/>
  <c r="M19" i="19"/>
  <c r="L19" i="19"/>
  <c r="K19" i="19"/>
  <c r="Q18" i="19"/>
  <c r="P18" i="19"/>
  <c r="N18" i="19"/>
  <c r="M18" i="19"/>
  <c r="L18" i="19"/>
  <c r="K18" i="19"/>
  <c r="Q17" i="19"/>
  <c r="P17" i="19"/>
  <c r="N17" i="19"/>
  <c r="M17" i="19"/>
  <c r="L17" i="19"/>
  <c r="K17" i="19"/>
  <c r="Q16" i="19"/>
  <c r="P16" i="19"/>
  <c r="N16" i="19"/>
  <c r="M16" i="19"/>
  <c r="L16" i="19"/>
  <c r="K16" i="19"/>
  <c r="Q15" i="19"/>
  <c r="P15" i="19"/>
  <c r="P36" i="19" s="1"/>
  <c r="N15" i="19"/>
  <c r="M15" i="19"/>
  <c r="L15" i="19"/>
  <c r="K15" i="19"/>
  <c r="Q14" i="19"/>
  <c r="P14" i="19"/>
  <c r="N14" i="19"/>
  <c r="M14" i="19"/>
  <c r="L14" i="19"/>
  <c r="K14" i="19"/>
  <c r="Q13" i="19"/>
  <c r="P13" i="19"/>
  <c r="N13" i="19"/>
  <c r="M13" i="19"/>
  <c r="L13" i="19"/>
  <c r="K13" i="19"/>
  <c r="Q12" i="19"/>
  <c r="P12" i="19"/>
  <c r="N12" i="19"/>
  <c r="M12" i="19"/>
  <c r="L12" i="19"/>
  <c r="K12" i="19"/>
  <c r="Q11" i="19"/>
  <c r="P11" i="19"/>
  <c r="N11" i="19"/>
  <c r="M11" i="19"/>
  <c r="L11" i="19"/>
  <c r="K11" i="19"/>
  <c r="Q10" i="19"/>
  <c r="P10" i="19"/>
  <c r="N10" i="19"/>
  <c r="M10" i="19"/>
  <c r="L10" i="19"/>
  <c r="K10" i="19"/>
  <c r="Q9" i="19"/>
  <c r="P9" i="19"/>
  <c r="N9" i="19"/>
  <c r="M9" i="19"/>
  <c r="L9" i="19"/>
  <c r="K9" i="19"/>
  <c r="Q8" i="19"/>
  <c r="P8" i="19"/>
  <c r="N8" i="19"/>
  <c r="M8" i="19"/>
  <c r="L8" i="19"/>
  <c r="K8" i="19"/>
  <c r="Q7" i="19"/>
  <c r="P7" i="19"/>
  <c r="N7" i="19"/>
  <c r="M7" i="19"/>
  <c r="L7" i="19"/>
  <c r="K7" i="19"/>
  <c r="H7" i="19"/>
  <c r="H8" i="19" s="1"/>
  <c r="Q6" i="19"/>
  <c r="Q36" i="19" s="1"/>
  <c r="P6" i="19"/>
  <c r="N6" i="19"/>
  <c r="M6" i="19"/>
  <c r="L6" i="19"/>
  <c r="K6" i="19"/>
  <c r="H6" i="19"/>
  <c r="O6" i="19" s="1"/>
  <c r="R6" i="19" s="1"/>
  <c r="Q5" i="19"/>
  <c r="P5" i="19"/>
  <c r="O5" i="19"/>
  <c r="N5" i="19"/>
  <c r="N36" i="19" s="1"/>
  <c r="M5" i="19"/>
  <c r="M36" i="19" s="1"/>
  <c r="L5" i="19"/>
  <c r="L36" i="19" s="1"/>
  <c r="K5" i="19"/>
  <c r="K36" i="19" s="1"/>
  <c r="J4" i="23" l="1"/>
  <c r="J35" i="23" s="1"/>
  <c r="A1" i="23" s="1"/>
  <c r="K5" i="22"/>
  <c r="K36" i="22" s="1"/>
  <c r="A1" i="22" s="1"/>
  <c r="S8" i="21"/>
  <c r="S38" i="21" s="1"/>
  <c r="S39" i="21" s="1"/>
  <c r="A1" i="21" s="1"/>
  <c r="L38" i="21"/>
  <c r="R5" i="20"/>
  <c r="R36" i="20" s="1"/>
  <c r="A1" i="20" s="1"/>
  <c r="K36" i="20"/>
  <c r="O8" i="19"/>
  <c r="R8" i="19" s="1"/>
  <c r="H9" i="19"/>
  <c r="O7" i="19"/>
  <c r="R7" i="19" s="1"/>
  <c r="R5" i="19"/>
  <c r="H10" i="19" l="1"/>
  <c r="O9" i="19"/>
  <c r="R9" i="19" s="1"/>
  <c r="O10" i="19" l="1"/>
  <c r="H11" i="19"/>
  <c r="R10" i="19" l="1"/>
  <c r="H12" i="19"/>
  <c r="O11" i="19"/>
  <c r="R11" i="19" s="1"/>
  <c r="H13" i="19" l="1"/>
  <c r="O12" i="19"/>
  <c r="R12" i="19" l="1"/>
  <c r="H14" i="19"/>
  <c r="O13" i="19"/>
  <c r="R13" i="19" s="1"/>
  <c r="H15" i="19" l="1"/>
  <c r="O14" i="19"/>
  <c r="R14" i="19" s="1"/>
  <c r="O15" i="19" l="1"/>
  <c r="R15" i="19" s="1"/>
  <c r="H16" i="19"/>
  <c r="O16" i="19" l="1"/>
  <c r="R16" i="19" s="1"/>
  <c r="H17" i="19"/>
  <c r="H18" i="19" l="1"/>
  <c r="O17" i="19"/>
  <c r="R17" i="19" s="1"/>
  <c r="H19" i="19" l="1"/>
  <c r="O18" i="19"/>
  <c r="R18" i="19" s="1"/>
  <c r="O19" i="19" l="1"/>
  <c r="R19" i="19" s="1"/>
  <c r="H20" i="19"/>
  <c r="H21" i="19" l="1"/>
  <c r="O20" i="19"/>
  <c r="R20" i="19" s="1"/>
  <c r="H22" i="19" l="1"/>
  <c r="O21" i="19"/>
  <c r="R21" i="19" s="1"/>
  <c r="H23" i="19" l="1"/>
  <c r="O22" i="19"/>
  <c r="R22" i="19" s="1"/>
  <c r="H24" i="19" l="1"/>
  <c r="O23" i="19"/>
  <c r="R23" i="19" s="1"/>
  <c r="O24" i="19" l="1"/>
  <c r="R24" i="19" s="1"/>
  <c r="H25" i="19"/>
  <c r="H26" i="19" l="1"/>
  <c r="O25" i="19"/>
  <c r="R25" i="19" s="1"/>
  <c r="O26" i="19" l="1"/>
  <c r="R26" i="19" s="1"/>
  <c r="H27" i="19"/>
  <c r="H28" i="19" l="1"/>
  <c r="O27" i="19"/>
  <c r="R27" i="19" s="1"/>
  <c r="H29" i="19" l="1"/>
  <c r="O28" i="19"/>
  <c r="R28" i="19" s="1"/>
  <c r="O29" i="19" l="1"/>
  <c r="R29" i="19" s="1"/>
  <c r="H30" i="19"/>
  <c r="H31" i="19" l="1"/>
  <c r="O30" i="19"/>
  <c r="R30" i="19" s="1"/>
  <c r="O31" i="19" l="1"/>
  <c r="R31" i="19" s="1"/>
  <c r="H32" i="19"/>
  <c r="O32" i="19" l="1"/>
  <c r="R32" i="19" s="1"/>
  <c r="H33" i="19"/>
  <c r="O33" i="19" l="1"/>
  <c r="R33" i="19" s="1"/>
  <c r="H34" i="19"/>
  <c r="H35" i="19" l="1"/>
  <c r="O34" i="19"/>
  <c r="R34" i="19" s="1"/>
  <c r="O35" i="19" l="1"/>
  <c r="H36" i="19"/>
  <c r="R35" i="19" l="1"/>
  <c r="R36" i="19" s="1"/>
  <c r="A1" i="19" s="1"/>
  <c r="O36" i="19"/>
  <c r="B14" i="18" l="1"/>
  <c r="F11" i="18"/>
  <c r="G11" i="18" s="1"/>
  <c r="G10" i="18"/>
  <c r="F10" i="18"/>
  <c r="F12" i="18" s="1"/>
  <c r="A7" i="18"/>
  <c r="A4" i="18"/>
  <c r="A3" i="18"/>
  <c r="G12" i="18" l="1"/>
  <c r="B14" i="17" l="1"/>
  <c r="F11" i="17"/>
  <c r="G11" i="17" s="1"/>
  <c r="F10" i="17"/>
  <c r="F12" i="17" s="1"/>
  <c r="A7" i="17"/>
  <c r="A4" i="17"/>
  <c r="A3" i="17"/>
  <c r="G10" i="17" l="1"/>
  <c r="G12" i="17" s="1"/>
  <c r="D15" i="15" l="1"/>
  <c r="F15" i="15" s="1"/>
  <c r="D14" i="15"/>
  <c r="F14" i="15" s="1"/>
  <c r="F13" i="15"/>
  <c r="D13" i="15"/>
  <c r="F12" i="15"/>
  <c r="D11" i="15"/>
  <c r="F11" i="15" s="1"/>
  <c r="D10" i="15"/>
  <c r="F10" i="15" s="1"/>
  <c r="F17" i="15" s="1"/>
  <c r="F18" i="15" s="1"/>
  <c r="F19" i="15" s="1"/>
  <c r="A7" i="15"/>
  <c r="A4" i="15"/>
  <c r="A3" i="15"/>
  <c r="D15" i="14"/>
  <c r="F15" i="14" s="1"/>
  <c r="D14" i="14"/>
  <c r="F14" i="14" s="1"/>
  <c r="D13" i="14"/>
  <c r="F13" i="14" s="1"/>
  <c r="F12" i="14"/>
  <c r="D11" i="14"/>
  <c r="F11" i="14" s="1"/>
  <c r="F10" i="14"/>
  <c r="F17" i="14" s="1"/>
  <c r="F18" i="14" s="1"/>
  <c r="F19" i="14" s="1"/>
  <c r="D10" i="14"/>
  <c r="A7" i="14"/>
  <c r="A4" i="14"/>
  <c r="A3" i="14"/>
  <c r="F17" i="13"/>
  <c r="D16" i="13"/>
  <c r="F16" i="13" s="1"/>
  <c r="D15" i="13"/>
  <c r="F15" i="13" s="1"/>
  <c r="F14" i="13"/>
  <c r="D14" i="13"/>
  <c r="F13" i="13"/>
  <c r="D13" i="13"/>
  <c r="F12" i="13"/>
  <c r="F11" i="13"/>
  <c r="D11" i="13"/>
  <c r="F10" i="13"/>
  <c r="F18" i="13" s="1"/>
  <c r="F19" i="13" s="1"/>
  <c r="F20" i="13" s="1"/>
  <c r="D10" i="13"/>
  <c r="A7" i="13"/>
  <c r="A4" i="13"/>
  <c r="A3" i="13"/>
  <c r="H37" i="12"/>
  <c r="F37" i="12"/>
  <c r="E37" i="12"/>
  <c r="D37" i="12"/>
  <c r="C37" i="12"/>
  <c r="P36" i="12"/>
  <c r="J36" i="12" s="1"/>
  <c r="N36" i="12"/>
  <c r="L36" i="12"/>
  <c r="K36" i="12"/>
  <c r="P35" i="12"/>
  <c r="N35" i="12"/>
  <c r="L35" i="12"/>
  <c r="K35" i="12"/>
  <c r="J35" i="12"/>
  <c r="I35" i="12"/>
  <c r="P34" i="12"/>
  <c r="J34" i="12" s="1"/>
  <c r="N34" i="12"/>
  <c r="L34" i="12"/>
  <c r="K34" i="12"/>
  <c r="I34" i="12"/>
  <c r="P33" i="12"/>
  <c r="N33" i="12"/>
  <c r="L33" i="12"/>
  <c r="K33" i="12"/>
  <c r="J33" i="12"/>
  <c r="I33" i="12"/>
  <c r="P32" i="12"/>
  <c r="J32" i="12" s="1"/>
  <c r="N32" i="12"/>
  <c r="L32" i="12"/>
  <c r="K32" i="12"/>
  <c r="P31" i="12"/>
  <c r="J31" i="12" s="1"/>
  <c r="N31" i="12"/>
  <c r="L31" i="12"/>
  <c r="K31" i="12"/>
  <c r="I31" i="12"/>
  <c r="P30" i="12"/>
  <c r="J30" i="12" s="1"/>
  <c r="N30" i="12"/>
  <c r="L30" i="12"/>
  <c r="K30" i="12"/>
  <c r="I30" i="12"/>
  <c r="P29" i="12"/>
  <c r="J29" i="12" s="1"/>
  <c r="N29" i="12"/>
  <c r="L29" i="12"/>
  <c r="K29" i="12"/>
  <c r="P28" i="12"/>
  <c r="J28" i="12" s="1"/>
  <c r="N28" i="12"/>
  <c r="L28" i="12"/>
  <c r="K28" i="12"/>
  <c r="I28" i="12"/>
  <c r="P27" i="12"/>
  <c r="J27" i="12" s="1"/>
  <c r="N27" i="12"/>
  <c r="L27" i="12"/>
  <c r="K27" i="12"/>
  <c r="P26" i="12"/>
  <c r="N26" i="12"/>
  <c r="L26" i="12"/>
  <c r="K26" i="12"/>
  <c r="J26" i="12"/>
  <c r="I26" i="12"/>
  <c r="P25" i="12"/>
  <c r="N25" i="12"/>
  <c r="L25" i="12"/>
  <c r="K25" i="12"/>
  <c r="J25" i="12"/>
  <c r="I25" i="12"/>
  <c r="P24" i="12"/>
  <c r="J24" i="12" s="1"/>
  <c r="N24" i="12"/>
  <c r="L24" i="12"/>
  <c r="K24" i="12"/>
  <c r="P23" i="12"/>
  <c r="J23" i="12" s="1"/>
  <c r="N23" i="12"/>
  <c r="L23" i="12"/>
  <c r="K23" i="12"/>
  <c r="I23" i="12"/>
  <c r="P22" i="12"/>
  <c r="N22" i="12"/>
  <c r="L22" i="12"/>
  <c r="K22" i="12"/>
  <c r="J22" i="12"/>
  <c r="I22" i="12"/>
  <c r="P21" i="12"/>
  <c r="I21" i="12" s="1"/>
  <c r="N21" i="12"/>
  <c r="L21" i="12"/>
  <c r="K21" i="12"/>
  <c r="J21" i="12"/>
  <c r="P20" i="12"/>
  <c r="J20" i="12" s="1"/>
  <c r="N20" i="12"/>
  <c r="L20" i="12"/>
  <c r="K20" i="12"/>
  <c r="P19" i="12"/>
  <c r="I19" i="12" s="1"/>
  <c r="N19" i="12"/>
  <c r="L19" i="12"/>
  <c r="K19" i="12"/>
  <c r="J19" i="12"/>
  <c r="P18" i="12"/>
  <c r="J18" i="12" s="1"/>
  <c r="N18" i="12"/>
  <c r="L18" i="12"/>
  <c r="K18" i="12"/>
  <c r="I18" i="12"/>
  <c r="P17" i="12"/>
  <c r="N17" i="12"/>
  <c r="L17" i="12"/>
  <c r="K17" i="12"/>
  <c r="J17" i="12"/>
  <c r="I17" i="12"/>
  <c r="P16" i="12"/>
  <c r="J16" i="12" s="1"/>
  <c r="N16" i="12"/>
  <c r="L16" i="12"/>
  <c r="K16" i="12"/>
  <c r="P15" i="12"/>
  <c r="J15" i="12" s="1"/>
  <c r="N15" i="12"/>
  <c r="L15" i="12"/>
  <c r="K15" i="12"/>
  <c r="I15" i="12"/>
  <c r="P14" i="12"/>
  <c r="N14" i="12"/>
  <c r="L14" i="12"/>
  <c r="K14" i="12"/>
  <c r="J14" i="12"/>
  <c r="I14" i="12"/>
  <c r="P13" i="12"/>
  <c r="J13" i="12" s="1"/>
  <c r="N13" i="12"/>
  <c r="L13" i="12"/>
  <c r="K13" i="12"/>
  <c r="P12" i="12"/>
  <c r="J12" i="12" s="1"/>
  <c r="N12" i="12"/>
  <c r="L12" i="12"/>
  <c r="K12" i="12"/>
  <c r="I12" i="12"/>
  <c r="P11" i="12"/>
  <c r="S3" i="12" s="1"/>
  <c r="N11" i="12"/>
  <c r="L11" i="12"/>
  <c r="K11" i="12"/>
  <c r="P10" i="12"/>
  <c r="N10" i="12"/>
  <c r="L10" i="12"/>
  <c r="K10" i="12"/>
  <c r="J10" i="12"/>
  <c r="I10" i="12"/>
  <c r="P9" i="12"/>
  <c r="N9" i="12"/>
  <c r="L9" i="12"/>
  <c r="K9" i="12"/>
  <c r="J9" i="12"/>
  <c r="I9" i="12"/>
  <c r="P8" i="12"/>
  <c r="J8" i="12" s="1"/>
  <c r="N8" i="12"/>
  <c r="L8" i="12"/>
  <c r="K8" i="12"/>
  <c r="P7" i="12"/>
  <c r="J7" i="12" s="1"/>
  <c r="N7" i="12"/>
  <c r="L7" i="12"/>
  <c r="K7" i="12"/>
  <c r="I7" i="12"/>
  <c r="G7" i="12"/>
  <c r="G8" i="12" s="1"/>
  <c r="P6" i="12"/>
  <c r="N6" i="12"/>
  <c r="N37" i="12" s="1"/>
  <c r="M6" i="12"/>
  <c r="L6" i="12"/>
  <c r="L37" i="12" s="1"/>
  <c r="K6" i="12"/>
  <c r="K37" i="12" s="1"/>
  <c r="J6" i="12"/>
  <c r="I6" i="12"/>
  <c r="A3" i="12"/>
  <c r="H37" i="11"/>
  <c r="F37" i="11"/>
  <c r="E37" i="11"/>
  <c r="D37" i="11"/>
  <c r="C37" i="11"/>
  <c r="P36" i="11"/>
  <c r="J36" i="11" s="1"/>
  <c r="N36" i="11"/>
  <c r="L36" i="11"/>
  <c r="K36" i="11"/>
  <c r="P35" i="11"/>
  <c r="J35" i="11" s="1"/>
  <c r="N35" i="11"/>
  <c r="L35" i="11"/>
  <c r="K35" i="11"/>
  <c r="I35" i="11"/>
  <c r="P34" i="11"/>
  <c r="J34" i="11" s="1"/>
  <c r="N34" i="11"/>
  <c r="L34" i="11"/>
  <c r="K34" i="11"/>
  <c r="I34" i="11"/>
  <c r="P33" i="11"/>
  <c r="I33" i="11" s="1"/>
  <c r="N33" i="11"/>
  <c r="L33" i="11"/>
  <c r="K33" i="11"/>
  <c r="J33" i="11"/>
  <c r="P32" i="11"/>
  <c r="J32" i="11" s="1"/>
  <c r="N32" i="11"/>
  <c r="L32" i="11"/>
  <c r="K32" i="11"/>
  <c r="I32" i="11"/>
  <c r="P31" i="11"/>
  <c r="J31" i="11" s="1"/>
  <c r="N31" i="11"/>
  <c r="L31" i="11"/>
  <c r="K31" i="11"/>
  <c r="P30" i="11"/>
  <c r="J30" i="11" s="1"/>
  <c r="N30" i="11"/>
  <c r="L30" i="11"/>
  <c r="K30" i="11"/>
  <c r="I30" i="11"/>
  <c r="P29" i="11"/>
  <c r="J29" i="11" s="1"/>
  <c r="N29" i="11"/>
  <c r="L29" i="11"/>
  <c r="K29" i="11"/>
  <c r="P28" i="11"/>
  <c r="J28" i="11" s="1"/>
  <c r="N28" i="11"/>
  <c r="L28" i="11"/>
  <c r="K28" i="11"/>
  <c r="I28" i="11"/>
  <c r="P27" i="11"/>
  <c r="J27" i="11" s="1"/>
  <c r="N27" i="11"/>
  <c r="L27" i="11"/>
  <c r="K27" i="11"/>
  <c r="P26" i="11"/>
  <c r="N26" i="11"/>
  <c r="L26" i="11"/>
  <c r="K26" i="11"/>
  <c r="J26" i="11"/>
  <c r="I26" i="11"/>
  <c r="P25" i="11"/>
  <c r="N25" i="11"/>
  <c r="L25" i="11"/>
  <c r="K25" i="11"/>
  <c r="J25" i="11"/>
  <c r="I25" i="11"/>
  <c r="P24" i="11"/>
  <c r="J24" i="11" s="1"/>
  <c r="N24" i="11"/>
  <c r="L24" i="11"/>
  <c r="K24" i="11"/>
  <c r="P23" i="11"/>
  <c r="N23" i="11"/>
  <c r="L23" i="11"/>
  <c r="K23" i="11"/>
  <c r="J23" i="11"/>
  <c r="I23" i="11"/>
  <c r="P22" i="11"/>
  <c r="J22" i="11" s="1"/>
  <c r="N22" i="11"/>
  <c r="L22" i="11"/>
  <c r="K22" i="11"/>
  <c r="P21" i="11"/>
  <c r="N21" i="11"/>
  <c r="L21" i="11"/>
  <c r="K21" i="11"/>
  <c r="J21" i="11"/>
  <c r="I21" i="11"/>
  <c r="P20" i="11"/>
  <c r="J20" i="11" s="1"/>
  <c r="N20" i="11"/>
  <c r="L20" i="11"/>
  <c r="K20" i="11"/>
  <c r="P19" i="11"/>
  <c r="N19" i="11"/>
  <c r="L19" i="11"/>
  <c r="K19" i="11"/>
  <c r="J19" i="11"/>
  <c r="I19" i="11"/>
  <c r="P18" i="11"/>
  <c r="N18" i="11"/>
  <c r="L18" i="11"/>
  <c r="K18" i="11"/>
  <c r="J18" i="11"/>
  <c r="I18" i="11"/>
  <c r="P17" i="11"/>
  <c r="I17" i="11" s="1"/>
  <c r="N17" i="11"/>
  <c r="L17" i="11"/>
  <c r="K17" i="11"/>
  <c r="J17" i="11"/>
  <c r="P16" i="11"/>
  <c r="J16" i="11" s="1"/>
  <c r="N16" i="11"/>
  <c r="L16" i="11"/>
  <c r="K16" i="11"/>
  <c r="I16" i="11"/>
  <c r="P15" i="11"/>
  <c r="J15" i="11" s="1"/>
  <c r="N15" i="11"/>
  <c r="L15" i="11"/>
  <c r="K15" i="11"/>
  <c r="P14" i="11"/>
  <c r="N14" i="11"/>
  <c r="L14" i="11"/>
  <c r="K14" i="11"/>
  <c r="J14" i="11"/>
  <c r="I14" i="11"/>
  <c r="P13" i="11"/>
  <c r="J13" i="11" s="1"/>
  <c r="N13" i="11"/>
  <c r="L13" i="11"/>
  <c r="K13" i="11"/>
  <c r="P12" i="11"/>
  <c r="J12" i="11" s="1"/>
  <c r="N12" i="11"/>
  <c r="L12" i="11"/>
  <c r="K12" i="11"/>
  <c r="I12" i="11"/>
  <c r="P11" i="11"/>
  <c r="J11" i="11" s="1"/>
  <c r="N11" i="11"/>
  <c r="L11" i="11"/>
  <c r="K11" i="11"/>
  <c r="P10" i="11"/>
  <c r="N10" i="11"/>
  <c r="L10" i="11"/>
  <c r="K10" i="11"/>
  <c r="J10" i="11"/>
  <c r="I10" i="11"/>
  <c r="P9" i="11"/>
  <c r="N9" i="11"/>
  <c r="L9" i="11"/>
  <c r="K9" i="11"/>
  <c r="J9" i="11"/>
  <c r="I9" i="11"/>
  <c r="P8" i="11"/>
  <c r="J8" i="11" s="1"/>
  <c r="N8" i="11"/>
  <c r="L8" i="11"/>
  <c r="K8" i="11"/>
  <c r="P7" i="11"/>
  <c r="N7" i="11"/>
  <c r="L7" i="11"/>
  <c r="K7" i="11"/>
  <c r="J7" i="11"/>
  <c r="I7" i="11"/>
  <c r="G7" i="11"/>
  <c r="G8" i="11" s="1"/>
  <c r="P6" i="11"/>
  <c r="J6" i="11" s="1"/>
  <c r="N6" i="11"/>
  <c r="N37" i="11" s="1"/>
  <c r="M6" i="11"/>
  <c r="L6" i="11"/>
  <c r="L37" i="11" s="1"/>
  <c r="K6" i="11"/>
  <c r="K37" i="11" s="1"/>
  <c r="A3" i="11"/>
  <c r="H37" i="10"/>
  <c r="F37" i="10"/>
  <c r="E37" i="10"/>
  <c r="P36" i="10"/>
  <c r="J36" i="10" s="1"/>
  <c r="N36" i="10"/>
  <c r="M36" i="10"/>
  <c r="L36" i="10"/>
  <c r="K36" i="10"/>
  <c r="P35" i="10"/>
  <c r="J35" i="10" s="1"/>
  <c r="N35" i="10"/>
  <c r="L35" i="10"/>
  <c r="K35" i="10"/>
  <c r="D35" i="10"/>
  <c r="C35" i="10"/>
  <c r="P34" i="10"/>
  <c r="J34" i="10" s="1"/>
  <c r="N34" i="10"/>
  <c r="L34" i="10"/>
  <c r="K34" i="10"/>
  <c r="D34" i="10"/>
  <c r="C34" i="10"/>
  <c r="P33" i="10"/>
  <c r="J33" i="10" s="1"/>
  <c r="N33" i="10"/>
  <c r="L33" i="10"/>
  <c r="K33" i="10"/>
  <c r="D33" i="10"/>
  <c r="C33" i="10"/>
  <c r="P32" i="10"/>
  <c r="J32" i="10" s="1"/>
  <c r="N32" i="10"/>
  <c r="L32" i="10"/>
  <c r="K32" i="10"/>
  <c r="I32" i="10"/>
  <c r="D32" i="10"/>
  <c r="C32" i="10"/>
  <c r="P31" i="10"/>
  <c r="J31" i="10" s="1"/>
  <c r="N31" i="10"/>
  <c r="L31" i="10"/>
  <c r="K31" i="10"/>
  <c r="D31" i="10"/>
  <c r="C31" i="10"/>
  <c r="P30" i="10"/>
  <c r="J30" i="10" s="1"/>
  <c r="N30" i="10"/>
  <c r="L30" i="10"/>
  <c r="K30" i="10"/>
  <c r="D30" i="10"/>
  <c r="C30" i="10"/>
  <c r="P29" i="10"/>
  <c r="N29" i="10"/>
  <c r="L29" i="10"/>
  <c r="K29" i="10"/>
  <c r="J29" i="10"/>
  <c r="I29" i="10"/>
  <c r="D29" i="10"/>
  <c r="C29" i="10"/>
  <c r="P28" i="10"/>
  <c r="J28" i="10" s="1"/>
  <c r="N28" i="10"/>
  <c r="L28" i="10"/>
  <c r="K28" i="10"/>
  <c r="D28" i="10"/>
  <c r="C28" i="10"/>
  <c r="P27" i="10"/>
  <c r="J27" i="10" s="1"/>
  <c r="N27" i="10"/>
  <c r="L27" i="10"/>
  <c r="K27" i="10"/>
  <c r="D27" i="10"/>
  <c r="C27" i="10"/>
  <c r="P26" i="10"/>
  <c r="N26" i="10"/>
  <c r="L26" i="10"/>
  <c r="K26" i="10"/>
  <c r="J26" i="10"/>
  <c r="D26" i="10"/>
  <c r="C26" i="10"/>
  <c r="I26" i="10" s="1"/>
  <c r="P25" i="10"/>
  <c r="N25" i="10"/>
  <c r="L25" i="10"/>
  <c r="K25" i="10"/>
  <c r="D25" i="10"/>
  <c r="J25" i="10" s="1"/>
  <c r="C25" i="10"/>
  <c r="I25" i="10" s="1"/>
  <c r="P24" i="10"/>
  <c r="J24" i="10" s="1"/>
  <c r="N24" i="10"/>
  <c r="L24" i="10"/>
  <c r="K24" i="10"/>
  <c r="D24" i="10"/>
  <c r="C24" i="10"/>
  <c r="P23" i="10"/>
  <c r="J23" i="10" s="1"/>
  <c r="N23" i="10"/>
  <c r="L23" i="10"/>
  <c r="K23" i="10"/>
  <c r="I23" i="10"/>
  <c r="D23" i="10"/>
  <c r="C23" i="10"/>
  <c r="P22" i="10"/>
  <c r="N22" i="10"/>
  <c r="L22" i="10"/>
  <c r="K22" i="10"/>
  <c r="D22" i="10"/>
  <c r="J22" i="10" s="1"/>
  <c r="C22" i="10"/>
  <c r="I22" i="10" s="1"/>
  <c r="P21" i="10"/>
  <c r="N21" i="10"/>
  <c r="L21" i="10"/>
  <c r="K21" i="10"/>
  <c r="J21" i="10"/>
  <c r="I21" i="10"/>
  <c r="D21" i="10"/>
  <c r="C21" i="10"/>
  <c r="P20" i="10"/>
  <c r="J20" i="10" s="1"/>
  <c r="N20" i="10"/>
  <c r="L20" i="10"/>
  <c r="K20" i="10"/>
  <c r="D20" i="10"/>
  <c r="C20" i="10"/>
  <c r="P19" i="10"/>
  <c r="J19" i="10" s="1"/>
  <c r="N19" i="10"/>
  <c r="L19" i="10"/>
  <c r="K19" i="10"/>
  <c r="I19" i="10"/>
  <c r="D19" i="10"/>
  <c r="C19" i="10"/>
  <c r="P18" i="10"/>
  <c r="I18" i="10" s="1"/>
  <c r="N18" i="10"/>
  <c r="L18" i="10"/>
  <c r="K18" i="10"/>
  <c r="J18" i="10"/>
  <c r="D18" i="10"/>
  <c r="C18" i="10"/>
  <c r="P17" i="10"/>
  <c r="J17" i="10" s="1"/>
  <c r="N17" i="10"/>
  <c r="L17" i="10"/>
  <c r="K17" i="10"/>
  <c r="D17" i="10"/>
  <c r="C17" i="10"/>
  <c r="P16" i="10"/>
  <c r="J16" i="10" s="1"/>
  <c r="N16" i="10"/>
  <c r="L16" i="10"/>
  <c r="K16" i="10"/>
  <c r="I16" i="10"/>
  <c r="D16" i="10"/>
  <c r="C16" i="10"/>
  <c r="P15" i="10"/>
  <c r="J15" i="10" s="1"/>
  <c r="N15" i="10"/>
  <c r="L15" i="10"/>
  <c r="K15" i="10"/>
  <c r="D15" i="10"/>
  <c r="C15" i="10"/>
  <c r="P14" i="10"/>
  <c r="J14" i="10" s="1"/>
  <c r="N14" i="10"/>
  <c r="L14" i="10"/>
  <c r="K14" i="10"/>
  <c r="D14" i="10"/>
  <c r="C14" i="10"/>
  <c r="P13" i="10"/>
  <c r="N13" i="10"/>
  <c r="L13" i="10"/>
  <c r="K13" i="10"/>
  <c r="J13" i="10"/>
  <c r="I13" i="10"/>
  <c r="D13" i="10"/>
  <c r="C13" i="10"/>
  <c r="P12" i="10"/>
  <c r="J12" i="10" s="1"/>
  <c r="N12" i="10"/>
  <c r="L12" i="10"/>
  <c r="K12" i="10"/>
  <c r="D12" i="10"/>
  <c r="C12" i="10"/>
  <c r="P11" i="10"/>
  <c r="J11" i="10" s="1"/>
  <c r="N11" i="10"/>
  <c r="L11" i="10"/>
  <c r="K11" i="10"/>
  <c r="D11" i="10"/>
  <c r="C11" i="10"/>
  <c r="P10" i="10"/>
  <c r="N10" i="10"/>
  <c r="L10" i="10"/>
  <c r="K10" i="10"/>
  <c r="J10" i="10"/>
  <c r="D10" i="10"/>
  <c r="C10" i="10"/>
  <c r="I10" i="10" s="1"/>
  <c r="P9" i="10"/>
  <c r="N9" i="10"/>
  <c r="L9" i="10"/>
  <c r="K9" i="10"/>
  <c r="D9" i="10"/>
  <c r="J9" i="10" s="1"/>
  <c r="C9" i="10"/>
  <c r="I9" i="10" s="1"/>
  <c r="P8" i="10"/>
  <c r="R3" i="10" s="1"/>
  <c r="N8" i="10"/>
  <c r="L8" i="10"/>
  <c r="K8" i="10"/>
  <c r="D8" i="10"/>
  <c r="C8" i="10"/>
  <c r="P7" i="10"/>
  <c r="J7" i="10" s="1"/>
  <c r="N7" i="10"/>
  <c r="L7" i="10"/>
  <c r="K7" i="10"/>
  <c r="I7" i="10"/>
  <c r="D7" i="10"/>
  <c r="C7" i="10"/>
  <c r="P6" i="10"/>
  <c r="N6" i="10"/>
  <c r="N37" i="10" s="1"/>
  <c r="L6" i="10"/>
  <c r="L37" i="10" s="1"/>
  <c r="K6" i="10"/>
  <c r="K37" i="10" s="1"/>
  <c r="G6" i="10"/>
  <c r="G7" i="10" s="1"/>
  <c r="D6" i="10"/>
  <c r="S3" i="10" s="1"/>
  <c r="C6" i="10"/>
  <c r="S2" i="10" s="1"/>
  <c r="A3" i="10"/>
  <c r="H37" i="9"/>
  <c r="F37" i="9"/>
  <c r="E37" i="9"/>
  <c r="D37" i="9"/>
  <c r="C37" i="9"/>
  <c r="P36" i="9"/>
  <c r="J36" i="9" s="1"/>
  <c r="N36" i="9"/>
  <c r="L36" i="9"/>
  <c r="K36" i="9"/>
  <c r="P35" i="9"/>
  <c r="J35" i="9" s="1"/>
  <c r="N35" i="9"/>
  <c r="L35" i="9"/>
  <c r="K35" i="9"/>
  <c r="I35" i="9"/>
  <c r="P34" i="9"/>
  <c r="J34" i="9" s="1"/>
  <c r="N34" i="9"/>
  <c r="L34" i="9"/>
  <c r="K34" i="9"/>
  <c r="I34" i="9"/>
  <c r="P33" i="9"/>
  <c r="N33" i="9"/>
  <c r="L33" i="9"/>
  <c r="K33" i="9"/>
  <c r="J33" i="9"/>
  <c r="I33" i="9"/>
  <c r="P32" i="9"/>
  <c r="J32" i="9" s="1"/>
  <c r="N32" i="9"/>
  <c r="L32" i="9"/>
  <c r="K32" i="9"/>
  <c r="P31" i="9"/>
  <c r="J31" i="9" s="1"/>
  <c r="N31" i="9"/>
  <c r="L31" i="9"/>
  <c r="K31" i="9"/>
  <c r="P30" i="9"/>
  <c r="J30" i="9" s="1"/>
  <c r="N30" i="9"/>
  <c r="L30" i="9"/>
  <c r="K30" i="9"/>
  <c r="I30" i="9"/>
  <c r="P29" i="9"/>
  <c r="J29" i="9" s="1"/>
  <c r="N29" i="9"/>
  <c r="L29" i="9"/>
  <c r="K29" i="9"/>
  <c r="P28" i="9"/>
  <c r="N28" i="9"/>
  <c r="L28" i="9"/>
  <c r="K28" i="9"/>
  <c r="J28" i="9"/>
  <c r="I28" i="9"/>
  <c r="P27" i="9"/>
  <c r="J27" i="9" s="1"/>
  <c r="N27" i="9"/>
  <c r="L27" i="9"/>
  <c r="K27" i="9"/>
  <c r="P26" i="9"/>
  <c r="J26" i="9" s="1"/>
  <c r="N26" i="9"/>
  <c r="L26" i="9"/>
  <c r="K26" i="9"/>
  <c r="I26" i="9"/>
  <c r="P25" i="9"/>
  <c r="N25" i="9"/>
  <c r="L25" i="9"/>
  <c r="K25" i="9"/>
  <c r="J25" i="9"/>
  <c r="I25" i="9"/>
  <c r="P24" i="9"/>
  <c r="N24" i="9"/>
  <c r="L24" i="9"/>
  <c r="K24" i="9"/>
  <c r="J24" i="9"/>
  <c r="I24" i="9"/>
  <c r="P23" i="9"/>
  <c r="J23" i="9" s="1"/>
  <c r="N23" i="9"/>
  <c r="L23" i="9"/>
  <c r="K23" i="9"/>
  <c r="P22" i="9"/>
  <c r="J22" i="9" s="1"/>
  <c r="N22" i="9"/>
  <c r="L22" i="9"/>
  <c r="K22" i="9"/>
  <c r="P21" i="9"/>
  <c r="N21" i="9"/>
  <c r="L21" i="9"/>
  <c r="K21" i="9"/>
  <c r="J21" i="9"/>
  <c r="I21" i="9"/>
  <c r="P20" i="9"/>
  <c r="J20" i="9" s="1"/>
  <c r="N20" i="9"/>
  <c r="L20" i="9"/>
  <c r="K20" i="9"/>
  <c r="P19" i="9"/>
  <c r="J19" i="9" s="1"/>
  <c r="N19" i="9"/>
  <c r="L19" i="9"/>
  <c r="K19" i="9"/>
  <c r="I19" i="9"/>
  <c r="P18" i="9"/>
  <c r="J18" i="9" s="1"/>
  <c r="N18" i="9"/>
  <c r="L18" i="9"/>
  <c r="K18" i="9"/>
  <c r="I18" i="9"/>
  <c r="P17" i="9"/>
  <c r="N17" i="9"/>
  <c r="L17" i="9"/>
  <c r="K17" i="9"/>
  <c r="J17" i="9"/>
  <c r="I17" i="9"/>
  <c r="P16" i="9"/>
  <c r="I16" i="9" s="1"/>
  <c r="N16" i="9"/>
  <c r="L16" i="9"/>
  <c r="K16" i="9"/>
  <c r="J16" i="9"/>
  <c r="P15" i="9"/>
  <c r="J15" i="9" s="1"/>
  <c r="N15" i="9"/>
  <c r="L15" i="9"/>
  <c r="K15" i="9"/>
  <c r="P14" i="9"/>
  <c r="J14" i="9" s="1"/>
  <c r="N14" i="9"/>
  <c r="L14" i="9"/>
  <c r="K14" i="9"/>
  <c r="I14" i="9"/>
  <c r="P13" i="9"/>
  <c r="J13" i="9" s="1"/>
  <c r="N13" i="9"/>
  <c r="L13" i="9"/>
  <c r="K13" i="9"/>
  <c r="P12" i="9"/>
  <c r="N12" i="9"/>
  <c r="L12" i="9"/>
  <c r="K12" i="9"/>
  <c r="J12" i="9"/>
  <c r="I12" i="9"/>
  <c r="P11" i="9"/>
  <c r="S3" i="9" s="1"/>
  <c r="N11" i="9"/>
  <c r="L11" i="9"/>
  <c r="K11" i="9"/>
  <c r="P10" i="9"/>
  <c r="J10" i="9" s="1"/>
  <c r="N10" i="9"/>
  <c r="L10" i="9"/>
  <c r="K10" i="9"/>
  <c r="I10" i="9"/>
  <c r="P9" i="9"/>
  <c r="N9" i="9"/>
  <c r="L9" i="9"/>
  <c r="K9" i="9"/>
  <c r="J9" i="9"/>
  <c r="I9" i="9"/>
  <c r="P8" i="9"/>
  <c r="N8" i="9"/>
  <c r="L8" i="9"/>
  <c r="K8" i="9"/>
  <c r="J8" i="9"/>
  <c r="I8" i="9"/>
  <c r="P7" i="9"/>
  <c r="J7" i="9" s="1"/>
  <c r="N7" i="9"/>
  <c r="L7" i="9"/>
  <c r="K7" i="9"/>
  <c r="G7" i="9"/>
  <c r="G8" i="9" s="1"/>
  <c r="P6" i="9"/>
  <c r="J6" i="9" s="1"/>
  <c r="N6" i="9"/>
  <c r="N37" i="9" s="1"/>
  <c r="M6" i="9"/>
  <c r="L6" i="9"/>
  <c r="L37" i="9" s="1"/>
  <c r="K6" i="9"/>
  <c r="K37" i="9" s="1"/>
  <c r="A3" i="9"/>
  <c r="R2" i="9"/>
  <c r="J36" i="8"/>
  <c r="E36" i="8"/>
  <c r="D36" i="8"/>
  <c r="C36" i="8"/>
  <c r="F36" i="8" s="1"/>
  <c r="G36" i="8" s="1"/>
  <c r="H36" i="8" s="1"/>
  <c r="I36" i="8" s="1"/>
  <c r="J35" i="8"/>
  <c r="E35" i="8"/>
  <c r="D35" i="8"/>
  <c r="C35" i="8"/>
  <c r="F35" i="8" s="1"/>
  <c r="G35" i="8" s="1"/>
  <c r="H35" i="8" s="1"/>
  <c r="I35" i="8" s="1"/>
  <c r="J34" i="8"/>
  <c r="E34" i="8"/>
  <c r="D34" i="8"/>
  <c r="C34" i="8"/>
  <c r="F34" i="8" s="1"/>
  <c r="G34" i="8" s="1"/>
  <c r="H34" i="8" s="1"/>
  <c r="I34" i="8" s="1"/>
  <c r="J33" i="8"/>
  <c r="E33" i="8"/>
  <c r="D33" i="8"/>
  <c r="C33" i="8"/>
  <c r="F33" i="8" s="1"/>
  <c r="G33" i="8" s="1"/>
  <c r="H33" i="8" s="1"/>
  <c r="I33" i="8" s="1"/>
  <c r="J32" i="8"/>
  <c r="E32" i="8"/>
  <c r="D32" i="8"/>
  <c r="C32" i="8"/>
  <c r="F32" i="8" s="1"/>
  <c r="G32" i="8" s="1"/>
  <c r="H32" i="8" s="1"/>
  <c r="I32" i="8" s="1"/>
  <c r="J31" i="8"/>
  <c r="E31" i="8"/>
  <c r="D31" i="8"/>
  <c r="C31" i="8"/>
  <c r="F31" i="8" s="1"/>
  <c r="G31" i="8" s="1"/>
  <c r="H31" i="8" s="1"/>
  <c r="I31" i="8" s="1"/>
  <c r="J30" i="8"/>
  <c r="E30" i="8"/>
  <c r="D30" i="8"/>
  <c r="C30" i="8"/>
  <c r="F30" i="8" s="1"/>
  <c r="G30" i="8" s="1"/>
  <c r="H30" i="8" s="1"/>
  <c r="I30" i="8" s="1"/>
  <c r="J29" i="8"/>
  <c r="E29" i="8"/>
  <c r="D29" i="8"/>
  <c r="C29" i="8"/>
  <c r="F29" i="8" s="1"/>
  <c r="G29" i="8" s="1"/>
  <c r="H29" i="8" s="1"/>
  <c r="I29" i="8" s="1"/>
  <c r="J28" i="8"/>
  <c r="E28" i="8"/>
  <c r="D28" i="8"/>
  <c r="C28" i="8"/>
  <c r="F28" i="8" s="1"/>
  <c r="G28" i="8" s="1"/>
  <c r="H28" i="8" s="1"/>
  <c r="I28" i="8" s="1"/>
  <c r="J27" i="8"/>
  <c r="E27" i="8"/>
  <c r="D27" i="8"/>
  <c r="C27" i="8"/>
  <c r="F27" i="8" s="1"/>
  <c r="G27" i="8" s="1"/>
  <c r="H27" i="8" s="1"/>
  <c r="I27" i="8" s="1"/>
  <c r="J26" i="8"/>
  <c r="E26" i="8"/>
  <c r="D26" i="8"/>
  <c r="C26" i="8"/>
  <c r="F26" i="8" s="1"/>
  <c r="G26" i="8" s="1"/>
  <c r="H26" i="8" s="1"/>
  <c r="I26" i="8" s="1"/>
  <c r="J25" i="8"/>
  <c r="E25" i="8"/>
  <c r="D25" i="8"/>
  <c r="C25" i="8"/>
  <c r="F25" i="8" s="1"/>
  <c r="G25" i="8" s="1"/>
  <c r="H25" i="8" s="1"/>
  <c r="I25" i="8" s="1"/>
  <c r="J24" i="8"/>
  <c r="E24" i="8"/>
  <c r="D24" i="8"/>
  <c r="C24" i="8"/>
  <c r="F24" i="8" s="1"/>
  <c r="G24" i="8" s="1"/>
  <c r="H24" i="8" s="1"/>
  <c r="I24" i="8" s="1"/>
  <c r="J23" i="8"/>
  <c r="E23" i="8"/>
  <c r="D23" i="8"/>
  <c r="C23" i="8"/>
  <c r="F23" i="8" s="1"/>
  <c r="G23" i="8" s="1"/>
  <c r="H23" i="8" s="1"/>
  <c r="I23" i="8" s="1"/>
  <c r="J22" i="8"/>
  <c r="E22" i="8"/>
  <c r="D22" i="8"/>
  <c r="C22" i="8"/>
  <c r="F22" i="8" s="1"/>
  <c r="G22" i="8" s="1"/>
  <c r="H22" i="8" s="1"/>
  <c r="I22" i="8" s="1"/>
  <c r="J21" i="8"/>
  <c r="E21" i="8"/>
  <c r="D21" i="8"/>
  <c r="C21" i="8"/>
  <c r="F21" i="8" s="1"/>
  <c r="G21" i="8" s="1"/>
  <c r="H21" i="8" s="1"/>
  <c r="I21" i="8" s="1"/>
  <c r="J20" i="8"/>
  <c r="E20" i="8"/>
  <c r="D20" i="8"/>
  <c r="C20" i="8"/>
  <c r="F20" i="8" s="1"/>
  <c r="G20" i="8" s="1"/>
  <c r="H20" i="8" s="1"/>
  <c r="I20" i="8" s="1"/>
  <c r="J19" i="8"/>
  <c r="E19" i="8"/>
  <c r="D19" i="8"/>
  <c r="C19" i="8"/>
  <c r="F19" i="8" s="1"/>
  <c r="G19" i="8" s="1"/>
  <c r="H19" i="8" s="1"/>
  <c r="I19" i="8" s="1"/>
  <c r="J18" i="8"/>
  <c r="E18" i="8"/>
  <c r="D18" i="8"/>
  <c r="C18" i="8"/>
  <c r="F18" i="8" s="1"/>
  <c r="G18" i="8" s="1"/>
  <c r="H18" i="8" s="1"/>
  <c r="I18" i="8" s="1"/>
  <c r="J17" i="8"/>
  <c r="E17" i="8"/>
  <c r="D17" i="8"/>
  <c r="C17" i="8"/>
  <c r="F17" i="8" s="1"/>
  <c r="G17" i="8" s="1"/>
  <c r="H17" i="8" s="1"/>
  <c r="I17" i="8" s="1"/>
  <c r="J16" i="8"/>
  <c r="E16" i="8"/>
  <c r="D16" i="8"/>
  <c r="C16" i="8"/>
  <c r="F16" i="8" s="1"/>
  <c r="G16" i="8" s="1"/>
  <c r="H16" i="8" s="1"/>
  <c r="I16" i="8" s="1"/>
  <c r="J15" i="8"/>
  <c r="E15" i="8"/>
  <c r="D15" i="8"/>
  <c r="C15" i="8"/>
  <c r="F15" i="8" s="1"/>
  <c r="G15" i="8" s="1"/>
  <c r="H15" i="8" s="1"/>
  <c r="I15" i="8" s="1"/>
  <c r="J14" i="8"/>
  <c r="E14" i="8"/>
  <c r="D14" i="8"/>
  <c r="C14" i="8"/>
  <c r="F14" i="8" s="1"/>
  <c r="G14" i="8" s="1"/>
  <c r="H14" i="8" s="1"/>
  <c r="I14" i="8" s="1"/>
  <c r="J13" i="8"/>
  <c r="E13" i="8"/>
  <c r="D13" i="8"/>
  <c r="C13" i="8"/>
  <c r="F13" i="8" s="1"/>
  <c r="G13" i="8" s="1"/>
  <c r="H13" i="8" s="1"/>
  <c r="I13" i="8" s="1"/>
  <c r="J12" i="8"/>
  <c r="E12" i="8"/>
  <c r="D12" i="8"/>
  <c r="C12" i="8"/>
  <c r="F12" i="8" s="1"/>
  <c r="G12" i="8" s="1"/>
  <c r="H12" i="8" s="1"/>
  <c r="I12" i="8" s="1"/>
  <c r="J11" i="8"/>
  <c r="E11" i="8"/>
  <c r="D11" i="8"/>
  <c r="C11" i="8"/>
  <c r="F11" i="8" s="1"/>
  <c r="G11" i="8" s="1"/>
  <c r="H11" i="8" s="1"/>
  <c r="I11" i="8" s="1"/>
  <c r="J10" i="8"/>
  <c r="E10" i="8"/>
  <c r="D10" i="8"/>
  <c r="C10" i="8"/>
  <c r="F10" i="8" s="1"/>
  <c r="G10" i="8" s="1"/>
  <c r="H10" i="8" s="1"/>
  <c r="I10" i="8" s="1"/>
  <c r="J9" i="8"/>
  <c r="E9" i="8"/>
  <c r="D9" i="8"/>
  <c r="C9" i="8"/>
  <c r="F9" i="8" s="1"/>
  <c r="G9" i="8" s="1"/>
  <c r="H9" i="8" s="1"/>
  <c r="I9" i="8" s="1"/>
  <c r="J8" i="8"/>
  <c r="E8" i="8"/>
  <c r="D8" i="8"/>
  <c r="C8" i="8"/>
  <c r="F8" i="8" s="1"/>
  <c r="G8" i="8" s="1"/>
  <c r="H8" i="8" s="1"/>
  <c r="I8" i="8" s="1"/>
  <c r="J7" i="8"/>
  <c r="E7" i="8"/>
  <c r="D7" i="8"/>
  <c r="C7" i="8"/>
  <c r="F7" i="8" s="1"/>
  <c r="G7" i="8" s="1"/>
  <c r="H7" i="8" s="1"/>
  <c r="I7" i="8" s="1"/>
  <c r="J6" i="8"/>
  <c r="E6" i="8"/>
  <c r="E37" i="8" s="1"/>
  <c r="D6" i="8"/>
  <c r="D37" i="8" s="1"/>
  <c r="C6" i="8"/>
  <c r="C37" i="8" s="1"/>
  <c r="A3" i="8"/>
  <c r="M36" i="7"/>
  <c r="K36" i="7" s="1"/>
  <c r="F36" i="7"/>
  <c r="E36" i="7"/>
  <c r="G36" i="7" s="1"/>
  <c r="C36" i="7"/>
  <c r="H36" i="7" s="1"/>
  <c r="L36" i="7" s="1"/>
  <c r="M35" i="7"/>
  <c r="K35" i="7" s="1"/>
  <c r="H35" i="7"/>
  <c r="L35" i="7" s="1"/>
  <c r="F35" i="7"/>
  <c r="E35" i="7"/>
  <c r="G35" i="7" s="1"/>
  <c r="D35" i="7"/>
  <c r="I35" i="7" s="1"/>
  <c r="C35" i="7"/>
  <c r="M34" i="7"/>
  <c r="K34" i="7" s="1"/>
  <c r="F34" i="7"/>
  <c r="E34" i="7"/>
  <c r="G34" i="7" s="1"/>
  <c r="C34" i="7"/>
  <c r="H34" i="7" s="1"/>
  <c r="L34" i="7" s="1"/>
  <c r="M33" i="7"/>
  <c r="K33" i="7" s="1"/>
  <c r="F33" i="7"/>
  <c r="E33" i="7"/>
  <c r="G33" i="7" s="1"/>
  <c r="C33" i="7"/>
  <c r="H33" i="7" s="1"/>
  <c r="L33" i="7" s="1"/>
  <c r="M32" i="7"/>
  <c r="K32" i="7" s="1"/>
  <c r="H32" i="7"/>
  <c r="L32" i="7" s="1"/>
  <c r="F32" i="7"/>
  <c r="E32" i="7"/>
  <c r="G32" i="7" s="1"/>
  <c r="C32" i="7"/>
  <c r="D32" i="7" s="1"/>
  <c r="I32" i="7" s="1"/>
  <c r="M31" i="7"/>
  <c r="K31" i="7" s="1"/>
  <c r="F31" i="7"/>
  <c r="E31" i="7"/>
  <c r="G31" i="7" s="1"/>
  <c r="C31" i="7"/>
  <c r="H31" i="7" s="1"/>
  <c r="L31" i="7" s="1"/>
  <c r="M30" i="7"/>
  <c r="F30" i="7"/>
  <c r="E30" i="7"/>
  <c r="G30" i="7" s="1"/>
  <c r="C30" i="7"/>
  <c r="H30" i="7" s="1"/>
  <c r="L30" i="7" s="1"/>
  <c r="M29" i="7"/>
  <c r="K29" i="7" s="1"/>
  <c r="J29" i="7"/>
  <c r="I29" i="7"/>
  <c r="H29" i="7"/>
  <c r="L29" i="7" s="1"/>
  <c r="G29" i="7"/>
  <c r="F29" i="7"/>
  <c r="E29" i="7"/>
  <c r="D29" i="7"/>
  <c r="C29" i="7"/>
  <c r="M28" i="7"/>
  <c r="K28" i="7" s="1"/>
  <c r="F28" i="7"/>
  <c r="E28" i="7"/>
  <c r="C28" i="7"/>
  <c r="H28" i="7" s="1"/>
  <c r="L28" i="7" s="1"/>
  <c r="M27" i="7"/>
  <c r="K27" i="7" s="1"/>
  <c r="F27" i="7"/>
  <c r="E27" i="7"/>
  <c r="G27" i="7" s="1"/>
  <c r="D27" i="7"/>
  <c r="I27" i="7" s="1"/>
  <c r="C27" i="7"/>
  <c r="H27" i="7" s="1"/>
  <c r="L27" i="7" s="1"/>
  <c r="M26" i="7"/>
  <c r="K26" i="7"/>
  <c r="I26" i="7"/>
  <c r="H26" i="7"/>
  <c r="L26" i="7" s="1"/>
  <c r="F26" i="7"/>
  <c r="E26" i="7"/>
  <c r="G26" i="7" s="1"/>
  <c r="J26" i="7" s="1"/>
  <c r="D26" i="7"/>
  <c r="C26" i="7"/>
  <c r="M25" i="7"/>
  <c r="F25" i="7"/>
  <c r="K25" i="7" s="1"/>
  <c r="E25" i="7"/>
  <c r="C25" i="7"/>
  <c r="H25" i="7" s="1"/>
  <c r="L25" i="7" s="1"/>
  <c r="M24" i="7"/>
  <c r="K24" i="7" s="1"/>
  <c r="F24" i="7"/>
  <c r="E24" i="7"/>
  <c r="G24" i="7" s="1"/>
  <c r="C24" i="7"/>
  <c r="H24" i="7" s="1"/>
  <c r="L24" i="7" s="1"/>
  <c r="M23" i="7"/>
  <c r="K23" i="7"/>
  <c r="H23" i="7"/>
  <c r="L23" i="7" s="1"/>
  <c r="F23" i="7"/>
  <c r="E23" i="7"/>
  <c r="G23" i="7" s="1"/>
  <c r="J23" i="7" s="1"/>
  <c r="C23" i="7"/>
  <c r="D23" i="7" s="1"/>
  <c r="I23" i="7" s="1"/>
  <c r="M22" i="7"/>
  <c r="F22" i="7"/>
  <c r="K22" i="7" s="1"/>
  <c r="E22" i="7"/>
  <c r="G22" i="7" s="1"/>
  <c r="D22" i="7"/>
  <c r="I22" i="7" s="1"/>
  <c r="C22" i="7"/>
  <c r="H22" i="7" s="1"/>
  <c r="L22" i="7" s="1"/>
  <c r="M21" i="7"/>
  <c r="F21" i="7"/>
  <c r="K21" i="7" s="1"/>
  <c r="E21" i="7"/>
  <c r="C21" i="7"/>
  <c r="H21" i="7" s="1"/>
  <c r="L21" i="7" s="1"/>
  <c r="M20" i="7"/>
  <c r="J20" i="7" s="1"/>
  <c r="K20" i="7"/>
  <c r="G20" i="7"/>
  <c r="F20" i="7"/>
  <c r="E20" i="7"/>
  <c r="C20" i="7"/>
  <c r="H20" i="7" s="1"/>
  <c r="L20" i="7" s="1"/>
  <c r="M19" i="7"/>
  <c r="K19" i="7" s="1"/>
  <c r="H19" i="7"/>
  <c r="L19" i="7" s="1"/>
  <c r="F19" i="7"/>
  <c r="G19" i="7" s="1"/>
  <c r="E19" i="7"/>
  <c r="D19" i="7"/>
  <c r="I19" i="7" s="1"/>
  <c r="C19" i="7"/>
  <c r="M18" i="7"/>
  <c r="K18" i="7" s="1"/>
  <c r="G18" i="7"/>
  <c r="F18" i="7"/>
  <c r="E18" i="7"/>
  <c r="C18" i="7"/>
  <c r="H18" i="7" s="1"/>
  <c r="L18" i="7" s="1"/>
  <c r="M17" i="7"/>
  <c r="K17" i="7" s="1"/>
  <c r="G17" i="7"/>
  <c r="F17" i="7"/>
  <c r="E17" i="7"/>
  <c r="C17" i="7"/>
  <c r="H17" i="7" s="1"/>
  <c r="L17" i="7" s="1"/>
  <c r="M16" i="7"/>
  <c r="K16" i="7" s="1"/>
  <c r="H16" i="7"/>
  <c r="L16" i="7" s="1"/>
  <c r="G16" i="7"/>
  <c r="F16" i="7"/>
  <c r="E16" i="7"/>
  <c r="C16" i="7"/>
  <c r="D16" i="7" s="1"/>
  <c r="I16" i="7" s="1"/>
  <c r="M15" i="7"/>
  <c r="K15" i="7" s="1"/>
  <c r="F15" i="7"/>
  <c r="E15" i="7"/>
  <c r="G15" i="7" s="1"/>
  <c r="C15" i="7"/>
  <c r="H15" i="7" s="1"/>
  <c r="L15" i="7" s="1"/>
  <c r="M14" i="7"/>
  <c r="F14" i="7"/>
  <c r="E14" i="7"/>
  <c r="G14" i="7" s="1"/>
  <c r="C14" i="7"/>
  <c r="H14" i="7" s="1"/>
  <c r="L14" i="7" s="1"/>
  <c r="M13" i="7"/>
  <c r="K13" i="7" s="1"/>
  <c r="I13" i="7"/>
  <c r="H13" i="7"/>
  <c r="L13" i="7" s="1"/>
  <c r="G13" i="7"/>
  <c r="J13" i="7" s="1"/>
  <c r="F13" i="7"/>
  <c r="E13" i="7"/>
  <c r="D13" i="7"/>
  <c r="C13" i="7"/>
  <c r="M12" i="7"/>
  <c r="F12" i="7"/>
  <c r="K12" i="7" s="1"/>
  <c r="E12" i="7"/>
  <c r="C12" i="7"/>
  <c r="D12" i="7" s="1"/>
  <c r="I12" i="7" s="1"/>
  <c r="M11" i="7"/>
  <c r="K11" i="7" s="1"/>
  <c r="F11" i="7"/>
  <c r="E11" i="7"/>
  <c r="G11" i="7" s="1"/>
  <c r="D11" i="7"/>
  <c r="I11" i="7" s="1"/>
  <c r="C11" i="7"/>
  <c r="H11" i="7" s="1"/>
  <c r="L11" i="7" s="1"/>
  <c r="M10" i="7"/>
  <c r="K10" i="7"/>
  <c r="J10" i="7"/>
  <c r="I10" i="7"/>
  <c r="H10" i="7"/>
  <c r="L10" i="7" s="1"/>
  <c r="G10" i="7"/>
  <c r="F10" i="7"/>
  <c r="E10" i="7"/>
  <c r="D10" i="7"/>
  <c r="C10" i="7"/>
  <c r="M9" i="7"/>
  <c r="F9" i="7"/>
  <c r="K9" i="7" s="1"/>
  <c r="E9" i="7"/>
  <c r="C9" i="7"/>
  <c r="H9" i="7" s="1"/>
  <c r="L9" i="7" s="1"/>
  <c r="M8" i="7"/>
  <c r="K8" i="7" s="1"/>
  <c r="F8" i="7"/>
  <c r="E8" i="7"/>
  <c r="G8" i="7" s="1"/>
  <c r="C8" i="7"/>
  <c r="H8" i="7" s="1"/>
  <c r="L8" i="7" s="1"/>
  <c r="M7" i="7"/>
  <c r="K7" i="7"/>
  <c r="H7" i="7"/>
  <c r="L7" i="7" s="1"/>
  <c r="F7" i="7"/>
  <c r="E7" i="7"/>
  <c r="G7" i="7" s="1"/>
  <c r="J7" i="7" s="1"/>
  <c r="C7" i="7"/>
  <c r="D7" i="7" s="1"/>
  <c r="I7" i="7" s="1"/>
  <c r="M6" i="7"/>
  <c r="F6" i="7"/>
  <c r="K6" i="7" s="1"/>
  <c r="K37" i="7" s="1"/>
  <c r="E6" i="7"/>
  <c r="G6" i="7" s="1"/>
  <c r="G37" i="7" s="1"/>
  <c r="C6" i="7"/>
  <c r="C37" i="7" s="1"/>
  <c r="A3" i="7"/>
  <c r="G9" i="12" l="1"/>
  <c r="M8" i="12"/>
  <c r="J37" i="12"/>
  <c r="O6" i="12"/>
  <c r="I16" i="12"/>
  <c r="I32" i="12"/>
  <c r="R2" i="12"/>
  <c r="S2" i="12"/>
  <c r="M7" i="12"/>
  <c r="I11" i="12"/>
  <c r="I27" i="12"/>
  <c r="R3" i="12"/>
  <c r="J11" i="12"/>
  <c r="I20" i="12"/>
  <c r="I36" i="12"/>
  <c r="I13" i="12"/>
  <c r="I29" i="12"/>
  <c r="I8" i="12"/>
  <c r="O8" i="12" s="1"/>
  <c r="I24" i="12"/>
  <c r="J37" i="11"/>
  <c r="G9" i="11"/>
  <c r="M8" i="11"/>
  <c r="O7" i="11"/>
  <c r="R2" i="11"/>
  <c r="S2" i="11"/>
  <c r="M7" i="11"/>
  <c r="I11" i="11"/>
  <c r="I27" i="11"/>
  <c r="R3" i="11"/>
  <c r="I20" i="11"/>
  <c r="I36" i="11"/>
  <c r="S3" i="11"/>
  <c r="I13" i="11"/>
  <c r="I29" i="11"/>
  <c r="I6" i="11"/>
  <c r="I22" i="11"/>
  <c r="I15" i="11"/>
  <c r="I31" i="11"/>
  <c r="I8" i="11"/>
  <c r="O8" i="11" s="1"/>
  <c r="I24" i="11"/>
  <c r="G8" i="10"/>
  <c r="M7" i="10"/>
  <c r="O7" i="10" s="1"/>
  <c r="I35" i="10"/>
  <c r="C37" i="10"/>
  <c r="I6" i="10"/>
  <c r="D37" i="10"/>
  <c r="J6" i="10"/>
  <c r="I12" i="10"/>
  <c r="I28" i="10"/>
  <c r="I15" i="10"/>
  <c r="I31" i="10"/>
  <c r="M6" i="10"/>
  <c r="I34" i="10"/>
  <c r="I8" i="10"/>
  <c r="I24" i="10"/>
  <c r="J8" i="10"/>
  <c r="I11" i="10"/>
  <c r="I27" i="10"/>
  <c r="I36" i="10"/>
  <c r="O36" i="10" s="1"/>
  <c r="R2" i="10"/>
  <c r="I14" i="10"/>
  <c r="I30" i="10"/>
  <c r="I17" i="10"/>
  <c r="I33" i="10"/>
  <c r="I20" i="10"/>
  <c r="G9" i="9"/>
  <c r="M8" i="9"/>
  <c r="O8" i="9" s="1"/>
  <c r="I7" i="9"/>
  <c r="I23" i="9"/>
  <c r="I32" i="9"/>
  <c r="S2" i="9"/>
  <c r="M7" i="9"/>
  <c r="I11" i="9"/>
  <c r="I27" i="9"/>
  <c r="R3" i="9"/>
  <c r="J11" i="9"/>
  <c r="J37" i="9" s="1"/>
  <c r="I20" i="9"/>
  <c r="I36" i="9"/>
  <c r="I13" i="9"/>
  <c r="I29" i="9"/>
  <c r="I6" i="9"/>
  <c r="I22" i="9"/>
  <c r="I15" i="9"/>
  <c r="I31" i="9"/>
  <c r="F6" i="8"/>
  <c r="G6" i="8" s="1"/>
  <c r="J30" i="7"/>
  <c r="J22" i="7"/>
  <c r="J6" i="7"/>
  <c r="J37" i="7" s="1"/>
  <c r="J9" i="7"/>
  <c r="J14" i="7"/>
  <c r="K14" i="7"/>
  <c r="J17" i="7"/>
  <c r="K30" i="7"/>
  <c r="J33" i="7"/>
  <c r="J36" i="7"/>
  <c r="D9" i="7"/>
  <c r="I9" i="7" s="1"/>
  <c r="D25" i="7"/>
  <c r="I25" i="7" s="1"/>
  <c r="D28" i="7"/>
  <c r="I28" i="7" s="1"/>
  <c r="D31" i="7"/>
  <c r="I31" i="7" s="1"/>
  <c r="D6" i="7"/>
  <c r="D15" i="7"/>
  <c r="I15" i="7" s="1"/>
  <c r="H6" i="7"/>
  <c r="G9" i="7"/>
  <c r="J16" i="7"/>
  <c r="D18" i="7"/>
  <c r="I18" i="7" s="1"/>
  <c r="G25" i="7"/>
  <c r="J25" i="7" s="1"/>
  <c r="J32" i="7"/>
  <c r="D34" i="7"/>
  <c r="I34" i="7" s="1"/>
  <c r="G12" i="7"/>
  <c r="J12" i="7" s="1"/>
  <c r="J19" i="7"/>
  <c r="D21" i="7"/>
  <c r="I21" i="7" s="1"/>
  <c r="G28" i="7"/>
  <c r="J28" i="7" s="1"/>
  <c r="J35" i="7"/>
  <c r="D8" i="7"/>
  <c r="I8" i="7" s="1"/>
  <c r="H12" i="7"/>
  <c r="L12" i="7" s="1"/>
  <c r="D24" i="7"/>
  <c r="I24" i="7" s="1"/>
  <c r="E37" i="7"/>
  <c r="F37" i="7"/>
  <c r="G21" i="7"/>
  <c r="J21" i="7" s="1"/>
  <c r="D30" i="7"/>
  <c r="I30" i="7" s="1"/>
  <c r="J15" i="7"/>
  <c r="D17" i="7"/>
  <c r="I17" i="7" s="1"/>
  <c r="J31" i="7"/>
  <c r="D33" i="7"/>
  <c r="I33" i="7" s="1"/>
  <c r="D14" i="7"/>
  <c r="I14" i="7" s="1"/>
  <c r="J18" i="7"/>
  <c r="D20" i="7"/>
  <c r="I20" i="7" s="1"/>
  <c r="J34" i="7"/>
  <c r="D36" i="7"/>
  <c r="I36" i="7" s="1"/>
  <c r="J8" i="7"/>
  <c r="J24" i="7"/>
  <c r="J11" i="7"/>
  <c r="J27" i="7"/>
  <c r="O7" i="12" l="1"/>
  <c r="I37" i="12"/>
  <c r="G10" i="12"/>
  <c r="M9" i="12"/>
  <c r="O9" i="12" s="1"/>
  <c r="G10" i="11"/>
  <c r="M9" i="11"/>
  <c r="O9" i="11" s="1"/>
  <c r="I37" i="11"/>
  <c r="O6" i="11"/>
  <c r="J37" i="10"/>
  <c r="M8" i="10"/>
  <c r="G9" i="10"/>
  <c r="O8" i="10"/>
  <c r="O6" i="10"/>
  <c r="I37" i="10"/>
  <c r="G10" i="9"/>
  <c r="M9" i="9"/>
  <c r="O9" i="9" s="1"/>
  <c r="O7" i="9"/>
  <c r="I37" i="9"/>
  <c r="O6" i="9"/>
  <c r="G37" i="8"/>
  <c r="H6" i="8"/>
  <c r="H37" i="7"/>
  <c r="L6" i="7"/>
  <c r="L37" i="7" s="1"/>
  <c r="L38" i="7" s="1"/>
  <c r="I6" i="7"/>
  <c r="I37" i="7" s="1"/>
  <c r="D37" i="7"/>
  <c r="G11" i="12" l="1"/>
  <c r="M10" i="12"/>
  <c r="O10" i="12" s="1"/>
  <c r="G11" i="11"/>
  <c r="M10" i="11"/>
  <c r="O10" i="11" s="1"/>
  <c r="G10" i="10"/>
  <c r="M9" i="10"/>
  <c r="O9" i="10" s="1"/>
  <c r="G11" i="9"/>
  <c r="M10" i="9"/>
  <c r="O10" i="9" s="1"/>
  <c r="H37" i="8"/>
  <c r="I6" i="8"/>
  <c r="I37" i="8" s="1"/>
  <c r="I38" i="8" s="1"/>
  <c r="M11" i="12" l="1"/>
  <c r="O11" i="12" s="1"/>
  <c r="G12" i="12"/>
  <c r="M11" i="11"/>
  <c r="O11" i="11" s="1"/>
  <c r="G12" i="11"/>
  <c r="G11" i="10"/>
  <c r="M10" i="10"/>
  <c r="O10" i="10" s="1"/>
  <c r="M11" i="9"/>
  <c r="O11" i="9" s="1"/>
  <c r="G12" i="9"/>
  <c r="G13" i="12" l="1"/>
  <c r="M12" i="12"/>
  <c r="O12" i="12" s="1"/>
  <c r="G13" i="11"/>
  <c r="M12" i="11"/>
  <c r="O12" i="11" s="1"/>
  <c r="M11" i="10"/>
  <c r="O11" i="10" s="1"/>
  <c r="G12" i="10"/>
  <c r="G13" i="9"/>
  <c r="M12" i="9"/>
  <c r="O12" i="9" s="1"/>
  <c r="M13" i="12" l="1"/>
  <c r="O13" i="12" s="1"/>
  <c r="G14" i="12"/>
  <c r="M13" i="11"/>
  <c r="O13" i="11" s="1"/>
  <c r="G14" i="11"/>
  <c r="G13" i="10"/>
  <c r="M12" i="10"/>
  <c r="O12" i="10" s="1"/>
  <c r="M13" i="9"/>
  <c r="O13" i="9" s="1"/>
  <c r="G14" i="9"/>
  <c r="G15" i="12" l="1"/>
  <c r="M14" i="12"/>
  <c r="O14" i="12" s="1"/>
  <c r="G15" i="11"/>
  <c r="M14" i="11"/>
  <c r="O14" i="11" s="1"/>
  <c r="G14" i="10"/>
  <c r="M13" i="10"/>
  <c r="O13" i="10" s="1"/>
  <c r="G15" i="9"/>
  <c r="M14" i="9"/>
  <c r="O14" i="9" s="1"/>
  <c r="G16" i="12" l="1"/>
  <c r="M15" i="12"/>
  <c r="O15" i="12" s="1"/>
  <c r="G16" i="11"/>
  <c r="M15" i="11"/>
  <c r="O15" i="11" s="1"/>
  <c r="M14" i="10"/>
  <c r="O14" i="10" s="1"/>
  <c r="G15" i="10"/>
  <c r="G16" i="9"/>
  <c r="M15" i="9"/>
  <c r="O15" i="9" s="1"/>
  <c r="G17" i="12" l="1"/>
  <c r="M16" i="12"/>
  <c r="O16" i="12" s="1"/>
  <c r="G17" i="11"/>
  <c r="M16" i="11"/>
  <c r="O16" i="11" s="1"/>
  <c r="M15" i="10"/>
  <c r="O15" i="10" s="1"/>
  <c r="G16" i="10"/>
  <c r="G17" i="9"/>
  <c r="M16" i="9"/>
  <c r="O16" i="9" s="1"/>
  <c r="G18" i="12" l="1"/>
  <c r="M17" i="12"/>
  <c r="O17" i="12" s="1"/>
  <c r="G18" i="11"/>
  <c r="M17" i="11"/>
  <c r="O17" i="11" s="1"/>
  <c r="G17" i="10"/>
  <c r="M16" i="10"/>
  <c r="O16" i="10" s="1"/>
  <c r="G18" i="9"/>
  <c r="M17" i="9"/>
  <c r="O17" i="9" s="1"/>
  <c r="G19" i="12" l="1"/>
  <c r="M18" i="12"/>
  <c r="O18" i="12" s="1"/>
  <c r="M18" i="11"/>
  <c r="O18" i="11" s="1"/>
  <c r="G19" i="11"/>
  <c r="G18" i="10"/>
  <c r="M17" i="10"/>
  <c r="O17" i="10" s="1"/>
  <c r="M18" i="9"/>
  <c r="O18" i="9" s="1"/>
  <c r="G19" i="9"/>
  <c r="G20" i="12" l="1"/>
  <c r="M19" i="12"/>
  <c r="O19" i="12" s="1"/>
  <c r="G20" i="11"/>
  <c r="M19" i="11"/>
  <c r="O19" i="11" s="1"/>
  <c r="M18" i="10"/>
  <c r="O18" i="10" s="1"/>
  <c r="G19" i="10"/>
  <c r="G20" i="9"/>
  <c r="M19" i="9"/>
  <c r="O19" i="9" s="1"/>
  <c r="M20" i="12" l="1"/>
  <c r="O20" i="12" s="1"/>
  <c r="G21" i="12"/>
  <c r="M20" i="11"/>
  <c r="O20" i="11" s="1"/>
  <c r="G21" i="11"/>
  <c r="G20" i="10"/>
  <c r="M19" i="10"/>
  <c r="O19" i="10" s="1"/>
  <c r="M20" i="9"/>
  <c r="O20" i="9" s="1"/>
  <c r="G21" i="9"/>
  <c r="G22" i="12" l="1"/>
  <c r="M21" i="12"/>
  <c r="O21" i="12" s="1"/>
  <c r="G22" i="11"/>
  <c r="M21" i="11"/>
  <c r="O21" i="11" s="1"/>
  <c r="G21" i="10"/>
  <c r="M20" i="10"/>
  <c r="O20" i="10" s="1"/>
  <c r="G22" i="9"/>
  <c r="M21" i="9"/>
  <c r="O21" i="9" s="1"/>
  <c r="G23" i="12" l="1"/>
  <c r="M22" i="12"/>
  <c r="O22" i="12" s="1"/>
  <c r="M22" i="11"/>
  <c r="O22" i="11" s="1"/>
  <c r="G23" i="11"/>
  <c r="M21" i="10"/>
  <c r="O21" i="10" s="1"/>
  <c r="G22" i="10"/>
  <c r="G23" i="9"/>
  <c r="M22" i="9"/>
  <c r="O22" i="9" s="1"/>
  <c r="G24" i="12" l="1"/>
  <c r="M23" i="12"/>
  <c r="O23" i="12" s="1"/>
  <c r="G24" i="11"/>
  <c r="M23" i="11"/>
  <c r="O23" i="11" s="1"/>
  <c r="G23" i="10"/>
  <c r="M22" i="10"/>
  <c r="O22" i="10" s="1"/>
  <c r="G24" i="9"/>
  <c r="M23" i="9"/>
  <c r="O23" i="9" s="1"/>
  <c r="G25" i="12" l="1"/>
  <c r="M24" i="12"/>
  <c r="O24" i="12" s="1"/>
  <c r="G25" i="11"/>
  <c r="M24" i="11"/>
  <c r="O24" i="11" s="1"/>
  <c r="G24" i="10"/>
  <c r="M23" i="10"/>
  <c r="O23" i="10" s="1"/>
  <c r="G25" i="9"/>
  <c r="M24" i="9"/>
  <c r="O24" i="9" s="1"/>
  <c r="G26" i="12" l="1"/>
  <c r="M25" i="12"/>
  <c r="O25" i="12" s="1"/>
  <c r="G26" i="11"/>
  <c r="M25" i="11"/>
  <c r="O25" i="11" s="1"/>
  <c r="M24" i="10"/>
  <c r="O24" i="10" s="1"/>
  <c r="G25" i="10"/>
  <c r="G26" i="9"/>
  <c r="M25" i="9"/>
  <c r="O25" i="9" s="1"/>
  <c r="G27" i="12" l="1"/>
  <c r="M26" i="12"/>
  <c r="O26" i="12" s="1"/>
  <c r="G27" i="11"/>
  <c r="M26" i="11"/>
  <c r="O26" i="11" s="1"/>
  <c r="G26" i="10"/>
  <c r="M25" i="10"/>
  <c r="O25" i="10" s="1"/>
  <c r="G27" i="9"/>
  <c r="M26" i="9"/>
  <c r="O26" i="9" s="1"/>
  <c r="M27" i="12" l="1"/>
  <c r="O27" i="12" s="1"/>
  <c r="G28" i="12"/>
  <c r="M27" i="11"/>
  <c r="O27" i="11" s="1"/>
  <c r="G28" i="11"/>
  <c r="G27" i="10"/>
  <c r="M26" i="10"/>
  <c r="O26" i="10" s="1"/>
  <c r="M27" i="9"/>
  <c r="O27" i="9" s="1"/>
  <c r="G28" i="9"/>
  <c r="G29" i="12" l="1"/>
  <c r="M28" i="12"/>
  <c r="O28" i="12" s="1"/>
  <c r="G29" i="11"/>
  <c r="M28" i="11"/>
  <c r="O28" i="11" s="1"/>
  <c r="M27" i="10"/>
  <c r="O27" i="10" s="1"/>
  <c r="G28" i="10"/>
  <c r="G29" i="9"/>
  <c r="M28" i="9"/>
  <c r="O28" i="9" s="1"/>
  <c r="M29" i="12" l="1"/>
  <c r="O29" i="12" s="1"/>
  <c r="G30" i="12"/>
  <c r="M29" i="11"/>
  <c r="O29" i="11" s="1"/>
  <c r="G30" i="11"/>
  <c r="G29" i="10"/>
  <c r="M28" i="10"/>
  <c r="O28" i="10" s="1"/>
  <c r="M29" i="9"/>
  <c r="O29" i="9" s="1"/>
  <c r="G30" i="9"/>
  <c r="G31" i="12" l="1"/>
  <c r="M30" i="12"/>
  <c r="O30" i="12" s="1"/>
  <c r="G31" i="11"/>
  <c r="M30" i="11"/>
  <c r="O30" i="11" s="1"/>
  <c r="G30" i="10"/>
  <c r="M29" i="10"/>
  <c r="O29" i="10" s="1"/>
  <c r="G31" i="9"/>
  <c r="M30" i="9"/>
  <c r="O30" i="9" s="1"/>
  <c r="G32" i="12" l="1"/>
  <c r="M31" i="12"/>
  <c r="O31" i="12" s="1"/>
  <c r="G32" i="11"/>
  <c r="M31" i="11"/>
  <c r="O31" i="11" s="1"/>
  <c r="M30" i="10"/>
  <c r="O30" i="10" s="1"/>
  <c r="G31" i="10"/>
  <c r="G32" i="9"/>
  <c r="M31" i="9"/>
  <c r="O31" i="9" s="1"/>
  <c r="G33" i="12" l="1"/>
  <c r="M32" i="12"/>
  <c r="O32" i="12" s="1"/>
  <c r="G33" i="11"/>
  <c r="M32" i="11"/>
  <c r="O32" i="11" s="1"/>
  <c r="M31" i="10"/>
  <c r="O31" i="10" s="1"/>
  <c r="G32" i="10"/>
  <c r="G33" i="9"/>
  <c r="M32" i="9"/>
  <c r="O32" i="9" s="1"/>
  <c r="G34" i="12" l="1"/>
  <c r="M33" i="12"/>
  <c r="O33" i="12" s="1"/>
  <c r="G34" i="11"/>
  <c r="M33" i="11"/>
  <c r="O33" i="11" s="1"/>
  <c r="G33" i="10"/>
  <c r="M32" i="10"/>
  <c r="O32" i="10" s="1"/>
  <c r="G34" i="9"/>
  <c r="M33" i="9"/>
  <c r="O33" i="9" s="1"/>
  <c r="M34" i="12" l="1"/>
  <c r="O34" i="12" s="1"/>
  <c r="G35" i="12"/>
  <c r="M34" i="11"/>
  <c r="O34" i="11" s="1"/>
  <c r="G35" i="11"/>
  <c r="G34" i="10"/>
  <c r="M33" i="10"/>
  <c r="O33" i="10" s="1"/>
  <c r="M34" i="9"/>
  <c r="O34" i="9" s="1"/>
  <c r="G35" i="9"/>
  <c r="G36" i="12" l="1"/>
  <c r="M35" i="12"/>
  <c r="O35" i="12" s="1"/>
  <c r="G36" i="11"/>
  <c r="M35" i="11"/>
  <c r="O35" i="11" s="1"/>
  <c r="M34" i="10"/>
  <c r="O34" i="10" s="1"/>
  <c r="G35" i="10"/>
  <c r="G36" i="9"/>
  <c r="M35" i="9"/>
  <c r="O35" i="9" s="1"/>
  <c r="M36" i="12" l="1"/>
  <c r="G37" i="12"/>
  <c r="M36" i="11"/>
  <c r="G37" i="11"/>
  <c r="M35" i="10"/>
  <c r="G37" i="10"/>
  <c r="M36" i="9"/>
  <c r="G37" i="9"/>
  <c r="O36" i="12" l="1"/>
  <c r="O37" i="12" s="1"/>
  <c r="O38" i="12" s="1"/>
  <c r="M37" i="12"/>
  <c r="O36" i="11"/>
  <c r="O37" i="11" s="1"/>
  <c r="O38" i="11" s="1"/>
  <c r="M37" i="11"/>
  <c r="O35" i="10"/>
  <c r="O37" i="10" s="1"/>
  <c r="O38" i="10" s="1"/>
  <c r="M37" i="10"/>
  <c r="O36" i="9"/>
  <c r="O37" i="9" s="1"/>
  <c r="O38" i="9" s="1"/>
  <c r="M37" i="9"/>
  <c r="F20" i="5" l="1"/>
  <c r="F14" i="5"/>
  <c r="F15" i="5" s="1"/>
  <c r="F16" i="5" s="1"/>
  <c r="C38" i="3"/>
  <c r="C37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C110" i="6" a="1"/>
  <c r="C109" i="6" a="1"/>
  <c r="E53" i="3" a="1"/>
  <c r="L51" i="3" a="1"/>
  <c r="D51" i="3" a="1"/>
  <c r="K49" i="3" a="1"/>
  <c r="C49" i="3" a="1"/>
  <c r="J47" i="3" a="1"/>
  <c r="B47" i="3" a="1"/>
  <c r="I45" i="3" a="1"/>
  <c r="C26" i="3" a="1"/>
  <c r="C22" i="3" a="1"/>
  <c r="B68" i="3" a="1"/>
  <c r="B60" i="3" a="1"/>
  <c r="I54" i="3" a="1"/>
  <c r="H52" i="3" a="1"/>
  <c r="G50" i="3" a="1"/>
  <c r="F48" i="3" a="1"/>
  <c r="E46" i="3" a="1"/>
  <c r="G41" i="3" a="1"/>
  <c r="G34" i="3" a="1"/>
  <c r="G30" i="3" a="1"/>
  <c r="L53" i="3" a="1"/>
  <c r="D53" i="3" a="1"/>
  <c r="K51" i="3" a="1"/>
  <c r="C51" i="3" a="1"/>
  <c r="J49" i="3" a="1"/>
  <c r="B49" i="3" a="1"/>
  <c r="I47" i="3" a="1"/>
  <c r="H45" i="3" a="1"/>
  <c r="G25" i="3" a="1"/>
  <c r="G21" i="3" a="1"/>
  <c r="H50" i="3" a="1"/>
  <c r="B67" i="3" a="1"/>
  <c r="B59" i="3" a="1"/>
  <c r="H54" i="3" a="1"/>
  <c r="G52" i="3" a="1"/>
  <c r="F50" i="3" a="1"/>
  <c r="E48" i="3" a="1"/>
  <c r="L46" i="3" a="1"/>
  <c r="D46" i="3" a="1"/>
  <c r="G40" i="3" a="1"/>
  <c r="C34" i="3" a="1"/>
  <c r="C30" i="3" a="1"/>
  <c r="B54" i="3" a="1"/>
  <c r="F46" i="3" a="1"/>
  <c r="K53" i="3" a="1"/>
  <c r="C53" i="3" a="1"/>
  <c r="J51" i="3" a="1"/>
  <c r="B51" i="3" a="1"/>
  <c r="I49" i="3" a="1"/>
  <c r="H47" i="3" a="1"/>
  <c r="G45" i="3" a="1"/>
  <c r="C25" i="3" a="1"/>
  <c r="C21" i="3" a="1"/>
  <c r="B66" i="3" a="1"/>
  <c r="B58" i="3" a="1"/>
  <c r="G54" i="3" a="1"/>
  <c r="F52" i="3" a="1"/>
  <c r="E50" i="3" a="1"/>
  <c r="L48" i="3" a="1"/>
  <c r="D48" i="3" a="1"/>
  <c r="K46" i="3" a="1"/>
  <c r="C46" i="3" a="1"/>
  <c r="G39" i="3" a="1"/>
  <c r="G33" i="3" a="1"/>
  <c r="G29" i="3" a="1"/>
  <c r="J53" i="3" a="1"/>
  <c r="B53" i="3" a="1"/>
  <c r="I51" i="3" a="1"/>
  <c r="H49" i="3" a="1"/>
  <c r="G47" i="3" a="1"/>
  <c r="F45" i="3" a="1"/>
  <c r="G24" i="3" a="1"/>
  <c r="G20" i="3" a="1"/>
  <c r="B65" i="3" a="1"/>
  <c r="B57" i="3" a="1"/>
  <c r="F54" i="3" a="1"/>
  <c r="E52" i="3" a="1"/>
  <c r="L50" i="3" a="1"/>
  <c r="D50" i="3" a="1"/>
  <c r="K48" i="3" a="1"/>
  <c r="C48" i="3" a="1"/>
  <c r="J46" i="3" a="1"/>
  <c r="B46" i="3" a="1"/>
  <c r="G38" i="3" a="1"/>
  <c r="C33" i="3" a="1"/>
  <c r="I53" i="3" a="1"/>
  <c r="H51" i="3" a="1"/>
  <c r="G49" i="3" a="1"/>
  <c r="F47" i="3" a="1"/>
  <c r="E45" i="3" a="1"/>
  <c r="G28" i="3" a="1"/>
  <c r="C24" i="3" a="1"/>
  <c r="C20" i="3" a="1"/>
  <c r="I52" i="3" a="1"/>
  <c r="B64" i="3" a="1"/>
  <c r="E54" i="3" a="1"/>
  <c r="L52" i="3" a="1"/>
  <c r="D52" i="3" a="1"/>
  <c r="K50" i="3" a="1"/>
  <c r="C50" i="3" a="1"/>
  <c r="J48" i="3" a="1"/>
  <c r="B48" i="3" a="1"/>
  <c r="I46" i="3" a="1"/>
  <c r="G32" i="3" a="1"/>
  <c r="B61" i="3" a="1"/>
  <c r="H53" i="3" a="1"/>
  <c r="G51" i="3" a="1"/>
  <c r="F49" i="3" a="1"/>
  <c r="E47" i="3" a="1"/>
  <c r="L45" i="3" a="1"/>
  <c r="D45" i="3" a="1"/>
  <c r="G37" i="3" a="1"/>
  <c r="G27" i="3" a="1"/>
  <c r="G23" i="3" a="1"/>
  <c r="G19" i="3" a="1"/>
  <c r="J54" i="3" a="1"/>
  <c r="B63" i="3" a="1"/>
  <c r="L54" i="3" a="1"/>
  <c r="D54" i="3" a="1"/>
  <c r="K52" i="3" a="1"/>
  <c r="C52" i="3" a="1"/>
  <c r="J50" i="3" a="1"/>
  <c r="B50" i="3" a="1"/>
  <c r="I48" i="3" a="1"/>
  <c r="H46" i="3" a="1"/>
  <c r="C32" i="3" a="1"/>
  <c r="G48" i="3" a="1"/>
  <c r="C35" i="3" a="1"/>
  <c r="G53" i="3" a="1"/>
  <c r="F51" i="3" a="1"/>
  <c r="E49" i="3" a="1"/>
  <c r="L47" i="3" a="1"/>
  <c r="D47" i="3" a="1"/>
  <c r="K45" i="3" a="1"/>
  <c r="C45" i="3" a="1"/>
  <c r="C27" i="3" a="1"/>
  <c r="C23" i="3" a="1"/>
  <c r="C19" i="3" a="1"/>
  <c r="B62" i="3" a="1"/>
  <c r="K54" i="3" a="1"/>
  <c r="C54" i="3" a="1"/>
  <c r="J52" i="3" a="1"/>
  <c r="B52" i="3" a="1"/>
  <c r="I50" i="3" a="1"/>
  <c r="H48" i="3" a="1"/>
  <c r="G46" i="3" a="1"/>
  <c r="G36" i="3" a="1"/>
  <c r="G31" i="3" a="1"/>
  <c r="C31" i="3" a="1"/>
  <c r="F53" i="3" a="1"/>
  <c r="E51" i="3" a="1"/>
  <c r="L49" i="3" a="1"/>
  <c r="D49" i="3" a="1"/>
  <c r="K47" i="3" a="1"/>
  <c r="C47" i="3" a="1"/>
  <c r="J45" i="3" a="1"/>
  <c r="B45" i="3" a="1"/>
  <c r="G26" i="3" a="1"/>
  <c r="G22" i="3" a="1"/>
  <c r="C109" i="6" l="1"/>
  <c r="C110" i="6"/>
  <c r="G22" i="3"/>
  <c r="G26" i="3"/>
  <c r="B45" i="3"/>
  <c r="J45" i="3"/>
  <c r="C47" i="3"/>
  <c r="K47" i="3"/>
  <c r="D49" i="3"/>
  <c r="L49" i="3"/>
  <c r="E51" i="3"/>
  <c r="F53" i="3"/>
  <c r="C31" i="3"/>
  <c r="G31" i="3"/>
  <c r="G36" i="3"/>
  <c r="G46" i="3"/>
  <c r="H48" i="3"/>
  <c r="I50" i="3"/>
  <c r="B52" i="3"/>
  <c r="J52" i="3"/>
  <c r="C54" i="3"/>
  <c r="K54" i="3"/>
  <c r="B62" i="3"/>
  <c r="D10" i="3" s="1"/>
  <c r="C19" i="3"/>
  <c r="C23" i="3"/>
  <c r="C27" i="3"/>
  <c r="C45" i="3"/>
  <c r="K45" i="3"/>
  <c r="D47" i="3"/>
  <c r="L47" i="3"/>
  <c r="E49" i="3"/>
  <c r="F51" i="3"/>
  <c r="G53" i="3"/>
  <c r="C35" i="3"/>
  <c r="G48" i="3"/>
  <c r="C32" i="3"/>
  <c r="H46" i="3"/>
  <c r="I48" i="3"/>
  <c r="B50" i="3"/>
  <c r="J50" i="3"/>
  <c r="C52" i="3"/>
  <c r="K52" i="3"/>
  <c r="D54" i="3"/>
  <c r="L54" i="3"/>
  <c r="B63" i="3"/>
  <c r="D9" i="3" s="1"/>
  <c r="J54" i="3"/>
  <c r="G19" i="3"/>
  <c r="G23" i="3"/>
  <c r="G27" i="3"/>
  <c r="G37" i="3"/>
  <c r="D45" i="3"/>
  <c r="L45" i="3"/>
  <c r="E47" i="3"/>
  <c r="F49" i="3"/>
  <c r="G51" i="3"/>
  <c r="H53" i="3"/>
  <c r="B61" i="3"/>
  <c r="D7" i="3" s="1"/>
  <c r="G32" i="3"/>
  <c r="I46" i="3"/>
  <c r="B48" i="3"/>
  <c r="J48" i="3"/>
  <c r="C50" i="3"/>
  <c r="K50" i="3"/>
  <c r="D52" i="3"/>
  <c r="L52" i="3"/>
  <c r="E54" i="3"/>
  <c r="B64" i="3"/>
  <c r="D11" i="3" s="1"/>
  <c r="I52" i="3"/>
  <c r="C20" i="3"/>
  <c r="C24" i="3"/>
  <c r="G28" i="3"/>
  <c r="E45" i="3"/>
  <c r="F47" i="3"/>
  <c r="G49" i="3"/>
  <c r="H51" i="3"/>
  <c r="I53" i="3"/>
  <c r="C33" i="3"/>
  <c r="G38" i="3"/>
  <c r="B46" i="3"/>
  <c r="J46" i="3"/>
  <c r="C48" i="3"/>
  <c r="K48" i="3"/>
  <c r="D50" i="3"/>
  <c r="L50" i="3"/>
  <c r="E52" i="3"/>
  <c r="F54" i="3"/>
  <c r="B57" i="3"/>
  <c r="B65" i="3"/>
  <c r="D12" i="3" s="1"/>
  <c r="G20" i="3"/>
  <c r="G24" i="3"/>
  <c r="F45" i="3"/>
  <c r="G47" i="3"/>
  <c r="H49" i="3"/>
  <c r="I51" i="3"/>
  <c r="B53" i="3"/>
  <c r="J53" i="3"/>
  <c r="G29" i="3"/>
  <c r="G33" i="3"/>
  <c r="G39" i="3"/>
  <c r="C46" i="3"/>
  <c r="K46" i="3"/>
  <c r="D48" i="3"/>
  <c r="L48" i="3"/>
  <c r="E50" i="3"/>
  <c r="F52" i="3"/>
  <c r="G54" i="3"/>
  <c r="B58" i="3"/>
  <c r="B66" i="3"/>
  <c r="D13" i="3" s="1"/>
  <c r="C21" i="3"/>
  <c r="C25" i="3"/>
  <c r="F5" i="3" s="1"/>
  <c r="G45" i="3"/>
  <c r="H47" i="3"/>
  <c r="I49" i="3"/>
  <c r="B51" i="3"/>
  <c r="J51" i="3"/>
  <c r="C53" i="3"/>
  <c r="K53" i="3"/>
  <c r="F46" i="3"/>
  <c r="B54" i="3"/>
  <c r="C30" i="3"/>
  <c r="C34" i="3"/>
  <c r="G40" i="3"/>
  <c r="D46" i="3"/>
  <c r="L46" i="3"/>
  <c r="E48" i="3"/>
  <c r="F50" i="3"/>
  <c r="G52" i="3"/>
  <c r="H54" i="3"/>
  <c r="B59" i="3"/>
  <c r="D14" i="3" s="1"/>
  <c r="G14" i="3" s="1"/>
  <c r="B67" i="3"/>
  <c r="H50" i="3"/>
  <c r="G21" i="3"/>
  <c r="G25" i="3"/>
  <c r="H45" i="3"/>
  <c r="I47" i="3"/>
  <c r="B49" i="3"/>
  <c r="J49" i="3"/>
  <c r="C51" i="3"/>
  <c r="K51" i="3"/>
  <c r="D53" i="3"/>
  <c r="L53" i="3"/>
  <c r="G30" i="3"/>
  <c r="G34" i="3"/>
  <c r="G41" i="3"/>
  <c r="E46" i="3"/>
  <c r="F48" i="3"/>
  <c r="G50" i="3"/>
  <c r="H52" i="3"/>
  <c r="I54" i="3"/>
  <c r="B60" i="3"/>
  <c r="D6" i="3" s="1"/>
  <c r="B68" i="3"/>
  <c r="D8" i="3" s="1"/>
  <c r="C22" i="3"/>
  <c r="C26" i="3"/>
  <c r="I45" i="3"/>
  <c r="B47" i="3"/>
  <c r="J47" i="3"/>
  <c r="C49" i="3"/>
  <c r="K49" i="3"/>
  <c r="D51" i="3"/>
  <c r="L51" i="3"/>
  <c r="E53" i="3"/>
  <c r="C62" i="6"/>
  <c r="C28" i="6"/>
  <c r="C124" i="6" a="1"/>
  <c r="C55" i="6"/>
  <c r="C57" i="6"/>
  <c r="C126" i="6" a="1"/>
  <c r="C74" i="6"/>
  <c r="C15" i="6"/>
  <c r="C26" i="6"/>
  <c r="C80" i="6"/>
  <c r="C29" i="6"/>
  <c r="C81" i="6"/>
  <c r="C67" i="6"/>
  <c r="C115" i="6" a="1"/>
  <c r="C38" i="6"/>
  <c r="C117" i="6" a="1"/>
  <c r="C49" i="6"/>
  <c r="C107" i="6" a="1"/>
  <c r="C72" i="6"/>
  <c r="C121" i="6" a="1"/>
  <c r="C136" i="6" a="1"/>
  <c r="C8" i="6"/>
  <c r="C92" i="6"/>
  <c r="C5" i="6"/>
  <c r="C25" i="6"/>
  <c r="C64" i="6"/>
  <c r="C96" i="6"/>
  <c r="C87" i="6"/>
  <c r="C6" i="6"/>
  <c r="C47" i="6"/>
  <c r="C99" i="6"/>
  <c r="C85" i="6"/>
  <c r="C108" i="6" a="1"/>
  <c r="C133" i="6" a="1"/>
  <c r="C65" i="6"/>
  <c r="C130" i="6" a="1"/>
  <c r="C89" i="6"/>
  <c r="C102" i="6" a="1"/>
  <c r="C60" i="6"/>
  <c r="C3" i="6"/>
  <c r="C135" i="6" a="1"/>
  <c r="C97" i="6"/>
  <c r="C84" i="6"/>
  <c r="C83" i="6"/>
  <c r="C86" i="6"/>
  <c r="C119" i="6" a="1"/>
  <c r="C45" i="6"/>
  <c r="C61" i="6"/>
  <c r="C36" i="6"/>
  <c r="C33" i="6"/>
  <c r="C79" i="6"/>
  <c r="C76" i="6"/>
  <c r="C116" i="6" a="1"/>
  <c r="C50" i="6"/>
  <c r="C20" i="6"/>
  <c r="C123" i="6" a="1"/>
  <c r="C53" i="6"/>
  <c r="C105" i="6" a="1"/>
  <c r="C11" i="6"/>
  <c r="C52" i="6"/>
  <c r="C88" i="6"/>
  <c r="C13" i="6"/>
  <c r="C24" i="6"/>
  <c r="C118" i="6" a="1"/>
  <c r="C51" i="6"/>
  <c r="C18" i="6"/>
  <c r="C37" i="6"/>
  <c r="C112" i="6" a="1"/>
  <c r="C48" i="6"/>
  <c r="C21" i="6"/>
  <c r="C32" i="6"/>
  <c r="C122" i="6" a="1"/>
  <c r="C63" i="6"/>
  <c r="C71" i="6"/>
  <c r="C58" i="6"/>
  <c r="C7" i="6"/>
  <c r="C75" i="6"/>
  <c r="C54" i="6"/>
  <c r="C95" i="6"/>
  <c r="C34" i="6"/>
  <c r="C56" i="6"/>
  <c r="C42" i="6"/>
  <c r="C113" i="6" a="1"/>
  <c r="C68" i="6"/>
  <c r="C128" i="6" a="1"/>
  <c r="C12" i="6"/>
  <c r="C131" i="6" a="1"/>
  <c r="C120" i="6" a="1"/>
  <c r="C137" i="6" a="1"/>
  <c r="C1" i="6"/>
  <c r="C16" i="6"/>
  <c r="C78" i="6"/>
  <c r="C94" i="6"/>
  <c r="C125" i="6" a="1"/>
  <c r="C66" i="6"/>
  <c r="C41" i="6"/>
  <c r="C22" i="6"/>
  <c r="C73" i="6"/>
  <c r="C134" i="6" a="1"/>
  <c r="C127" i="6" a="1"/>
  <c r="C132" i="6" a="1"/>
  <c r="C23" i="6"/>
  <c r="C31" i="6"/>
  <c r="C9" i="6"/>
  <c r="C100" i="6" a="1"/>
  <c r="C111" i="6" a="1"/>
  <c r="C4" i="6"/>
  <c r="C103" i="6" a="1"/>
  <c r="C114" i="6" a="1"/>
  <c r="C46" i="6"/>
  <c r="C35" i="6"/>
  <c r="C129" i="6" a="1"/>
  <c r="C19" i="6"/>
  <c r="C98" i="6"/>
  <c r="C39" i="6"/>
  <c r="C17" i="6"/>
  <c r="C40" i="6"/>
  <c r="C43" i="6"/>
  <c r="C14" i="6"/>
  <c r="C30" i="6"/>
  <c r="C106" i="6" a="1"/>
  <c r="C44" i="6"/>
  <c r="C69" i="6"/>
  <c r="C90" i="6"/>
  <c r="C2" i="6"/>
  <c r="C101" i="6" a="1"/>
  <c r="C10" i="6"/>
  <c r="C77" i="6"/>
  <c r="C82" i="6"/>
  <c r="C70" i="6"/>
  <c r="C91" i="6"/>
  <c r="C104" i="6" a="1"/>
  <c r="C27" i="6"/>
  <c r="C59" i="6"/>
  <c r="C93" i="6"/>
  <c r="C104" i="6" l="1"/>
  <c r="C101" i="6"/>
  <c r="C106" i="6"/>
  <c r="C129" i="6"/>
  <c r="C114" i="6"/>
  <c r="C103" i="6"/>
  <c r="C111" i="6"/>
  <c r="C100" i="6"/>
  <c r="C132" i="6"/>
  <c r="C127" i="6"/>
  <c r="C134" i="6"/>
  <c r="C125" i="6"/>
  <c r="C137" i="6"/>
  <c r="C120" i="6"/>
  <c r="C131" i="6"/>
  <c r="C128" i="6"/>
  <c r="C113" i="6"/>
  <c r="C122" i="6"/>
  <c r="C112" i="6"/>
  <c r="C118" i="6"/>
  <c r="C105" i="6"/>
  <c r="C123" i="6"/>
  <c r="C116" i="6"/>
  <c r="C119" i="6"/>
  <c r="C135" i="6"/>
  <c r="C102" i="6"/>
  <c r="C130" i="6"/>
  <c r="C133" i="6"/>
  <c r="C108" i="6"/>
  <c r="C136" i="6"/>
  <c r="C121" i="6"/>
  <c r="C107" i="6"/>
  <c r="C117" i="6"/>
  <c r="C115" i="6"/>
  <c r="C126" i="6"/>
  <c r="C124" i="6"/>
  <c r="D5" i="3"/>
  <c r="E7" i="3"/>
  <c r="E10" i="3"/>
  <c r="D15" i="3"/>
  <c r="M51" i="3"/>
  <c r="B10" i="3" s="1"/>
  <c r="E9" i="3"/>
  <c r="E12" i="3"/>
  <c r="C29" i="3"/>
  <c r="C13" i="3" s="1"/>
  <c r="C16" i="3" s="1"/>
  <c r="M48" i="3"/>
  <c r="B7" i="3" s="1"/>
  <c r="M46" i="3"/>
  <c r="B5" i="3" s="1"/>
  <c r="F4" i="3"/>
  <c r="F16" i="3" s="1"/>
  <c r="C18" i="3"/>
  <c r="M47" i="3"/>
  <c r="B6" i="3" s="1"/>
  <c r="M49" i="3"/>
  <c r="B8" i="3" s="1"/>
  <c r="G8" i="3" s="1"/>
  <c r="M54" i="3"/>
  <c r="B15" i="3" s="1"/>
  <c r="D4" i="3"/>
  <c r="B56" i="3"/>
  <c r="E4" i="3"/>
  <c r="G18" i="3"/>
  <c r="E5" i="3"/>
  <c r="M50" i="3"/>
  <c r="B9" i="3" s="1"/>
  <c r="M45" i="3"/>
  <c r="M53" i="3"/>
  <c r="B12" i="3" s="1"/>
  <c r="E11" i="3"/>
  <c r="M52" i="3"/>
  <c r="B11" i="3" s="1"/>
  <c r="E6" i="3"/>
  <c r="G7" i="3" l="1"/>
  <c r="G10" i="3"/>
  <c r="G12" i="3"/>
  <c r="G9" i="3"/>
  <c r="G13" i="3"/>
  <c r="D16" i="3"/>
  <c r="G15" i="3"/>
  <c r="G6" i="3"/>
  <c r="E16" i="3"/>
  <c r="G11" i="3"/>
  <c r="G5" i="3"/>
  <c r="B4" i="3"/>
  <c r="K43" i="3"/>
  <c r="B16" i="3" l="1"/>
  <c r="G4" i="3"/>
  <c r="G16" i="3" s="1"/>
  <c r="A1" i="3" s="1"/>
  <c r="K36" i="2" l="1"/>
  <c r="J36" i="2"/>
  <c r="I36" i="2"/>
  <c r="H36" i="2"/>
  <c r="S35" i="2"/>
  <c r="R35" i="2"/>
  <c r="Q35" i="2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S36" i="2" s="1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N8" i="2"/>
  <c r="M8" i="2"/>
  <c r="L8" i="2"/>
  <c r="S7" i="2"/>
  <c r="R7" i="2"/>
  <c r="Q7" i="2"/>
  <c r="N7" i="2"/>
  <c r="M7" i="2"/>
  <c r="L7" i="2"/>
  <c r="F7" i="2"/>
  <c r="F8" i="2" s="1"/>
  <c r="S6" i="2"/>
  <c r="R6" i="2"/>
  <c r="Q6" i="2"/>
  <c r="N6" i="2"/>
  <c r="M6" i="2"/>
  <c r="L6" i="2"/>
  <c r="F6" i="2"/>
  <c r="O6" i="2" s="1"/>
  <c r="S5" i="2"/>
  <c r="R5" i="2"/>
  <c r="R36" i="2" s="1"/>
  <c r="Q5" i="2"/>
  <c r="Q36" i="2" s="1"/>
  <c r="O5" i="2"/>
  <c r="N5" i="2"/>
  <c r="N36" i="2" s="1"/>
  <c r="M5" i="2"/>
  <c r="M36" i="2" s="1"/>
  <c r="L5" i="2"/>
  <c r="L36" i="2" s="1"/>
  <c r="F5" i="2"/>
  <c r="A2" i="2"/>
  <c r="F9" i="2" l="1"/>
  <c r="O8" i="2"/>
  <c r="T8" i="2" s="1"/>
  <c r="G8" i="2"/>
  <c r="P8" i="2" s="1"/>
  <c r="G7" i="2"/>
  <c r="P7" i="2" s="1"/>
  <c r="O7" i="2"/>
  <c r="T7" i="2" s="1"/>
  <c r="G6" i="2"/>
  <c r="P6" i="2" s="1"/>
  <c r="T6" i="2" s="1"/>
  <c r="G9" i="2"/>
  <c r="P9" i="2" s="1"/>
  <c r="G5" i="2"/>
  <c r="O9" i="2" l="1"/>
  <c r="T9" i="2" s="1"/>
  <c r="F10" i="2"/>
  <c r="P5" i="2"/>
  <c r="T5" i="2" l="1"/>
  <c r="O10" i="2"/>
  <c r="F11" i="2"/>
  <c r="G10" i="2"/>
  <c r="F12" i="2" l="1"/>
  <c r="O11" i="2"/>
  <c r="G11" i="2"/>
  <c r="P11" i="2" s="1"/>
  <c r="P10" i="2"/>
  <c r="T10" i="2" l="1"/>
  <c r="T11" i="2"/>
  <c r="F13" i="2"/>
  <c r="O12" i="2"/>
  <c r="G12" i="2"/>
  <c r="P12" i="2" s="1"/>
  <c r="T12" i="2" l="1"/>
  <c r="F14" i="2"/>
  <c r="O13" i="2"/>
  <c r="G13" i="2"/>
  <c r="P13" i="2" s="1"/>
  <c r="F15" i="2" l="1"/>
  <c r="O14" i="2"/>
  <c r="G14" i="2"/>
  <c r="P14" i="2" s="1"/>
  <c r="T13" i="2"/>
  <c r="O15" i="2" l="1"/>
  <c r="F16" i="2"/>
  <c r="G15" i="2"/>
  <c r="P15" i="2" s="1"/>
  <c r="T14" i="2"/>
  <c r="O16" i="2" l="1"/>
  <c r="F17" i="2"/>
  <c r="G16" i="2"/>
  <c r="P16" i="2" s="1"/>
  <c r="T15" i="2"/>
  <c r="F18" i="2" l="1"/>
  <c r="O17" i="2"/>
  <c r="G17" i="2"/>
  <c r="P17" i="2" s="1"/>
  <c r="T16" i="2"/>
  <c r="T17" i="2" l="1"/>
  <c r="O18" i="2"/>
  <c r="F19" i="2"/>
  <c r="G18" i="2"/>
  <c r="P18" i="2" s="1"/>
  <c r="O19" i="2" l="1"/>
  <c r="F20" i="2"/>
  <c r="G19" i="2"/>
  <c r="P19" i="2" s="1"/>
  <c r="T18" i="2"/>
  <c r="F21" i="2" l="1"/>
  <c r="O20" i="2"/>
  <c r="G20" i="2"/>
  <c r="P20" i="2" s="1"/>
  <c r="T19" i="2"/>
  <c r="T20" i="2" l="1"/>
  <c r="F22" i="2"/>
  <c r="O21" i="2"/>
  <c r="G21" i="2"/>
  <c r="P21" i="2" s="1"/>
  <c r="T21" i="2" l="1"/>
  <c r="O22" i="2"/>
  <c r="F23" i="2"/>
  <c r="G22" i="2"/>
  <c r="P22" i="2" s="1"/>
  <c r="T22" i="2" l="1"/>
  <c r="F24" i="2"/>
  <c r="O23" i="2"/>
  <c r="G23" i="2"/>
  <c r="P23" i="2" s="1"/>
  <c r="F25" i="2" l="1"/>
  <c r="O24" i="2"/>
  <c r="G24" i="2"/>
  <c r="P24" i="2" s="1"/>
  <c r="T23" i="2"/>
  <c r="T24" i="2" l="1"/>
  <c r="O25" i="2"/>
  <c r="F26" i="2"/>
  <c r="G25" i="2"/>
  <c r="P25" i="2" s="1"/>
  <c r="T25" i="2" l="1"/>
  <c r="O26" i="2"/>
  <c r="F27" i="2"/>
  <c r="G26" i="2"/>
  <c r="P26" i="2" s="1"/>
  <c r="F28" i="2" l="1"/>
  <c r="O27" i="2"/>
  <c r="G27" i="2"/>
  <c r="P27" i="2" s="1"/>
  <c r="T26" i="2"/>
  <c r="T27" i="2" l="1"/>
  <c r="O28" i="2"/>
  <c r="F29" i="2"/>
  <c r="G28" i="2"/>
  <c r="P28" i="2" s="1"/>
  <c r="T28" i="2" l="1"/>
  <c r="O29" i="2"/>
  <c r="F30" i="2"/>
  <c r="G29" i="2"/>
  <c r="P29" i="2" s="1"/>
  <c r="F31" i="2" l="1"/>
  <c r="O30" i="2"/>
  <c r="G30" i="2"/>
  <c r="P30" i="2" s="1"/>
  <c r="T29" i="2"/>
  <c r="T30" i="2" l="1"/>
  <c r="F32" i="2"/>
  <c r="O31" i="2"/>
  <c r="G31" i="2"/>
  <c r="P31" i="2" s="1"/>
  <c r="T31" i="2" l="1"/>
  <c r="F33" i="2"/>
  <c r="O32" i="2"/>
  <c r="G32" i="2"/>
  <c r="P32" i="2" s="1"/>
  <c r="T32" i="2" l="1"/>
  <c r="F34" i="2"/>
  <c r="O33" i="2"/>
  <c r="G33" i="2"/>
  <c r="P33" i="2" s="1"/>
  <c r="T33" i="2" l="1"/>
  <c r="O34" i="2"/>
  <c r="F35" i="2"/>
  <c r="G34" i="2"/>
  <c r="P34" i="2" s="1"/>
  <c r="T34" i="2" l="1"/>
  <c r="O35" i="2"/>
  <c r="G35" i="2"/>
  <c r="F36" i="2"/>
  <c r="P35" i="2" l="1"/>
  <c r="P36" i="2" s="1"/>
  <c r="G36" i="2"/>
  <c r="T35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<sst xmlns="http://schemas.openxmlformats.org/spreadsheetml/2006/main" count="2294" uniqueCount="299">
  <si>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</si>
  <si>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</si>
  <si>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</si>
  <si>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</si>
  <si>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</si>
  <si>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</si>
  <si>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</si>
  <si>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</si>
  <si>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</si>
  <si>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</si>
  <si>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</si>
  <si>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</si>
  <si>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</si>
  <si>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</si>
  <si>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</si>
  <si>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</si>
  <si>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</si>
  <si>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</si>
  <si>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</si>
  <si>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</si>
  <si>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</si>
  <si>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</si>
  <si>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</si>
  <si>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</si>
  <si>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</si>
  <si>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</si>
  <si>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</si>
  <si>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</si>
  <si>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</si>
  <si>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</si>
  <si>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</si>
  <si>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</si>
  <si>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</si>
  <si>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</si>
  <si>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</si>
  <si>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</si>
  <si>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</si>
  <si>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</si>
  <si>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</si>
  <si>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</si>
  <si>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</si>
  <si>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</si>
  <si>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</si>
  <si>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</si>
  <si>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</si>
  <si>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</si>
  <si>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</si>
  <si>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</si>
  <si>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</si>
  <si>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</si>
  <si>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</si>
  <si>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</si>
  <si>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</si>
  <si>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</si>
  <si>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</si>
  <si>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</si>
  <si>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</si>
  <si>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</si>
  <si>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</si>
  <si>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</si>
  <si>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</si>
  <si>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</si>
  <si>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МТО 2520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</si>
  <si>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</si>
  <si>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</si>
  <si>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</si>
  <si>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</si>
  <si>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</si>
  <si>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</si>
  <si>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</si>
  <si>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</si>
  <si>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</si>
  <si>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</si>
  <si>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</si>
  <si>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</si>
  <si>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</si>
  <si>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</si>
  <si>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</si>
  <si>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</si>
  <si>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</si>
  <si>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</si>
  <si>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</si>
  <si>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</si>
  <si>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</si>
  <si>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</si>
  <si>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</si>
  <si>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</si>
  <si>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</si>
  <si>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</si>
  <si>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</si>
  <si>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</si>
  <si>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</si>
  <si>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</si>
  <si>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</si>
  <si>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КП КОС</t>
  </si>
  <si>
    <t>КП Нижнекамск</t>
  </si>
  <si>
    <t>Резерв 8000 т</t>
  </si>
  <si>
    <t>Приемка</t>
  </si>
  <si>
    <t>Отгрузка</t>
  </si>
  <si>
    <t>Резерв ПРР 300 т</t>
  </si>
  <si>
    <t>Стоимость резерва хранения</t>
  </si>
  <si>
    <t>Стоимость ПРР</t>
  </si>
  <si>
    <t>Стоимость резерва ПРР</t>
  </si>
  <si>
    <t>Хранение Баумана</t>
  </si>
  <si>
    <t>Хранение Новикова</t>
  </si>
  <si>
    <t>Хранение Березовая Пойма</t>
  </si>
  <si>
    <t>Общее хранение</t>
  </si>
  <si>
    <t>стоимость резерва</t>
  </si>
  <si>
    <t>Выходной</t>
  </si>
  <si>
    <t>Рабочий</t>
  </si>
  <si>
    <t>Выгрузка</t>
  </si>
  <si>
    <t>Выгрузка кол-во тонн</t>
  </si>
  <si>
    <t>Загрузка кол-во тонн</t>
  </si>
  <si>
    <t>Выгрузка после 20:00</t>
  </si>
  <si>
    <t>Загрузка после 20:00</t>
  </si>
  <si>
    <t>Стоимость выгрузки после 20:00</t>
  </si>
  <si>
    <t>Стоимость загрузки после 20:00</t>
  </si>
  <si>
    <t>(кол-во тонн)</t>
  </si>
  <si>
    <t>С НДС;</t>
  </si>
  <si>
    <t xml:space="preserve">по Договору хранения № РУС 4102 от «20» февраля 2023 г.      </t>
  </si>
  <si>
    <t xml:space="preserve">     </t>
  </si>
  <si>
    <t>Приемка товара</t>
  </si>
  <si>
    <t>тонн</t>
  </si>
  <si>
    <t>Приемка товара в выходные дни</t>
  </si>
  <si>
    <t>Приемка после 20:00</t>
  </si>
  <si>
    <t>Загрузка товара в выходные дни</t>
  </si>
  <si>
    <t>Загрузка товара</t>
  </si>
  <si>
    <t>Хранение товара</t>
  </si>
  <si>
    <t>Резерв хранения</t>
  </si>
  <si>
    <t>Резерв ПРР</t>
  </si>
  <si>
    <t>ООО "РусВинил"</t>
  </si>
  <si>
    <t>____________________Расстегаев Д.О.</t>
  </si>
  <si>
    <t xml:space="preserve">по Договору хранения № СХ.47103 от «10» апреля 2025 г.      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</si>
  <si>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</si>
  <si>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</si>
  <si>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</si>
  <si>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</si>
  <si>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</si>
  <si>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</si>
  <si>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семьдесят четыре тысячи рублей ноль копеек</t>
  </si>
  <si>
    <t xml:space="preserve">Без налога (НДС): </t>
  </si>
  <si>
    <t>девяносто тысяч двести восемьдесят рублей ноль копеек</t>
  </si>
  <si>
    <t>ПАО "СИБУР Холдинг"</t>
  </si>
  <si>
    <t>тридцать две тысячи рублей ноль копеек</t>
  </si>
  <si>
    <t>тридцать девять тысяч сорок рублей ноль копеек</t>
  </si>
  <si>
    <t>Отчет по хранению  товара  за Февраль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</si>
  <si>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</si>
  <si>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</si>
  <si>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</si>
  <si>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</si>
  <si>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</si>
  <si>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</si>
  <si>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</si>
  <si>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</si>
  <si>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</si>
  <si>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</si>
  <si>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</si>
  <si>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Февраль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</si>
  <si>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</si>
  <si>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</si>
  <si>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</si>
  <si>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</si>
  <si>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</si>
  <si>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</si>
  <si>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</si>
  <si>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</si>
  <si>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</si>
  <si>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Февраль</t>
  </si>
  <si>
    <t>ручная загрузка</t>
  </si>
  <si>
    <t>стоимость загр.. Работ</t>
  </si>
  <si>
    <t>мультипак</t>
  </si>
  <si>
    <t>шт,.</t>
  </si>
  <si>
    <t>Отчет по хранению  товара  Ергарда за Февраль</t>
  </si>
  <si>
    <t>Цены</t>
  </si>
  <si>
    <t>Загрузка</t>
  </si>
  <si>
    <t>Переконсолидация</t>
  </si>
  <si>
    <t xml:space="preserve">по Договору хранения № СХ.45411 от «01» января 2025 г.      </t>
  </si>
  <si>
    <t>Переконсолидация Товара</t>
  </si>
  <si>
    <t>тонна</t>
  </si>
  <si>
    <t>Предоставление фито поддона</t>
  </si>
  <si>
    <t>штука</t>
  </si>
  <si>
    <t>четырнадцать тысяч рублей ноль копеек</t>
  </si>
  <si>
    <t>семнадцать тысяч восемьдесят рублей ноль копеек</t>
  </si>
  <si>
    <t>тридцать шесть тысяч рублей ноль копеек</t>
  </si>
  <si>
    <t>сорок три тысячм девятьсот двадцать рублей ноль копеек</t>
  </si>
  <si>
    <t>сто шестьдесят шесть тысяч рублей ноль копеек</t>
  </si>
  <si>
    <t>двести две тысячи пятьсот двадцать рублей ноль копеек</t>
  </si>
  <si>
    <t>Отчет по хранению товара за Март 2026 Баумана KPI</t>
  </si>
  <si>
    <t>Резервирование 0</t>
  </si>
  <si>
    <t>Мин. Суточный резерв 0</t>
  </si>
  <si>
    <t>Взвешивание</t>
  </si>
  <si>
    <t>стоимость взвешивания</t>
  </si>
  <si>
    <t>стоимость выгрузки за 1 месяц</t>
  </si>
  <si>
    <t>стоимость загрузки за 1 месяц</t>
  </si>
  <si>
    <t>стоимость хранения 
за 1 месяц</t>
  </si>
  <si>
    <t>Доплата за хранение за 1 месяц</t>
  </si>
  <si>
    <t>Доплата за ПРР за 1 месяц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</si>
  <si>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</si>
  <si>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</si>
  <si>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</si>
  <si>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</si>
  <si>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</si>
  <si>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</si>
  <si>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</si>
  <si>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</si>
  <si>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</si>
  <si>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</si>
  <si>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</si>
  <si>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</si>
  <si>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</si>
  <si>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</si>
  <si>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</si>
  <si>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</si>
  <si>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</si>
  <si>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</si>
  <si>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</si>
  <si>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</si>
  <si>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</si>
  <si>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</si>
  <si>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</si>
  <si>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</si>
  <si>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</si>
  <si>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</si>
  <si>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</si>
  <si>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</si>
  <si>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</si>
  <si>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</si>
  <si>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</si>
  <si>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Отчет по хранению товара за Март 2026 Баумана Полимеры</t>
  </si>
  <si>
    <t>Отчет по хранению товара за Март 2026 Баумана Полиом</t>
  </si>
  <si>
    <t>Отчет по хранению товара за Март 2025 Баумана KPI</t>
  </si>
  <si>
    <t>Резервирование 6920 ГЕ</t>
  </si>
  <si>
    <t>Мин. Суточный резерв 600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</si>
  <si>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</si>
  <si>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</si>
  <si>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</si>
  <si>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</si>
  <si>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</si>
  <si>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</si>
  <si>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</si>
  <si>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</si>
  <si>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</si>
  <si>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</si>
  <si>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</si>
  <si>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</si>
  <si>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</si>
  <si>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</si>
  <si>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</si>
  <si>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</si>
  <si>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</si>
  <si>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</si>
  <si>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</si>
  <si>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</si>
  <si>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</si>
  <si>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</si>
  <si>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</si>
  <si>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</si>
  <si>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</si>
  <si>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</si>
  <si>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</si>
  <si>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</si>
  <si>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</si>
  <si>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</si>
  <si>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</si>
  <si>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Отчет по хранению товара за Март 2025 Баумана Полимеры</t>
  </si>
  <si>
    <t>Отчет по хранению товара за Март 2025 Баумана_тонны Полимеры</t>
  </si>
  <si>
    <t>Отчет по хранению товара за Март 2025 Баумана Полиом</t>
  </si>
  <si>
    <t>Отчет по хранению товара за Март 2026 Екатеринбург KPI</t>
  </si>
  <si>
    <t>Резервирование 
10 500 т</t>
  </si>
  <si>
    <t>Мин. Суточный резерв 1000 т</t>
  </si>
  <si>
    <t>стоимость резерва ПРР</t>
  </si>
  <si>
    <t>Отчет по хранению товара за Март 2026 Екатеринбург Полимеры</t>
  </si>
  <si>
    <t>Отчет по хранению товара за Март 2026 Екатеринбург Полиом</t>
  </si>
  <si>
    <t>Отчет по хранению товара за Март 2026 Екатеринбург НПЭГ НПЭГ</t>
  </si>
  <si>
    <t>Резервирование 10500 ГЕ</t>
  </si>
  <si>
    <t>Мин. Суточный резерв 1000</t>
  </si>
  <si>
    <t>Отчет по хранению товара за Март 2026 Зеленодольск KPI</t>
  </si>
  <si>
    <t>Отчет по хранению товара за Март 2026 Зеленодольск Данафлекс</t>
  </si>
  <si>
    <t>Отчет по хранению товара за Март 2026 Зеленодольск Полимеры</t>
  </si>
  <si>
    <t>Отчет по хранению товара за Март 2026 Казань_Автосервисная Полимеры</t>
  </si>
  <si>
    <t>Резервирование 0 т</t>
  </si>
  <si>
    <t>стоимость хранения за 1 месяц</t>
  </si>
  <si>
    <t>Отчет по хранению товара за Март 2026 Казань_Автосервисная Полиом</t>
  </si>
  <si>
    <t>Отчет по хранению товара за Март 2026 Казань_Приволжская Полимеры</t>
  </si>
  <si>
    <t>Отчет по хранению товара за Март 2026 Нижнекамск НПЭГ НПЭГ</t>
  </si>
  <si>
    <t>Резервирование 1000 ГЕ</t>
  </si>
  <si>
    <t>Мин. Суточный резерв 100</t>
  </si>
  <si>
    <t>Отчет по хранению товара за Март 2026 Нижнекамск ПСОН ПСОН</t>
  </si>
  <si>
    <t>Резервирование 5000 т</t>
  </si>
  <si>
    <t>Отчет по хранению товара за Март 2026 Новикова-Прибоя KPI</t>
  </si>
  <si>
    <t>Отчет по хранению товара за Март 2026 Новикова-Прибоя Полимеры</t>
  </si>
  <si>
    <t>Отчет по хранению товара за Март 2026 Новикова-Прибоя Полиом</t>
  </si>
  <si>
    <t>Отчет по хранению товара за Март 2026 Новосибирск KPI</t>
  </si>
  <si>
    <t>Отчет по хранению товара за Март 2026 Новосибирск Полимеры</t>
  </si>
  <si>
    <t>Отчет по хранению товара за Март 2026 Новосибирск Полиом</t>
  </si>
  <si>
    <t>Отчет по хранению товара за Март 2026 Новосибирск Порошок Порошок</t>
  </si>
  <si>
    <t>Отчет по хранению товара за Март 2026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</si>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</sst>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₽&quot;#,##0.00_);\(&quot;₽&quot;#,##0.00\)"/>
    <numFmt numFmtId="44" formatCode="_(&quot;₽&quot;* #,##0.00_);_(&quot;₽&quot;* \(#,##0.00\);_(&quot;₽&quot;* &quot;-&quot;??_);_(@_)"/>
    <numFmt numFmtId="164" formatCode="0.000000"/>
    <numFmt numFmtId="165" formatCode="0.000"/>
    <numFmt numFmtId="166" formatCode="0.0000"/>
    <numFmt numFmtId="167" formatCode="#,##0.00\ &quot;₽&quot;"/>
    <numFmt numFmtId="168" formatCode="#,##0.000"/>
    <numFmt numFmtId="169" formatCode="_-* #,##0.00\ [$₽-419]_-;\-* #,##0.00\ [$₽-419]_-;_-* &quot;-&quot;??\ [$₽-419]_-;_-@_-"/>
    <numFmt numFmtId="170" formatCode="_-* #,##0.00\ &quot;₽&quot;_-;\-* #,##0.00\ &quot;₽&quot;_-;_-* &quot;-&quot;??\ &quot;₽&quot;_-;_-@"/>
    <numFmt numFmtId="171" formatCode="0.0"/>
  </numFmts>
  <fonts count="14">
    <font>
      <sz val="11"/>
      <color theme="1"/>
      <name val="Calibri"/>
      <family val="2"/>
      <charset val="204"/>
    </font>
    <font>
      <sz val="12"/>
      <color theme="1"/>
      <name val="0xProto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ptos Narrow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7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44" fontId="3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23">
    <xf numFmtId="0" fontId="0" fillId="0" borderId="0" xfId="0"/>
    <xf numFmtId="0" fontId="6" fillId="0" borderId="9" xfId="6" applyFont="1" applyBorder="1" applyAlignment="1">
      <alignment horizontal="center"/>
    </xf>
    <xf numFmtId="0" fontId="6" fillId="0" borderId="24" xfId="6" applyFont="1" applyBorder="1" applyAlignment="1">
      <alignment horizontal="center"/>
    </xf>
    <xf numFmtId="0" fontId="6" fillId="0" borderId="16" xfId="6" applyFont="1" applyBorder="1"/>
    <xf numFmtId="0" fontId="6" fillId="0" borderId="0" xfId="6" applyFont="1"/>
    <xf numFmtId="0" fontId="6" fillId="0" borderId="5" xfId="6" applyFont="1" applyBorder="1"/>
    <xf numFmtId="167" fontId="6" fillId="0" borderId="5" xfId="6" applyNumberFormat="1" applyFont="1" applyBorder="1"/>
    <xf numFmtId="167" fontId="7" fillId="0" borderId="5" xfId="5" applyNumberFormat="1" applyFont="1" applyBorder="1" applyAlignment="1">
      <alignment horizontal="right" vertical="center" wrapText="1"/>
    </xf>
    <xf numFmtId="167" fontId="7" fillId="0" borderId="8" xfId="5" applyNumberFormat="1" applyFont="1" applyBorder="1" applyAlignment="1">
      <alignment horizontal="right" vertical="center" wrapText="1"/>
    </xf>
    <xf numFmtId="44" fontId="7" fillId="0" borderId="0" xfId="5" applyFont="1" applyBorder="1" applyAlignment="1">
      <alignment horizontal="center" vertical="center" wrapText="1"/>
    </xf>
    <xf numFmtId="0" fontId="6" fillId="0" borderId="8" xfId="6" applyFont="1" applyBorder="1"/>
    <xf numFmtId="167" fontId="6" fillId="0" borderId="8" xfId="6" applyNumberFormat="1" applyFont="1" applyBorder="1"/>
    <xf numFmtId="167" fontId="6" fillId="0" borderId="0" xfId="6" applyNumberFormat="1" applyFont="1"/>
    <xf numFmtId="0" fontId="6" fillId="0" borderId="31" xfId="6" applyFont="1" applyBorder="1" applyAlignment="1">
      <alignment horizontal="center"/>
    </xf>
    <xf numFmtId="0" fontId="6" fillId="0" borderId="32" xfId="6" applyFont="1" applyBorder="1" applyAlignment="1">
      <alignment horizontal="center"/>
    </xf>
    <xf numFmtId="0" fontId="6" fillId="0" borderId="33" xfId="6" applyFont="1" applyBorder="1" applyAlignment="1">
      <alignment horizontal="center"/>
    </xf>
    <xf numFmtId="0" fontId="6" fillId="0" borderId="34" xfId="6" applyFont="1" applyBorder="1" applyAlignment="1">
      <alignment horizontal="center"/>
    </xf>
    <xf numFmtId="0" fontId="6" fillId="0" borderId="0" xfId="6" applyFont="1" applyAlignment="1">
      <alignment horizontal="center"/>
    </xf>
    <xf numFmtId="167" fontId="7" fillId="0" borderId="0" xfId="5" applyNumberFormat="1" applyFont="1" applyBorder="1" applyAlignment="1">
      <alignment horizontal="right" vertical="center" wrapText="1"/>
    </xf>
    <xf numFmtId="167" fontId="7" fillId="0" borderId="0" xfId="5" applyNumberFormat="1" applyFont="1" applyBorder="1" applyAlignment="1">
      <alignment horizontal="center" vertical="center" wrapText="1"/>
    </xf>
    <xf numFmtId="0" fontId="7" fillId="0" borderId="8" xfId="6" applyFont="1" applyBorder="1" applyAlignment="1">
      <alignment horizontal="center"/>
    </xf>
    <xf numFmtId="0" fontId="6" fillId="0" borderId="38" xfId="1" applyFont="1" applyBorder="1"/>
    <xf numFmtId="0" fontId="6" fillId="0" borderId="36" xfId="1" applyFont="1" applyBorder="1"/>
    <xf numFmtId="0" fontId="8" fillId="0" borderId="14" xfId="1" applyFont="1" applyBorder="1" applyAlignment="1">
      <alignment horizontal="center" vertical="center" wrapText="1"/>
    </xf>
    <xf numFmtId="0" fontId="6" fillId="0" borderId="39" xfId="1" applyFont="1" applyBorder="1"/>
    <xf numFmtId="0" fontId="8" fillId="0" borderId="40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170" fontId="8" fillId="0" borderId="43" xfId="1" applyNumberFormat="1" applyFont="1" applyBorder="1" applyAlignment="1">
      <alignment horizontal="center" vertical="center" wrapText="1"/>
    </xf>
    <xf numFmtId="0" fontId="6" fillId="0" borderId="44" xfId="1" applyFont="1" applyBorder="1"/>
    <xf numFmtId="0" fontId="6" fillId="0" borderId="45" xfId="1" applyFont="1" applyBorder="1"/>
    <xf numFmtId="0" fontId="6" fillId="0" borderId="46" xfId="1" applyFont="1" applyBorder="1"/>
    <xf numFmtId="0" fontId="8" fillId="0" borderId="46" xfId="1" applyFont="1" applyBorder="1" applyAlignment="1">
      <alignment horizontal="center" vertical="center" wrapText="1"/>
    </xf>
    <xf numFmtId="0" fontId="8" fillId="0" borderId="47" xfId="1" applyFont="1" applyBorder="1" applyAlignment="1">
      <alignment horizontal="center" vertical="center" wrapText="1"/>
    </xf>
    <xf numFmtId="0" fontId="6" fillId="0" borderId="48" xfId="1" applyFont="1" applyBorder="1"/>
    <xf numFmtId="0" fontId="6" fillId="0" borderId="49" xfId="1" applyFont="1" applyBorder="1"/>
    <xf numFmtId="0" fontId="6" fillId="0" borderId="51" xfId="1" applyFont="1" applyBorder="1"/>
    <xf numFmtId="167" fontId="2" fillId="0" borderId="5" xfId="1" applyNumberFormat="1" applyFont="1" applyBorder="1" applyAlignment="1">
      <alignment horizontal="right"/>
    </xf>
    <xf numFmtId="170" fontId="8" fillId="0" borderId="5" xfId="1" applyNumberFormat="1" applyFont="1" applyBorder="1" applyAlignment="1">
      <alignment horizontal="right"/>
    </xf>
    <xf numFmtId="170" fontId="8" fillId="0" borderId="8" xfId="1" applyNumberFormat="1" applyFont="1" applyBorder="1" applyAlignment="1">
      <alignment horizontal="right"/>
    </xf>
    <xf numFmtId="0" fontId="6" fillId="0" borderId="53" xfId="1" applyFont="1" applyBorder="1"/>
    <xf numFmtId="0" fontId="8" fillId="0" borderId="16" xfId="1" applyFont="1" applyBorder="1" applyAlignment="1">
      <alignment horizontal="center"/>
    </xf>
    <xf numFmtId="167" fontId="8" fillId="0" borderId="17" xfId="1" applyNumberFormat="1" applyFont="1" applyBorder="1" applyAlignment="1">
      <alignment horizontal="right"/>
    </xf>
    <xf numFmtId="167" fontId="8" fillId="0" borderId="54" xfId="1" applyNumberFormat="1" applyFont="1" applyBorder="1" applyAlignment="1">
      <alignment horizontal="right"/>
    </xf>
    <xf numFmtId="170" fontId="8" fillId="0" borderId="55" xfId="1" applyNumberFormat="1" applyFont="1" applyBorder="1" applyAlignment="1">
      <alignment horizontal="right"/>
    </xf>
    <xf numFmtId="0" fontId="0" fillId="0" borderId="0" xfId="0" applyFont="1"/>
    <xf numFmtId="44" fontId="2" fillId="0" borderId="0" xfId="1" applyNumberFormat="1" applyFont="1"/>
    <xf numFmtId="0" fontId="2" fillId="0" borderId="0" xfId="1" applyFont="1"/>
    <xf numFmtId="0" fontId="2" fillId="0" borderId="0" xfId="1" quotePrefix="1" applyFont="1"/>
    <xf numFmtId="0" fontId="8" fillId="0" borderId="2" xfId="1" applyFont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/>
    </xf>
    <xf numFmtId="0" fontId="6" fillId="0" borderId="10" xfId="3" applyFont="1" applyBorder="1" applyAlignment="1">
      <alignment vertical="top"/>
    </xf>
    <xf numFmtId="164" fontId="6" fillId="0" borderId="10" xfId="4" applyNumberFormat="1" applyFont="1" applyBorder="1" applyAlignment="1">
      <alignment horizontal="right" vertical="top"/>
    </xf>
    <xf numFmtId="164" fontId="6" fillId="0" borderId="11" xfId="2" applyNumberFormat="1" applyFont="1" applyBorder="1" applyAlignment="1">
      <alignment horizontal="right" vertical="top"/>
    </xf>
    <xf numFmtId="165" fontId="2" fillId="0" borderId="11" xfId="1" applyNumberFormat="1" applyFont="1" applyBorder="1"/>
    <xf numFmtId="0" fontId="2" fillId="0" borderId="11" xfId="1" applyFont="1" applyBorder="1"/>
    <xf numFmtId="44" fontId="2" fillId="0" borderId="11" xfId="1" applyNumberFormat="1" applyFont="1" applyBorder="1"/>
    <xf numFmtId="0" fontId="2" fillId="0" borderId="11" xfId="1" applyFont="1" applyBorder="1" applyAlignment="1">
      <alignment horizontal="center"/>
    </xf>
    <xf numFmtId="0" fontId="6" fillId="0" borderId="10" xfId="3" applyFont="1" applyBorder="1" applyAlignment="1">
      <alignment horizontal="right" vertical="top"/>
    </xf>
    <xf numFmtId="166" fontId="6" fillId="0" borderId="10" xfId="3" applyNumberFormat="1" applyFont="1" applyBorder="1" applyAlignment="1">
      <alignment horizontal="right" vertical="top"/>
    </xf>
    <xf numFmtId="0" fontId="2" fillId="0" borderId="12" xfId="1" applyFont="1" applyBorder="1"/>
    <xf numFmtId="165" fontId="6" fillId="0" borderId="10" xfId="3" applyNumberFormat="1" applyFont="1" applyBorder="1" applyAlignment="1">
      <alignment horizontal="right" vertical="top"/>
    </xf>
    <xf numFmtId="165" fontId="8" fillId="0" borderId="11" xfId="1" applyNumberFormat="1" applyFont="1" applyBorder="1"/>
    <xf numFmtId="1" fontId="8" fillId="0" borderId="11" xfId="1" applyNumberFormat="1" applyFont="1" applyBorder="1"/>
    <xf numFmtId="44" fontId="8" fillId="0" borderId="11" xfId="1" applyNumberFormat="1" applyFont="1" applyBorder="1"/>
    <xf numFmtId="0" fontId="8" fillId="0" borderId="0" xfId="1" applyFont="1"/>
    <xf numFmtId="44" fontId="9" fillId="0" borderId="11" xfId="1" applyNumberFormat="1" applyFont="1" applyBorder="1"/>
    <xf numFmtId="164" fontId="2" fillId="0" borderId="0" xfId="1" applyNumberFormat="1" applyFont="1"/>
    <xf numFmtId="0" fontId="8" fillId="0" borderId="1" xfId="1" applyFont="1" applyBorder="1" applyAlignment="1">
      <alignment horizontal="center"/>
    </xf>
    <xf numFmtId="14" fontId="7" fillId="2" borderId="9" xfId="2" applyNumberFormat="1" applyFont="1" applyFill="1" applyBorder="1" applyAlignment="1">
      <alignment horizontal="center" vertical="top"/>
    </xf>
    <xf numFmtId="0" fontId="7" fillId="2" borderId="9" xfId="2" applyFont="1" applyFill="1" applyBorder="1" applyAlignment="1">
      <alignment horizontal="center" vertical="top"/>
    </xf>
    <xf numFmtId="0" fontId="7" fillId="0" borderId="14" xfId="6" applyFont="1" applyBorder="1" applyAlignment="1">
      <alignment horizontal="center"/>
    </xf>
    <xf numFmtId="0" fontId="7" fillId="0" borderId="15" xfId="6" applyFont="1" applyBorder="1" applyAlignment="1">
      <alignment horizontal="center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0" fontId="7" fillId="0" borderId="18" xfId="6" applyFont="1" applyBorder="1" applyAlignment="1">
      <alignment horizontal="center"/>
    </xf>
    <xf numFmtId="44" fontId="6" fillId="0" borderId="19" xfId="5" applyFont="1" applyBorder="1"/>
    <xf numFmtId="167" fontId="6" fillId="0" borderId="20" xfId="5" applyNumberFormat="1" applyFont="1" applyBorder="1"/>
    <xf numFmtId="0" fontId="6" fillId="0" borderId="21" xfId="6" applyFont="1" applyBorder="1" applyAlignment="1">
      <alignment horizontal="center"/>
    </xf>
    <xf numFmtId="167" fontId="6" fillId="0" borderId="5" xfId="5" applyNumberFormat="1" applyFont="1" applyBorder="1" applyAlignment="1">
      <alignment horizontal="right"/>
    </xf>
    <xf numFmtId="167" fontId="9" fillId="0" borderId="22" xfId="5" applyNumberFormat="1" applyFont="1" applyBorder="1" applyAlignment="1">
      <alignment horizontal="right"/>
    </xf>
    <xf numFmtId="44" fontId="6" fillId="0" borderId="9" xfId="5" applyFont="1" applyBorder="1"/>
    <xf numFmtId="167" fontId="6" fillId="0" borderId="23" xfId="5" applyNumberFormat="1" applyFont="1" applyBorder="1"/>
    <xf numFmtId="44" fontId="6" fillId="0" borderId="25" xfId="5" applyFont="1" applyBorder="1"/>
    <xf numFmtId="167" fontId="6" fillId="0" borderId="26" xfId="5" applyNumberFormat="1" applyFont="1" applyBorder="1"/>
    <xf numFmtId="167" fontId="8" fillId="0" borderId="27" xfId="5" applyNumberFormat="1" applyFont="1" applyBorder="1" applyAlignment="1">
      <alignment horizontal="right" vertical="center"/>
    </xf>
    <xf numFmtId="44" fontId="8" fillId="0" borderId="0" xfId="5" applyFont="1" applyBorder="1" applyAlignment="1"/>
    <xf numFmtId="0" fontId="7" fillId="0" borderId="28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167" fontId="9" fillId="0" borderId="30" xfId="6" applyNumberFormat="1" applyFont="1" applyBorder="1" applyAlignment="1">
      <alignment horizontal="right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167" fontId="9" fillId="0" borderId="18" xfId="6" applyNumberFormat="1" applyFont="1" applyBorder="1" applyAlignment="1">
      <alignment horizontal="right"/>
    </xf>
    <xf numFmtId="44" fontId="9" fillId="0" borderId="0" xfId="6" applyNumberFormat="1" applyFont="1"/>
    <xf numFmtId="0" fontId="7" fillId="0" borderId="0" xfId="6" applyFont="1" applyAlignment="1">
      <alignment horizontal="center"/>
    </xf>
    <xf numFmtId="0" fontId="7" fillId="0" borderId="30" xfId="6" applyFont="1" applyBorder="1" applyAlignment="1">
      <alignment horizontal="center"/>
    </xf>
    <xf numFmtId="167" fontId="9" fillId="0" borderId="28" xfId="6" applyNumberFormat="1" applyFont="1" applyBorder="1" applyAlignment="1">
      <alignment horizontal="center"/>
    </xf>
    <xf numFmtId="167" fontId="9" fillId="0" borderId="29" xfId="6" applyNumberFormat="1" applyFont="1" applyBorder="1" applyAlignment="1">
      <alignment horizontal="center"/>
    </xf>
    <xf numFmtId="167" fontId="9" fillId="0" borderId="30" xfId="6" applyNumberFormat="1" applyFont="1" applyBorder="1" applyAlignment="1">
      <alignment horizontal="center"/>
    </xf>
    <xf numFmtId="0" fontId="7" fillId="0" borderId="35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0" fontId="7" fillId="0" borderId="27" xfId="6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167" fontId="6" fillId="0" borderId="5" xfId="5" applyNumberFormat="1" applyFont="1" applyBorder="1"/>
    <xf numFmtId="167" fontId="7" fillId="0" borderId="5" xfId="6" applyNumberFormat="1" applyFont="1" applyBorder="1"/>
    <xf numFmtId="44" fontId="6" fillId="0" borderId="0" xfId="5" applyFont="1" applyBorder="1"/>
    <xf numFmtId="44" fontId="7" fillId="0" borderId="0" xfId="6" applyNumberFormat="1" applyFont="1"/>
    <xf numFmtId="0" fontId="7" fillId="0" borderId="28" xfId="6" applyFont="1" applyBorder="1" applyAlignment="1">
      <alignment horizontal="center"/>
    </xf>
    <xf numFmtId="167" fontId="7" fillId="0" borderId="0" xfId="5" applyNumberFormat="1" applyFont="1" applyBorder="1" applyAlignment="1">
      <alignment horizontal="center" vertical="center"/>
    </xf>
    <xf numFmtId="44" fontId="7" fillId="0" borderId="13" xfId="6" applyNumberFormat="1" applyFont="1" applyBorder="1" applyAlignment="1">
      <alignment vertical="center"/>
    </xf>
    <xf numFmtId="0" fontId="7" fillId="0" borderId="13" xfId="6" applyFont="1" applyBorder="1" applyAlignment="1">
      <alignment vertical="center"/>
    </xf>
    <xf numFmtId="167" fontId="9" fillId="0" borderId="27" xfId="5" applyNumberFormat="1" applyFont="1" applyBorder="1" applyAlignment="1">
      <alignment horizontal="right" vertical="center"/>
    </xf>
    <xf numFmtId="44" fontId="9" fillId="0" borderId="0" xfId="5" applyFont="1" applyBorder="1" applyAlignment="1"/>
    <xf numFmtId="44" fontId="2" fillId="0" borderId="0" xfId="5" applyFont="1"/>
    <xf numFmtId="0" fontId="10" fillId="0" borderId="0" xfId="1" applyFont="1"/>
    <xf numFmtId="0" fontId="2" fillId="0" borderId="8" xfId="1" applyFont="1" applyBorder="1"/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1" fontId="2" fillId="0" borderId="8" xfId="1" applyNumberFormat="1" applyFont="1" applyBorder="1" applyAlignment="1">
      <alignment horizontal="center" vertical="center"/>
    </xf>
    <xf numFmtId="44" fontId="2" fillId="0" borderId="8" xfId="5" applyFont="1" applyBorder="1" applyAlignment="1">
      <alignment vertical="center"/>
    </xf>
    <xf numFmtId="0" fontId="2" fillId="0" borderId="36" xfId="1" applyFont="1" applyBorder="1" applyAlignment="1">
      <alignment vertical="center" wrapText="1"/>
    </xf>
    <xf numFmtId="0" fontId="2" fillId="0" borderId="8" xfId="1" applyFont="1" applyBorder="1" applyAlignment="1">
      <alignment horizontal="left" vertical="top" wrapText="1"/>
    </xf>
    <xf numFmtId="44" fontId="2" fillId="0" borderId="8" xfId="5" applyFont="1" applyBorder="1"/>
    <xf numFmtId="44" fontId="8" fillId="0" borderId="0" xfId="5" applyFont="1"/>
    <xf numFmtId="44" fontId="8" fillId="0" borderId="0" xfId="5" applyFont="1" applyFill="1" applyBorder="1"/>
    <xf numFmtId="44" fontId="2" fillId="0" borderId="0" xfId="8" applyFont="1"/>
    <xf numFmtId="0" fontId="2" fillId="0" borderId="0" xfId="7" applyFont="1"/>
    <xf numFmtId="0" fontId="2" fillId="3" borderId="0" xfId="1" applyFont="1" applyFill="1"/>
    <xf numFmtId="0" fontId="8" fillId="3" borderId="2" xfId="1" applyFont="1" applyFill="1" applyBorder="1" applyAlignment="1">
      <alignment horizontal="center" wrapText="1"/>
    </xf>
    <xf numFmtId="0" fontId="8" fillId="3" borderId="5" xfId="1" applyFont="1" applyFill="1" applyBorder="1" applyAlignment="1">
      <alignment horizontal="center" wrapText="1"/>
    </xf>
    <xf numFmtId="165" fontId="2" fillId="3" borderId="8" xfId="1" applyNumberFormat="1" applyFont="1" applyFill="1" applyBorder="1" applyAlignment="1">
      <alignment horizontal="center" vertical="center"/>
    </xf>
    <xf numFmtId="165" fontId="8" fillId="3" borderId="8" xfId="1" applyNumberFormat="1" applyFont="1" applyFill="1" applyBorder="1" applyAlignment="1">
      <alignment horizontal="center" vertical="center"/>
    </xf>
    <xf numFmtId="44" fontId="2" fillId="3" borderId="8" xfId="1" applyNumberFormat="1" applyFont="1" applyFill="1" applyBorder="1"/>
    <xf numFmtId="165" fontId="8" fillId="0" borderId="16" xfId="1" applyNumberFormat="1" applyFont="1" applyBorder="1"/>
    <xf numFmtId="44" fontId="8" fillId="0" borderId="16" xfId="1" applyNumberFormat="1" applyFont="1" applyBorder="1"/>
    <xf numFmtId="44" fontId="9" fillId="0" borderId="16" xfId="1" applyNumberFormat="1" applyFont="1" applyBorder="1"/>
    <xf numFmtId="44" fontId="9" fillId="0" borderId="18" xfId="1" applyNumberFormat="1" applyFont="1" applyBorder="1"/>
    <xf numFmtId="44" fontId="11" fillId="0" borderId="0" xfId="1" applyNumberFormat="1" applyFont="1"/>
    <xf numFmtId="14" fontId="7" fillId="3" borderId="9" xfId="9" applyNumberFormat="1" applyFont="1" applyFill="1" applyBorder="1" applyAlignment="1">
      <alignment horizontal="center" vertical="top"/>
    </xf>
    <xf numFmtId="0" fontId="7" fillId="3" borderId="9" xfId="9" applyFont="1" applyFill="1" applyBorder="1" applyAlignment="1">
      <alignment horizontal="center" vertical="top"/>
    </xf>
    <xf numFmtId="165" fontId="6" fillId="3" borderId="8" xfId="10" applyNumberFormat="1" applyFont="1" applyFill="1" applyBorder="1" applyAlignment="1">
      <alignment horizontal="center" vertical="top"/>
    </xf>
    <xf numFmtId="0" fontId="8" fillId="3" borderId="2" xfId="1" applyFont="1" applyFill="1" applyBorder="1" applyAlignment="1">
      <alignment horizontal="center" wrapText="1"/>
    </xf>
    <xf numFmtId="0" fontId="8" fillId="3" borderId="5" xfId="1" applyFont="1" applyFill="1" applyBorder="1" applyAlignment="1">
      <alignment horizontal="center" wrapText="1"/>
    </xf>
    <xf numFmtId="165" fontId="2" fillId="3" borderId="8" xfId="1" applyNumberFormat="1" applyFont="1" applyFill="1" applyBorder="1"/>
    <xf numFmtId="0" fontId="2" fillId="3" borderId="8" xfId="1" applyFont="1" applyFill="1" applyBorder="1"/>
    <xf numFmtId="165" fontId="12" fillId="3" borderId="8" xfId="1" applyNumberFormat="1" applyFont="1" applyFill="1" applyBorder="1" applyAlignment="1">
      <alignment horizontal="center" vertical="center"/>
    </xf>
    <xf numFmtId="0" fontId="8" fillId="0" borderId="16" xfId="1" applyFont="1" applyBorder="1"/>
    <xf numFmtId="165" fontId="2" fillId="3" borderId="0" xfId="1" applyNumberFormat="1" applyFont="1" applyFill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1" fontId="2" fillId="0" borderId="0" xfId="1" applyNumberFormat="1" applyFont="1"/>
    <xf numFmtId="167" fontId="2" fillId="0" borderId="8" xfId="1" applyNumberFormat="1" applyFont="1" applyBorder="1" applyAlignment="1">
      <alignment horizontal="center"/>
    </xf>
    <xf numFmtId="0" fontId="2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center" vertical="center"/>
    </xf>
    <xf numFmtId="0" fontId="8" fillId="0" borderId="17" xfId="1" applyFont="1" applyBorder="1"/>
    <xf numFmtId="1" fontId="8" fillId="0" borderId="17" xfId="1" applyNumberFormat="1" applyFont="1" applyBorder="1"/>
    <xf numFmtId="165" fontId="8" fillId="0" borderId="17" xfId="1" applyNumberFormat="1" applyFont="1" applyBorder="1"/>
    <xf numFmtId="167" fontId="9" fillId="0" borderId="18" xfId="1" applyNumberFormat="1" applyFont="1" applyBorder="1"/>
    <xf numFmtId="0" fontId="6" fillId="0" borderId="8" xfId="10" applyFont="1" applyBorder="1" applyAlignment="1">
      <alignment horizontal="center" vertical="top"/>
    </xf>
    <xf numFmtId="0" fontId="6" fillId="3" borderId="8" xfId="10" applyFont="1" applyFill="1" applyBorder="1" applyAlignment="1">
      <alignment horizontal="center" vertical="top"/>
    </xf>
    <xf numFmtId="170" fontId="2" fillId="0" borderId="0" xfId="1" applyNumberFormat="1" applyFont="1"/>
    <xf numFmtId="0" fontId="2" fillId="0" borderId="0" xfId="1" applyFont="1"/>
    <xf numFmtId="0" fontId="2" fillId="0" borderId="5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wrapText="1"/>
    </xf>
    <xf numFmtId="0" fontId="2" fillId="5" borderId="8" xfId="1" applyFont="1" applyFill="1" applyBorder="1" applyAlignment="1">
      <alignment horizontal="center" vertical="top"/>
    </xf>
    <xf numFmtId="0" fontId="2" fillId="5" borderId="8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wrapText="1"/>
    </xf>
    <xf numFmtId="0" fontId="8" fillId="0" borderId="19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14" fontId="8" fillId="4" borderId="50" xfId="1" applyNumberFormat="1" applyFont="1" applyFill="1" applyBorder="1" applyAlignment="1">
      <alignment horizontal="center" vertical="top"/>
    </xf>
    <xf numFmtId="14" fontId="8" fillId="4" borderId="52" xfId="1" applyNumberFormat="1" applyFont="1" applyFill="1" applyBorder="1" applyAlignment="1">
      <alignment horizontal="center" vertical="top"/>
    </xf>
    <xf numFmtId="170" fontId="9" fillId="0" borderId="20" xfId="1" applyNumberFormat="1" applyFont="1" applyBorder="1" applyAlignment="1">
      <alignment horizontal="center"/>
    </xf>
    <xf numFmtId="4" fontId="2" fillId="0" borderId="0" xfId="1" applyNumberFormat="1" applyFont="1"/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4" fontId="2" fillId="0" borderId="8" xfId="1" applyNumberFormat="1" applyFont="1" applyBorder="1"/>
    <xf numFmtId="0" fontId="6" fillId="0" borderId="8" xfId="11" applyFont="1" applyBorder="1" applyAlignment="1">
      <alignment horizontal="center" vertical="top"/>
    </xf>
    <xf numFmtId="0" fontId="6" fillId="0" borderId="8" xfId="12" applyFont="1" applyBorder="1" applyAlignment="1">
      <alignment horizontal="center" vertical="top"/>
    </xf>
    <xf numFmtId="0" fontId="8" fillId="0" borderId="8" xfId="1" applyFont="1" applyBorder="1" applyAlignment="1">
      <alignment wrapText="1"/>
    </xf>
    <xf numFmtId="44" fontId="8" fillId="0" borderId="8" xfId="5" applyFont="1" applyBorder="1" applyAlignment="1">
      <alignment wrapText="1"/>
    </xf>
    <xf numFmtId="0" fontId="6" fillId="0" borderId="10" xfId="13" applyFont="1" applyBorder="1" applyAlignment="1">
      <alignment vertical="top"/>
    </xf>
    <xf numFmtId="165" fontId="6" fillId="0" borderId="10" xfId="4" applyNumberFormat="1" applyFont="1" applyBorder="1" applyAlignment="1">
      <alignment horizontal="right" vertical="top"/>
    </xf>
    <xf numFmtId="0" fontId="8" fillId="0" borderId="11" xfId="1" applyFont="1" applyBorder="1" applyAlignment="1">
      <alignment wrapText="1"/>
    </xf>
    <xf numFmtId="44" fontId="8" fillId="0" borderId="11" xfId="5" applyFont="1" applyBorder="1" applyAlignment="1">
      <alignment wrapText="1"/>
    </xf>
    <xf numFmtId="1" fontId="6" fillId="0" borderId="10" xfId="13" applyNumberFormat="1" applyFont="1" applyBorder="1" applyAlignment="1">
      <alignment horizontal="right" vertical="top"/>
    </xf>
    <xf numFmtId="171" fontId="6" fillId="0" borderId="10" xfId="13" applyNumberFormat="1" applyFont="1" applyBorder="1" applyAlignment="1">
      <alignment horizontal="right" vertical="top"/>
    </xf>
    <xf numFmtId="2" fontId="6" fillId="0" borderId="10" xfId="13" applyNumberFormat="1" applyFont="1" applyBorder="1" applyAlignment="1">
      <alignment horizontal="right" vertical="top"/>
    </xf>
    <xf numFmtId="165" fontId="6" fillId="0" borderId="10" xfId="13" applyNumberFormat="1" applyFont="1" applyBorder="1" applyAlignment="1">
      <alignment horizontal="right" vertical="top"/>
    </xf>
    <xf numFmtId="0" fontId="6" fillId="0" borderId="10" xfId="13" applyFont="1" applyBorder="1" applyAlignment="1">
      <alignment horizontal="right" vertical="top"/>
    </xf>
    <xf numFmtId="0" fontId="2" fillId="0" borderId="11" xfId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/>
    </xf>
    <xf numFmtId="167" fontId="2" fillId="0" borderId="11" xfId="5" applyNumberFormat="1" applyFont="1" applyBorder="1"/>
    <xf numFmtId="44" fontId="2" fillId="0" borderId="11" xfId="5" applyFont="1" applyBorder="1"/>
    <xf numFmtId="165" fontId="6" fillId="0" borderId="11" xfId="2" applyNumberFormat="1" applyFont="1" applyBorder="1" applyAlignment="1">
      <alignment horizontal="right" vertical="top"/>
    </xf>
    <xf numFmtId="7" fontId="2" fillId="0" borderId="11" xfId="1" applyNumberFormat="1" applyFont="1" applyBorder="1"/>
    <xf numFmtId="7" fontId="8" fillId="0" borderId="11" xfId="1" applyNumberFormat="1" applyFont="1" applyBorder="1"/>
    <xf numFmtId="7" fontId="9" fillId="0" borderId="11" xfId="1" applyNumberFormat="1" applyFont="1" applyBorder="1"/>
    <xf numFmtId="165" fontId="6" fillId="0" borderId="56" xfId="4" applyNumberFormat="1" applyFont="1" applyBorder="1" applyAlignment="1">
      <alignment horizontal="right" vertical="top"/>
    </xf>
    <xf numFmtId="1" fontId="6" fillId="0" borderId="56" xfId="4" applyNumberFormat="1" applyFont="1" applyBorder="1" applyAlignment="1">
      <alignment horizontal="right" vertical="top"/>
    </xf>
    <xf numFmtId="3" fontId="6" fillId="0" borderId="56" xfId="4" applyNumberFormat="1" applyFont="1" applyBorder="1" applyAlignment="1">
      <alignment horizontal="right" vertical="top"/>
    </xf>
    <xf numFmtId="3" fontId="6" fillId="0" borderId="11" xfId="2" applyNumberFormat="1" applyFont="1" applyBorder="1" applyAlignment="1">
      <alignment horizontal="right" vertical="top"/>
    </xf>
    <xf numFmtId="14" fontId="2" fillId="0" borderId="0" xfId="1" applyNumberFormat="1" applyFont="1"/>
    <xf numFmtId="168" fontId="2" fillId="0" borderId="8" xfId="1" applyNumberFormat="1" applyFont="1" applyBorder="1" applyAlignment="1">
      <alignment horizontal="center"/>
    </xf>
    <xf numFmtId="169" fontId="2" fillId="0" borderId="8" xfId="1" applyNumberFormat="1" applyFont="1" applyBorder="1"/>
    <xf numFmtId="44" fontId="2" fillId="0" borderId="8" xfId="1" applyNumberFormat="1" applyFont="1" applyBorder="1"/>
    <xf numFmtId="165" fontId="2" fillId="3" borderId="12" xfId="1" applyNumberFormat="1" applyFont="1" applyFill="1" applyBorder="1"/>
    <xf numFmtId="165" fontId="8" fillId="3" borderId="12" xfId="1" applyNumberFormat="1" applyFont="1" applyFill="1" applyBorder="1" applyAlignment="1">
      <alignment horizontal="center" vertical="center"/>
    </xf>
    <xf numFmtId="0" fontId="2" fillId="3" borderId="12" xfId="1" applyFont="1" applyFill="1" applyBorder="1"/>
    <xf numFmtId="167" fontId="13" fillId="0" borderId="0" xfId="5" applyNumberFormat="1" applyFont="1" applyBorder="1" applyAlignment="1">
      <alignment horizontal="center" vertical="center"/>
    </xf>
  </cellXfs>
  <cellStyles count="14">
    <cellStyle name="Денежный 2" xfId="5" xr:uid="{C472670E-2065-4747-B3CD-DD803F1C4D65}"/>
    <cellStyle name="Денежный 2 2" xfId="8" xr:uid="{0FE2AA74-C6BB-423B-9733-ACFB5824400C}"/>
    <cellStyle name="Обычный" xfId="0" builtinId="0" customBuiltin="1"/>
    <cellStyle name="Обычный 2" xfId="1" xr:uid="{9E10C78F-171C-48CA-B356-8E3662143B2F}"/>
    <cellStyle name="Обычный 5" xfId="6" xr:uid="{4D64D3C8-0C40-4CC6-A275-E4F2D914245E}"/>
    <cellStyle name="Обычный 6" xfId="7" xr:uid="{50FE1F9A-F474-4466-BB64-2F8BEC142EFF}"/>
    <cellStyle name="Обычный_Биаксплен Новосибирск" xfId="3" xr:uid="{F154D1B7-3A59-463C-965B-2CC99DCF7C43}"/>
    <cellStyle name="Обычный_Ергарда" xfId="12" xr:uid="{B3B31014-3F02-4F71-8546-C0C5B9FDBDE2}"/>
    <cellStyle name="Обычный_Лист1" xfId="10" xr:uid="{41B4608E-D388-455A-BF38-FDBB3B27DFAB}"/>
    <cellStyle name="Обычный_Оникс Нижнекамск" xfId="13" xr:uid="{2660A909-E095-4B9A-B34C-AA0FF0AE620F}"/>
    <cellStyle name="Обычный_РусВинил ББ" xfId="9" xr:uid="{48E56339-033E-47D9-8C29-C7011715D4C3}"/>
    <cellStyle name="Обычный_Сибур" xfId="2" xr:uid="{CB4EAAD7-B625-4D22-BEB6-B11CD0ED14EE}"/>
    <cellStyle name="Обычный_Сибур 1" xfId="4" xr:uid="{74EC9948-C18C-436B-986F-4C11ADA97970}"/>
    <cellStyle name="Обычный_СтройТех" xfId="11" xr:uid="{C489488D-11EE-4A12-B7AA-9683B040E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0</xdr:rowOff>
    </xdr:from>
    <xdr:to>
      <xdr:col>1</xdr:col>
      <xdr:colOff>279400</xdr:colOff>
      <xdr:row>1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9209DF08-451D-46B1-A46F-2C44A0B51376}"/>
            </a:ext>
          </a:extLst>
        </xdr:cNvPr>
        <xdr:cNvSpPr/>
      </xdr:nvSpPr>
      <xdr:spPr>
        <a:xfrm>
          <a:off x="1076325" y="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802211CD-D860-4200-87E1-4A0FC431C484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056;&#1091;&#1089;&#1074;&#1080;&#1085;&#1080;&#1083;\&#1056;&#1042;%20&#1054;&#1090;&#1095;&#1077;&#1090;\&#1056;&#1042;%20&#1052;&#1072;&#1088;&#1090;%202026.xlsx" TargetMode="External"/><Relationship Id="rId1" Type="http://schemas.openxmlformats.org/officeDocument/2006/relationships/externalLinkPath" Target="/Users/user/Desktop/&#1056;&#1091;&#1089;&#1074;&#1080;&#1085;&#1080;&#1083;/&#1056;&#1042;%20&#1054;&#1090;&#1095;&#1077;&#1090;/&#1056;&#1042;%20&#1052;&#1072;&#1088;&#1090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EXCELTools.xlam" TargetMode="External"/><Relationship Id="rId1" Type="http://schemas.openxmlformats.org/officeDocument/2006/relationships/externalLinkPath" Target="/Users/user/AppData/Roaming/Microsoft/AddIns/EXCELTools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6;&#1091;&#1089;&#1074;&#1080;&#1085;&#1080;&#1083;/&#1056;&#1042;%20&#1054;&#1090;&#1095;&#1077;&#1090;/Temp/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щее и резерв"/>
      <sheetName val="Резерв"/>
      <sheetName val="РВ Баумана"/>
      <sheetName val="Окская Мешки"/>
      <sheetName val="РВ Березовая Пойма"/>
      <sheetName val="РВ Новикова-Прибоя"/>
      <sheetName val="АВР Баумана"/>
      <sheetName val="АВР Новикова"/>
      <sheetName val="АВР Березовая Пойма"/>
      <sheetName val="Праздники"/>
    </sheetNames>
    <sheetDataSet>
      <sheetData sheetId="0" refreshError="1"/>
      <sheetData sheetId="1">
        <row r="37">
          <cell r="G37">
            <v>139916.39000000001</v>
          </cell>
        </row>
      </sheetData>
      <sheetData sheetId="2">
        <row r="2">
          <cell r="R2">
            <v>0</v>
          </cell>
          <cell r="S2">
            <v>0</v>
          </cell>
        </row>
        <row r="3">
          <cell r="R3">
            <v>232.32499999999999</v>
          </cell>
          <cell r="S3">
            <v>367.95</v>
          </cell>
        </row>
        <row r="6">
          <cell r="C6">
            <v>0</v>
          </cell>
          <cell r="D6">
            <v>44</v>
          </cell>
          <cell r="G6">
            <v>600.27499999999998</v>
          </cell>
        </row>
        <row r="7">
          <cell r="C7">
            <v>0</v>
          </cell>
          <cell r="D7">
            <v>0</v>
          </cell>
          <cell r="G7">
            <v>556.27499999999998</v>
          </cell>
        </row>
        <row r="8">
          <cell r="C8">
            <v>0</v>
          </cell>
          <cell r="D8">
            <v>43.95</v>
          </cell>
          <cell r="G8">
            <v>556.27499999999998</v>
          </cell>
        </row>
        <row r="9">
          <cell r="C9">
            <v>0</v>
          </cell>
          <cell r="D9">
            <v>44</v>
          </cell>
          <cell r="G9">
            <v>512.32499999999993</v>
          </cell>
        </row>
        <row r="10">
          <cell r="C10">
            <v>0</v>
          </cell>
          <cell r="D10">
            <v>0</v>
          </cell>
          <cell r="G10">
            <v>468.32499999999993</v>
          </cell>
        </row>
        <row r="11">
          <cell r="C11">
            <v>0</v>
          </cell>
          <cell r="D11">
            <v>0</v>
          </cell>
          <cell r="G11">
            <v>468.32499999999993</v>
          </cell>
        </row>
        <row r="12">
          <cell r="C12">
            <v>0</v>
          </cell>
          <cell r="D12">
            <v>44</v>
          </cell>
          <cell r="G12">
            <v>468.32499999999993</v>
          </cell>
        </row>
        <row r="13">
          <cell r="C13">
            <v>0</v>
          </cell>
          <cell r="D13">
            <v>44</v>
          </cell>
          <cell r="G13">
            <v>424.32499999999993</v>
          </cell>
        </row>
        <row r="14">
          <cell r="C14">
            <v>0</v>
          </cell>
          <cell r="D14">
            <v>22</v>
          </cell>
          <cell r="G14">
            <v>380.32499999999993</v>
          </cell>
        </row>
        <row r="15">
          <cell r="C15">
            <v>0</v>
          </cell>
          <cell r="D15">
            <v>59.125</v>
          </cell>
          <cell r="G15">
            <v>358.32499999999993</v>
          </cell>
        </row>
        <row r="16">
          <cell r="C16">
            <v>0</v>
          </cell>
          <cell r="D16">
            <v>44</v>
          </cell>
          <cell r="G16">
            <v>299.19999999999993</v>
          </cell>
        </row>
        <row r="17">
          <cell r="C17">
            <v>0</v>
          </cell>
          <cell r="D17">
            <v>44</v>
          </cell>
          <cell r="G17">
            <v>255.19999999999993</v>
          </cell>
        </row>
        <row r="18">
          <cell r="C18">
            <v>0</v>
          </cell>
          <cell r="D18">
            <v>22</v>
          </cell>
          <cell r="G18">
            <v>211.19999999999993</v>
          </cell>
        </row>
        <row r="19">
          <cell r="C19">
            <v>0</v>
          </cell>
          <cell r="D19">
            <v>66</v>
          </cell>
          <cell r="G19">
            <v>189.19999999999993</v>
          </cell>
        </row>
        <row r="20">
          <cell r="C20">
            <v>0</v>
          </cell>
          <cell r="D20">
            <v>11</v>
          </cell>
          <cell r="G20">
            <v>123.19999999999993</v>
          </cell>
        </row>
        <row r="21">
          <cell r="C21">
            <v>0</v>
          </cell>
          <cell r="D21">
            <v>0</v>
          </cell>
          <cell r="G21">
            <v>112.19999999999993</v>
          </cell>
        </row>
        <row r="22">
          <cell r="C22">
            <v>0</v>
          </cell>
          <cell r="D22">
            <v>0</v>
          </cell>
          <cell r="G22">
            <v>112.19999999999993</v>
          </cell>
        </row>
        <row r="23">
          <cell r="C23">
            <v>0</v>
          </cell>
          <cell r="D23">
            <v>0</v>
          </cell>
          <cell r="G23">
            <v>112.19999999999993</v>
          </cell>
        </row>
        <row r="24">
          <cell r="C24">
            <v>0</v>
          </cell>
          <cell r="D24">
            <v>0</v>
          </cell>
          <cell r="G24">
            <v>112.19999999999993</v>
          </cell>
        </row>
        <row r="25">
          <cell r="C25">
            <v>0</v>
          </cell>
          <cell r="D25">
            <v>0</v>
          </cell>
          <cell r="G25">
            <v>112.19999999999993</v>
          </cell>
        </row>
        <row r="26">
          <cell r="C26">
            <v>0</v>
          </cell>
          <cell r="D26">
            <v>0</v>
          </cell>
          <cell r="G26">
            <v>112.19999999999993</v>
          </cell>
        </row>
        <row r="27">
          <cell r="C27">
            <v>0</v>
          </cell>
          <cell r="D27">
            <v>0</v>
          </cell>
          <cell r="G27">
            <v>112.19999999999993</v>
          </cell>
        </row>
        <row r="28">
          <cell r="C28">
            <v>0</v>
          </cell>
          <cell r="D28">
            <v>44</v>
          </cell>
          <cell r="G28">
            <v>112.19999999999993</v>
          </cell>
        </row>
        <row r="29">
          <cell r="C29">
            <v>0</v>
          </cell>
          <cell r="D29">
            <v>66</v>
          </cell>
          <cell r="G29">
            <v>68.199999999999932</v>
          </cell>
        </row>
        <row r="30">
          <cell r="C30">
            <v>0</v>
          </cell>
          <cell r="D30">
            <v>0</v>
          </cell>
          <cell r="G30">
            <v>2.1999999999999318</v>
          </cell>
        </row>
        <row r="31">
          <cell r="C31">
            <v>0</v>
          </cell>
          <cell r="D31">
            <v>0</v>
          </cell>
          <cell r="G31">
            <v>2.1999999999999318</v>
          </cell>
        </row>
        <row r="32">
          <cell r="C32">
            <v>0</v>
          </cell>
          <cell r="D32">
            <v>0</v>
          </cell>
          <cell r="G32">
            <v>2.1999999999999318</v>
          </cell>
        </row>
        <row r="33">
          <cell r="C33">
            <v>0</v>
          </cell>
          <cell r="D33">
            <v>1.325</v>
          </cell>
          <cell r="G33">
            <v>2.1999999999999318</v>
          </cell>
        </row>
        <row r="34">
          <cell r="C34">
            <v>0</v>
          </cell>
          <cell r="D34">
            <v>0</v>
          </cell>
          <cell r="G34">
            <v>0.87499999999993183</v>
          </cell>
        </row>
        <row r="35">
          <cell r="C35">
            <v>0</v>
          </cell>
          <cell r="D35">
            <v>0.875</v>
          </cell>
          <cell r="G35">
            <v>0.87499999999993183</v>
          </cell>
        </row>
        <row r="36">
          <cell r="C36">
            <v>0</v>
          </cell>
          <cell r="D36">
            <v>0</v>
          </cell>
          <cell r="G36">
            <v>-6.8167693711984612E-14</v>
          </cell>
        </row>
        <row r="37">
          <cell r="G37">
            <v>6847.4499999999953</v>
          </cell>
        </row>
      </sheetData>
      <sheetData sheetId="3" refreshError="1"/>
      <sheetData sheetId="4">
        <row r="2">
          <cell r="R2">
            <v>658.02499999999998</v>
          </cell>
          <cell r="S2">
            <v>660</v>
          </cell>
        </row>
        <row r="3">
          <cell r="R3">
            <v>1262.9850000000001</v>
          </cell>
          <cell r="S3">
            <v>4066.2650000000003</v>
          </cell>
        </row>
        <row r="6">
          <cell r="C6">
            <v>0</v>
          </cell>
          <cell r="D6">
            <v>66.23</v>
          </cell>
          <cell r="G6">
            <v>4011.2249999999999</v>
          </cell>
        </row>
        <row r="7">
          <cell r="C7">
            <v>0</v>
          </cell>
          <cell r="D7">
            <v>155.15</v>
          </cell>
          <cell r="G7">
            <v>3944.9949999999999</v>
          </cell>
        </row>
        <row r="8">
          <cell r="C8">
            <v>0</v>
          </cell>
          <cell r="D8">
            <v>177.38</v>
          </cell>
          <cell r="G8">
            <v>3789.8449999999998</v>
          </cell>
        </row>
        <row r="9">
          <cell r="C9">
            <v>0</v>
          </cell>
          <cell r="D9">
            <v>66.459999999999994</v>
          </cell>
          <cell r="G9">
            <v>3612.4649999999997</v>
          </cell>
        </row>
        <row r="10">
          <cell r="C10">
            <v>0</v>
          </cell>
          <cell r="D10">
            <v>0</v>
          </cell>
          <cell r="G10">
            <v>3546.0049999999997</v>
          </cell>
        </row>
        <row r="11">
          <cell r="C11">
            <v>0</v>
          </cell>
          <cell r="D11">
            <v>22</v>
          </cell>
          <cell r="G11">
            <v>3546.0049999999997</v>
          </cell>
        </row>
        <row r="12">
          <cell r="C12">
            <v>220</v>
          </cell>
          <cell r="D12">
            <v>22</v>
          </cell>
          <cell r="G12">
            <v>3744.0049999999997</v>
          </cell>
        </row>
        <row r="13">
          <cell r="C13">
            <v>0</v>
          </cell>
          <cell r="D13">
            <v>22.5</v>
          </cell>
          <cell r="G13">
            <v>3722.0049999999997</v>
          </cell>
        </row>
        <row r="14">
          <cell r="C14">
            <v>220</v>
          </cell>
          <cell r="D14">
            <v>22</v>
          </cell>
          <cell r="G14">
            <v>3919.5049999999997</v>
          </cell>
        </row>
        <row r="15">
          <cell r="C15">
            <v>220</v>
          </cell>
          <cell r="D15">
            <v>0</v>
          </cell>
          <cell r="G15">
            <v>4117.5049999999992</v>
          </cell>
        </row>
        <row r="16">
          <cell r="C16">
            <v>0</v>
          </cell>
          <cell r="D16">
            <v>95.02</v>
          </cell>
          <cell r="G16">
            <v>4117.5049999999992</v>
          </cell>
        </row>
        <row r="17">
          <cell r="C17">
            <v>0</v>
          </cell>
          <cell r="D17">
            <v>53.45</v>
          </cell>
          <cell r="G17">
            <v>4022.4849999999992</v>
          </cell>
        </row>
        <row r="18">
          <cell r="C18">
            <v>220</v>
          </cell>
          <cell r="D18">
            <v>37.125</v>
          </cell>
          <cell r="G18">
            <v>4189.0349999999989</v>
          </cell>
        </row>
        <row r="19">
          <cell r="C19">
            <v>218.02500000000001</v>
          </cell>
          <cell r="D19">
            <v>22.23</v>
          </cell>
          <cell r="G19">
            <v>4369.9349999999986</v>
          </cell>
        </row>
        <row r="20">
          <cell r="C20">
            <v>0</v>
          </cell>
          <cell r="D20">
            <v>30.25</v>
          </cell>
          <cell r="G20">
            <v>4347.704999999999</v>
          </cell>
        </row>
        <row r="21">
          <cell r="C21">
            <v>220</v>
          </cell>
          <cell r="D21">
            <v>31.625</v>
          </cell>
          <cell r="G21">
            <v>4537.454999999999</v>
          </cell>
        </row>
        <row r="22">
          <cell r="C22">
            <v>0</v>
          </cell>
          <cell r="D22">
            <v>87.084999999999994</v>
          </cell>
          <cell r="G22">
            <v>4505.829999999999</v>
          </cell>
        </row>
        <row r="23">
          <cell r="C23">
            <v>0</v>
          </cell>
          <cell r="D23">
            <v>288.52999999999997</v>
          </cell>
          <cell r="G23">
            <v>4418.744999999999</v>
          </cell>
        </row>
        <row r="24">
          <cell r="C24">
            <v>0</v>
          </cell>
          <cell r="D24">
            <v>484.23</v>
          </cell>
          <cell r="G24">
            <v>4130.2149999999992</v>
          </cell>
        </row>
        <row r="25">
          <cell r="C25">
            <v>0</v>
          </cell>
          <cell r="D25">
            <v>506.46</v>
          </cell>
          <cell r="G25">
            <v>3645.9849999999992</v>
          </cell>
        </row>
        <row r="26">
          <cell r="C26">
            <v>0</v>
          </cell>
          <cell r="D26">
            <v>440</v>
          </cell>
          <cell r="G26">
            <v>3139.5249999999992</v>
          </cell>
        </row>
        <row r="27">
          <cell r="C27">
            <v>0</v>
          </cell>
          <cell r="D27">
            <v>462</v>
          </cell>
          <cell r="G27">
            <v>2699.5249999999992</v>
          </cell>
        </row>
        <row r="28">
          <cell r="C28">
            <v>0</v>
          </cell>
          <cell r="D28">
            <v>416.66500000000002</v>
          </cell>
          <cell r="G28">
            <v>2237.5249999999992</v>
          </cell>
        </row>
        <row r="29">
          <cell r="C29">
            <v>0</v>
          </cell>
          <cell r="D29">
            <v>504.17500000000001</v>
          </cell>
          <cell r="G29">
            <v>1820.8599999999992</v>
          </cell>
        </row>
        <row r="30">
          <cell r="C30">
            <v>0</v>
          </cell>
          <cell r="D30">
            <v>394.91</v>
          </cell>
          <cell r="G30">
            <v>1316.6849999999993</v>
          </cell>
        </row>
        <row r="31">
          <cell r="C31">
            <v>0</v>
          </cell>
          <cell r="D31">
            <v>221.18</v>
          </cell>
          <cell r="G31">
            <v>921.77499999999918</v>
          </cell>
        </row>
        <row r="32">
          <cell r="C32">
            <v>0</v>
          </cell>
          <cell r="D32">
            <v>252.85</v>
          </cell>
          <cell r="G32">
            <v>700.59499999999912</v>
          </cell>
        </row>
        <row r="33">
          <cell r="C33">
            <v>0</v>
          </cell>
          <cell r="D33">
            <v>87.084999999999994</v>
          </cell>
          <cell r="G33">
            <v>447.7449999999991</v>
          </cell>
        </row>
        <row r="34">
          <cell r="C34">
            <v>0</v>
          </cell>
          <cell r="D34">
            <v>88.69</v>
          </cell>
          <cell r="G34">
            <v>360.65999999999912</v>
          </cell>
        </row>
        <row r="35">
          <cell r="C35">
            <v>0</v>
          </cell>
          <cell r="D35">
            <v>191.76</v>
          </cell>
          <cell r="G35">
            <v>271.96999999999912</v>
          </cell>
        </row>
        <row r="36">
          <cell r="C36">
            <v>0</v>
          </cell>
          <cell r="D36">
            <v>80.209999999999994</v>
          </cell>
          <cell r="G36">
            <v>80.209999999999127</v>
          </cell>
        </row>
        <row r="37">
          <cell r="G37">
            <v>94235.52999999997</v>
          </cell>
        </row>
      </sheetData>
      <sheetData sheetId="5">
        <row r="2">
          <cell r="R2">
            <v>0</v>
          </cell>
          <cell r="S2">
            <v>0</v>
          </cell>
        </row>
        <row r="3">
          <cell r="R3">
            <v>48.33</v>
          </cell>
          <cell r="S3">
            <v>370.69500000000005</v>
          </cell>
        </row>
        <row r="6">
          <cell r="C6">
            <v>0</v>
          </cell>
          <cell r="D6">
            <v>44.23</v>
          </cell>
          <cell r="G6">
            <v>419.02500000000003</v>
          </cell>
        </row>
        <row r="7">
          <cell r="C7">
            <v>0</v>
          </cell>
          <cell r="D7">
            <v>44.23</v>
          </cell>
          <cell r="G7">
            <v>374.79500000000002</v>
          </cell>
        </row>
        <row r="8">
          <cell r="C8">
            <v>0</v>
          </cell>
          <cell r="D8">
            <v>22</v>
          </cell>
          <cell r="G8">
            <v>330.565</v>
          </cell>
        </row>
        <row r="9">
          <cell r="C9">
            <v>0</v>
          </cell>
          <cell r="D9">
            <v>22</v>
          </cell>
          <cell r="G9">
            <v>308.565</v>
          </cell>
        </row>
        <row r="10">
          <cell r="C10">
            <v>0</v>
          </cell>
          <cell r="D10">
            <v>0</v>
          </cell>
          <cell r="G10">
            <v>286.565</v>
          </cell>
        </row>
        <row r="11">
          <cell r="C11">
            <v>0</v>
          </cell>
          <cell r="D11">
            <v>0</v>
          </cell>
          <cell r="G11">
            <v>286.565</v>
          </cell>
        </row>
        <row r="12">
          <cell r="C12">
            <v>0</v>
          </cell>
          <cell r="D12">
            <v>0</v>
          </cell>
          <cell r="G12">
            <v>286.565</v>
          </cell>
        </row>
        <row r="13">
          <cell r="C13">
            <v>0</v>
          </cell>
          <cell r="D13">
            <v>0</v>
          </cell>
          <cell r="G13">
            <v>286.565</v>
          </cell>
        </row>
        <row r="14">
          <cell r="C14">
            <v>0</v>
          </cell>
          <cell r="D14">
            <v>0</v>
          </cell>
          <cell r="G14">
            <v>286.565</v>
          </cell>
        </row>
        <row r="15">
          <cell r="C15">
            <v>0</v>
          </cell>
          <cell r="D15">
            <v>6.875</v>
          </cell>
          <cell r="G15">
            <v>286.565</v>
          </cell>
        </row>
        <row r="16">
          <cell r="C16">
            <v>0</v>
          </cell>
          <cell r="D16">
            <v>0</v>
          </cell>
          <cell r="G16">
            <v>279.69</v>
          </cell>
        </row>
        <row r="17">
          <cell r="C17">
            <v>0</v>
          </cell>
          <cell r="D17">
            <v>0</v>
          </cell>
          <cell r="G17">
            <v>279.69</v>
          </cell>
        </row>
        <row r="18">
          <cell r="C18">
            <v>0</v>
          </cell>
          <cell r="D18">
            <v>0</v>
          </cell>
          <cell r="G18">
            <v>279.69</v>
          </cell>
        </row>
        <row r="19">
          <cell r="C19">
            <v>0</v>
          </cell>
          <cell r="D19">
            <v>0</v>
          </cell>
          <cell r="G19">
            <v>279.69</v>
          </cell>
        </row>
        <row r="20">
          <cell r="C20">
            <v>0</v>
          </cell>
          <cell r="D20">
            <v>2.75</v>
          </cell>
          <cell r="G20">
            <v>279.69</v>
          </cell>
        </row>
        <row r="21">
          <cell r="C21">
            <v>0</v>
          </cell>
          <cell r="D21">
            <v>0</v>
          </cell>
          <cell r="G21">
            <v>276.94</v>
          </cell>
        </row>
        <row r="22">
          <cell r="C22">
            <v>0</v>
          </cell>
          <cell r="D22">
            <v>0</v>
          </cell>
          <cell r="G22">
            <v>276.94</v>
          </cell>
        </row>
        <row r="23">
          <cell r="C23">
            <v>0</v>
          </cell>
          <cell r="D23">
            <v>0</v>
          </cell>
          <cell r="G23">
            <v>276.94</v>
          </cell>
        </row>
        <row r="24">
          <cell r="C24">
            <v>0</v>
          </cell>
          <cell r="D24">
            <v>0</v>
          </cell>
          <cell r="G24">
            <v>276.94</v>
          </cell>
        </row>
        <row r="25">
          <cell r="C25">
            <v>0</v>
          </cell>
          <cell r="D25">
            <v>15.125</v>
          </cell>
          <cell r="G25">
            <v>276.94</v>
          </cell>
        </row>
        <row r="26">
          <cell r="C26">
            <v>0</v>
          </cell>
          <cell r="D26">
            <v>0</v>
          </cell>
          <cell r="G26">
            <v>261.815</v>
          </cell>
        </row>
        <row r="27">
          <cell r="C27">
            <v>0</v>
          </cell>
          <cell r="D27">
            <v>0</v>
          </cell>
          <cell r="G27">
            <v>261.815</v>
          </cell>
        </row>
        <row r="28">
          <cell r="C28">
            <v>0</v>
          </cell>
          <cell r="D28">
            <v>111.03</v>
          </cell>
          <cell r="G28">
            <v>261.815</v>
          </cell>
        </row>
        <row r="29">
          <cell r="C29">
            <v>0</v>
          </cell>
          <cell r="D29">
            <v>43.975000000000001</v>
          </cell>
          <cell r="G29">
            <v>150.785</v>
          </cell>
        </row>
        <row r="30">
          <cell r="C30">
            <v>0</v>
          </cell>
          <cell r="D30">
            <v>101.85</v>
          </cell>
          <cell r="G30">
            <v>106.81</v>
          </cell>
        </row>
        <row r="31">
          <cell r="C31">
            <v>0</v>
          </cell>
          <cell r="D31">
            <v>0</v>
          </cell>
          <cell r="G31">
            <v>4.960000000000008</v>
          </cell>
        </row>
        <row r="32">
          <cell r="C32">
            <v>0</v>
          </cell>
          <cell r="D32">
            <v>0</v>
          </cell>
          <cell r="G32">
            <v>4.960000000000008</v>
          </cell>
        </row>
        <row r="33">
          <cell r="C33">
            <v>0</v>
          </cell>
          <cell r="D33">
            <v>1.35</v>
          </cell>
          <cell r="G33">
            <v>4.960000000000008</v>
          </cell>
        </row>
        <row r="34">
          <cell r="C34">
            <v>0</v>
          </cell>
          <cell r="D34">
            <v>0</v>
          </cell>
          <cell r="G34">
            <v>3.6100000000000079</v>
          </cell>
        </row>
        <row r="35">
          <cell r="C35">
            <v>0</v>
          </cell>
          <cell r="D35">
            <v>3.61</v>
          </cell>
          <cell r="G35">
            <v>3.6100000000000079</v>
          </cell>
        </row>
        <row r="36">
          <cell r="C36">
            <v>0</v>
          </cell>
          <cell r="D36">
            <v>0</v>
          </cell>
          <cell r="G36">
            <v>7.9936057773011271E-15</v>
          </cell>
        </row>
        <row r="37">
          <cell r="G37">
            <v>7000.6299999999965</v>
          </cell>
        </row>
      </sheetData>
      <sheetData sheetId="6" refreshError="1"/>
      <sheetData sheetId="7" refreshError="1"/>
      <sheetData sheetId="8" refreshError="1"/>
      <sheetData sheetId="9">
        <row r="1">
          <cell r="A1">
            <v>46023</v>
          </cell>
        </row>
        <row r="2">
          <cell r="A2">
            <v>46024</v>
          </cell>
        </row>
        <row r="3">
          <cell r="A3">
            <v>46025</v>
          </cell>
        </row>
        <row r="4">
          <cell r="A4">
            <v>46026</v>
          </cell>
        </row>
        <row r="5">
          <cell r="A5">
            <v>46027</v>
          </cell>
        </row>
        <row r="6">
          <cell r="A6">
            <v>46028</v>
          </cell>
        </row>
        <row r="7">
          <cell r="A7">
            <v>46029</v>
          </cell>
        </row>
        <row r="8">
          <cell r="A8">
            <v>46030</v>
          </cell>
        </row>
        <row r="9">
          <cell r="A9">
            <v>46031</v>
          </cell>
        </row>
        <row r="10">
          <cell r="A10">
            <v>46032</v>
          </cell>
        </row>
        <row r="11">
          <cell r="A11">
            <v>46033</v>
          </cell>
        </row>
        <row r="12">
          <cell r="A12">
            <v>46076</v>
          </cell>
        </row>
        <row r="13">
          <cell r="A13">
            <v>46090</v>
          </cell>
        </row>
        <row r="14">
          <cell r="A14">
            <v>46143</v>
          </cell>
        </row>
        <row r="15">
          <cell r="A15">
            <v>46153</v>
          </cell>
        </row>
        <row r="16">
          <cell r="A16">
            <v>46185</v>
          </cell>
        </row>
        <row r="17">
          <cell r="A17">
            <v>46330</v>
          </cell>
        </row>
        <row r="18">
          <cell r="A18">
            <v>46387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Установка"/>
      <sheetName val="Set"/>
    </sheetNames>
    <definedNames>
      <definedName name="o1110010110100111011.o0100000011011010000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7">
          <cell r="D7"/>
          <cell r="F7"/>
          <cell r="I7"/>
        </row>
        <row r="8">
          <cell r="D8"/>
          <cell r="F8"/>
        </row>
        <row r="9">
          <cell r="D9"/>
          <cell r="F9"/>
        </row>
        <row r="10">
          <cell r="D10"/>
          <cell r="F10"/>
        </row>
        <row r="11">
          <cell r="D11"/>
          <cell r="F11"/>
        </row>
        <row r="12">
          <cell r="D12"/>
          <cell r="F12"/>
        </row>
        <row r="13">
          <cell r="D13"/>
          <cell r="F13"/>
        </row>
        <row r="14">
          <cell r="D14"/>
          <cell r="F14"/>
        </row>
        <row r="15">
          <cell r="D15"/>
          <cell r="F15"/>
        </row>
        <row r="16">
          <cell r="D16"/>
          <cell r="F16"/>
        </row>
        <row r="17">
          <cell r="D17"/>
          <cell r="F17"/>
        </row>
        <row r="18">
          <cell r="D18"/>
          <cell r="F18"/>
        </row>
        <row r="19">
          <cell r="D19"/>
          <cell r="F19"/>
        </row>
        <row r="20">
          <cell r="D20"/>
          <cell r="F20"/>
        </row>
        <row r="21">
          <cell r="D21"/>
          <cell r="F21"/>
        </row>
        <row r="22">
          <cell r="D22"/>
          <cell r="F22"/>
        </row>
        <row r="23">
          <cell r="D23"/>
          <cell r="F23"/>
        </row>
        <row r="24">
          <cell r="D24"/>
          <cell r="F24"/>
        </row>
        <row r="25">
          <cell r="D25"/>
          <cell r="F25"/>
        </row>
        <row r="26">
          <cell r="D26"/>
          <cell r="F26"/>
        </row>
        <row r="27">
          <cell r="D27"/>
          <cell r="F27"/>
        </row>
        <row r="28">
          <cell r="D28"/>
          <cell r="F28"/>
        </row>
        <row r="29">
          <cell r="D29"/>
          <cell r="F29"/>
        </row>
        <row r="30">
          <cell r="D30"/>
          <cell r="F30"/>
        </row>
        <row r="31">
          <cell r="D31"/>
          <cell r="F31"/>
        </row>
        <row r="32">
          <cell r="D32"/>
          <cell r="F32"/>
        </row>
        <row r="33">
          <cell r="D33"/>
          <cell r="F33"/>
        </row>
        <row r="34">
          <cell r="D34"/>
          <cell r="F34"/>
        </row>
        <row r="35">
          <cell r="D35"/>
          <cell r="F35"/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DD14-F90F-4FAB-AD33-43854F892189}">
  <sheetPr codeName="Лист1"/>
  <dimension ref="A1"/>
  <sheetViews>
    <sheetView workbookViewId="0"/>
  </sheetViews>
  <sheetFormatPr defaultRowHeight="15"/>
  <cols>
    <col min="1" max="16384" width="9.140625" style="4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F838-41C6-4BA8-82A4-D185BE7690A5}">
  <sheetPr codeName="Лист2"/>
  <dimension ref="A1:T40"/>
  <sheetViews>
    <sheetView workbookViewId="0">
      <selection activeCell="J16" sqref="J16"/>
    </sheetView>
  </sheetViews>
  <sheetFormatPr defaultRowHeight="15"/>
  <cols>
    <col min="1" max="1" width="13.140625" style="47" bestFit="1" customWidth="1"/>
    <col min="2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A1" s="46">
        <f>T37</f>
        <v>174135.17695199998</v>
      </c>
      <c r="I1" s="48"/>
    </row>
    <row r="2" spans="1:20" ht="28.9" customHeight="1">
      <c r="A2" s="76" t="str">
        <f>"Отчет по хранению товара за " &amp; TEXT(B5,"ММММ ГГГГ")</f>
        <v>Отчет по хранению товара за Март 2026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5</v>
      </c>
      <c r="H3" s="49" t="s">
        <v>6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58">
        <v>1</v>
      </c>
      <c r="B5" s="77">
        <v>46082</v>
      </c>
      <c r="C5" s="78"/>
      <c r="D5" s="59"/>
      <c r="E5" s="59"/>
      <c r="F5" s="60">
        <f>60.367+D5-E5</f>
        <v>60.366999999999997</v>
      </c>
      <c r="G5" s="61">
        <f>IF(OR(B5="",NOT(ISERROR(SEARCH("KPI",$A$2))),NOT(ISERROR(SEARCH("Полиом",$A$2)))),0,IF(70-F5&lt;=0,0,70-F5))</f>
        <v>9.6330000000000027</v>
      </c>
      <c r="H5" s="61"/>
      <c r="I5" s="62"/>
      <c r="J5" s="62"/>
      <c r="K5" s="63"/>
      <c r="L5" s="64">
        <f>SUM(K5*240)</f>
        <v>0</v>
      </c>
      <c r="M5" s="64">
        <f>SUM(D5*120)</f>
        <v>0</v>
      </c>
      <c r="N5" s="64">
        <f>SUM(E5*120)</f>
        <v>0</v>
      </c>
      <c r="O5" s="64">
        <f>SUM(F5*54)</f>
        <v>3259.8179999999998</v>
      </c>
      <c r="P5" s="64">
        <f>SUM(G5*54)</f>
        <v>520.18200000000013</v>
      </c>
      <c r="Q5" s="64">
        <f>SUM(H5*120)</f>
        <v>0</v>
      </c>
      <c r="R5" s="64">
        <f>SUM(I5*1000)</f>
        <v>0</v>
      </c>
      <c r="S5" s="64">
        <f>SUM(J5*140)</f>
        <v>0</v>
      </c>
      <c r="T5" s="64">
        <f>SUM(L5:S5)</f>
        <v>3780</v>
      </c>
    </row>
    <row r="6" spans="1:20">
      <c r="A6" s="65">
        <v>2</v>
      </c>
      <c r="B6" s="77">
        <v>46083</v>
      </c>
      <c r="C6" s="78"/>
      <c r="D6" s="66"/>
      <c r="E6" s="67">
        <v>1.5455000000000001</v>
      </c>
      <c r="F6" s="60">
        <f>F5-E6+D6</f>
        <v>58.8215</v>
      </c>
      <c r="G6" s="61">
        <f t="shared" ref="G6:G33" si="0">IF(OR(B6="",NOT(ISERROR(SEARCH("KPI",$A$2))),NOT(ISERROR(SEARCH("Полиом",$A$2)))),0,IF(70-F6&lt;=0,0,70-F6))</f>
        <v>11.1785</v>
      </c>
      <c r="H6" s="61"/>
      <c r="I6" s="62"/>
      <c r="J6" s="62"/>
      <c r="K6" s="63"/>
      <c r="L6" s="64">
        <f t="shared" ref="L6:L35" si="1">SUM(K6*240)</f>
        <v>0</v>
      </c>
      <c r="M6" s="64">
        <f t="shared" ref="M6:N35" si="2">SUM(D6*120)</f>
        <v>0</v>
      </c>
      <c r="N6" s="64">
        <f t="shared" si="2"/>
        <v>185.46</v>
      </c>
      <c r="O6" s="64">
        <f t="shared" ref="O6:P35" si="3">SUM(F6*54)</f>
        <v>3176.3609999999999</v>
      </c>
      <c r="P6" s="64">
        <f t="shared" si="3"/>
        <v>603.63900000000001</v>
      </c>
      <c r="Q6" s="64">
        <f t="shared" ref="Q6:Q35" si="4">SUM(H6*120)</f>
        <v>0</v>
      </c>
      <c r="R6" s="64">
        <f t="shared" ref="R6:R35" si="5">SUM(I6*1000)</f>
        <v>0</v>
      </c>
      <c r="S6" s="64">
        <f t="shared" ref="S6:S35" si="6">SUM(J6*140)</f>
        <v>0</v>
      </c>
      <c r="T6" s="64">
        <f t="shared" ref="T6:T35" si="7">SUM(L6:S6)</f>
        <v>3965.46</v>
      </c>
    </row>
    <row r="7" spans="1:20">
      <c r="A7" s="65">
        <v>3</v>
      </c>
      <c r="B7" s="77">
        <v>46084</v>
      </c>
      <c r="C7" s="78"/>
      <c r="D7" s="67">
        <v>36.067300000000003</v>
      </c>
      <c r="E7" s="66"/>
      <c r="F7" s="60">
        <f t="shared" ref="F7:F31" si="8">F6-E7+D7</f>
        <v>94.888800000000003</v>
      </c>
      <c r="G7" s="61">
        <f t="shared" si="0"/>
        <v>0</v>
      </c>
      <c r="H7" s="61"/>
      <c r="I7" s="62"/>
      <c r="J7" s="62"/>
      <c r="K7" s="63"/>
      <c r="L7" s="64">
        <f t="shared" si="1"/>
        <v>0</v>
      </c>
      <c r="M7" s="64">
        <f t="shared" si="2"/>
        <v>4328.076</v>
      </c>
      <c r="N7" s="64">
        <f t="shared" si="2"/>
        <v>0</v>
      </c>
      <c r="O7" s="64">
        <f t="shared" si="3"/>
        <v>5123.9952000000003</v>
      </c>
      <c r="P7" s="64">
        <f t="shared" si="3"/>
        <v>0</v>
      </c>
      <c r="Q7" s="64">
        <f t="shared" si="4"/>
        <v>0</v>
      </c>
      <c r="R7" s="64">
        <f t="shared" si="5"/>
        <v>0</v>
      </c>
      <c r="S7" s="64">
        <f t="shared" si="6"/>
        <v>0</v>
      </c>
      <c r="T7" s="64">
        <f t="shared" si="7"/>
        <v>9452.0712000000003</v>
      </c>
    </row>
    <row r="8" spans="1:20">
      <c r="A8" s="65">
        <v>4</v>
      </c>
      <c r="B8" s="77">
        <v>46085</v>
      </c>
      <c r="C8" s="78"/>
      <c r="D8" s="59"/>
      <c r="E8" s="59"/>
      <c r="F8" s="60">
        <f t="shared" si="8"/>
        <v>94.888800000000003</v>
      </c>
      <c r="G8" s="61">
        <f t="shared" si="0"/>
        <v>0</v>
      </c>
      <c r="H8" s="61"/>
      <c r="I8" s="62"/>
      <c r="J8" s="62"/>
      <c r="K8" s="63"/>
      <c r="L8" s="64">
        <f t="shared" si="1"/>
        <v>0</v>
      </c>
      <c r="M8" s="64">
        <f t="shared" si="2"/>
        <v>0</v>
      </c>
      <c r="N8" s="64">
        <f t="shared" si="2"/>
        <v>0</v>
      </c>
      <c r="O8" s="64">
        <f t="shared" si="3"/>
        <v>5123.9952000000003</v>
      </c>
      <c r="P8" s="64">
        <f t="shared" si="3"/>
        <v>0</v>
      </c>
      <c r="Q8" s="64">
        <f t="shared" si="4"/>
        <v>0</v>
      </c>
      <c r="R8" s="64">
        <f t="shared" si="5"/>
        <v>0</v>
      </c>
      <c r="S8" s="64">
        <f t="shared" si="6"/>
        <v>0</v>
      </c>
      <c r="T8" s="64">
        <f t="shared" si="7"/>
        <v>5123.9952000000003</v>
      </c>
    </row>
    <row r="9" spans="1:20">
      <c r="A9" s="65">
        <v>5</v>
      </c>
      <c r="B9" s="77">
        <v>46086</v>
      </c>
      <c r="C9" s="78"/>
      <c r="D9" s="66"/>
      <c r="E9" s="67">
        <v>2.0196000000000001</v>
      </c>
      <c r="F9" s="60">
        <f t="shared" si="8"/>
        <v>92.869200000000006</v>
      </c>
      <c r="G9" s="61">
        <f t="shared" si="0"/>
        <v>0</v>
      </c>
      <c r="H9" s="61"/>
      <c r="I9" s="62"/>
      <c r="J9" s="62"/>
      <c r="K9" s="63"/>
      <c r="L9" s="64">
        <f t="shared" si="1"/>
        <v>0</v>
      </c>
      <c r="M9" s="64">
        <f t="shared" si="2"/>
        <v>0</v>
      </c>
      <c r="N9" s="64">
        <f t="shared" si="2"/>
        <v>242.352</v>
      </c>
      <c r="O9" s="64">
        <f t="shared" si="3"/>
        <v>5014.9368000000004</v>
      </c>
      <c r="P9" s="64">
        <f t="shared" si="3"/>
        <v>0</v>
      </c>
      <c r="Q9" s="64">
        <f t="shared" si="4"/>
        <v>0</v>
      </c>
      <c r="R9" s="64">
        <f t="shared" si="5"/>
        <v>0</v>
      </c>
      <c r="S9" s="64">
        <f t="shared" si="6"/>
        <v>0</v>
      </c>
      <c r="T9" s="64">
        <f t="shared" si="7"/>
        <v>5257.2888000000003</v>
      </c>
    </row>
    <row r="10" spans="1:20">
      <c r="A10" s="65">
        <v>6</v>
      </c>
      <c r="B10" s="77">
        <v>46087</v>
      </c>
      <c r="C10" s="78"/>
      <c r="D10" s="66"/>
      <c r="E10" s="67">
        <v>8.3231999999999999</v>
      </c>
      <c r="F10" s="60">
        <f t="shared" si="8"/>
        <v>84.546000000000006</v>
      </c>
      <c r="G10" s="61">
        <f t="shared" si="0"/>
        <v>0</v>
      </c>
      <c r="H10" s="61"/>
      <c r="I10" s="62"/>
      <c r="J10" s="62"/>
      <c r="K10" s="63"/>
      <c r="L10" s="64">
        <f t="shared" si="1"/>
        <v>0</v>
      </c>
      <c r="M10" s="64">
        <f t="shared" si="2"/>
        <v>0</v>
      </c>
      <c r="N10" s="64">
        <f t="shared" si="2"/>
        <v>998.78399999999999</v>
      </c>
      <c r="O10" s="64">
        <f t="shared" si="3"/>
        <v>4565.4840000000004</v>
      </c>
      <c r="P10" s="64">
        <f t="shared" si="3"/>
        <v>0</v>
      </c>
      <c r="Q10" s="64">
        <f t="shared" si="4"/>
        <v>0</v>
      </c>
      <c r="R10" s="64">
        <f t="shared" si="5"/>
        <v>0</v>
      </c>
      <c r="S10" s="64">
        <f t="shared" si="6"/>
        <v>0</v>
      </c>
      <c r="T10" s="64">
        <f t="shared" si="7"/>
        <v>5564.268</v>
      </c>
    </row>
    <row r="11" spans="1:20">
      <c r="A11" s="65">
        <v>7</v>
      </c>
      <c r="B11" s="77">
        <v>46088</v>
      </c>
      <c r="C11" s="78"/>
      <c r="D11" s="59"/>
      <c r="E11" s="59"/>
      <c r="F11" s="60">
        <f t="shared" si="8"/>
        <v>84.546000000000006</v>
      </c>
      <c r="G11" s="61">
        <f t="shared" si="0"/>
        <v>0</v>
      </c>
      <c r="H11" s="61"/>
      <c r="I11" s="62"/>
      <c r="J11" s="62"/>
      <c r="K11" s="63"/>
      <c r="L11" s="64">
        <f t="shared" si="1"/>
        <v>0</v>
      </c>
      <c r="M11" s="64">
        <f t="shared" si="2"/>
        <v>0</v>
      </c>
      <c r="N11" s="64">
        <f t="shared" si="2"/>
        <v>0</v>
      </c>
      <c r="O11" s="64">
        <f t="shared" si="3"/>
        <v>4565.4840000000004</v>
      </c>
      <c r="P11" s="64">
        <f t="shared" si="3"/>
        <v>0</v>
      </c>
      <c r="Q11" s="64">
        <f t="shared" si="4"/>
        <v>0</v>
      </c>
      <c r="R11" s="64">
        <f t="shared" si="5"/>
        <v>0</v>
      </c>
      <c r="S11" s="64">
        <f t="shared" si="6"/>
        <v>0</v>
      </c>
      <c r="T11" s="64">
        <f t="shared" si="7"/>
        <v>4565.4840000000004</v>
      </c>
    </row>
    <row r="12" spans="1:20">
      <c r="A12" s="65">
        <v>8</v>
      </c>
      <c r="B12" s="77">
        <v>46089</v>
      </c>
      <c r="C12" s="78"/>
      <c r="D12" s="59"/>
      <c r="E12" s="59"/>
      <c r="F12" s="60">
        <f t="shared" si="8"/>
        <v>84.546000000000006</v>
      </c>
      <c r="G12" s="61">
        <f t="shared" si="0"/>
        <v>0</v>
      </c>
      <c r="H12" s="61"/>
      <c r="I12" s="62"/>
      <c r="J12" s="62"/>
      <c r="K12" s="63"/>
      <c r="L12" s="64">
        <f t="shared" si="1"/>
        <v>0</v>
      </c>
      <c r="M12" s="64">
        <f t="shared" si="2"/>
        <v>0</v>
      </c>
      <c r="N12" s="64">
        <f t="shared" si="2"/>
        <v>0</v>
      </c>
      <c r="O12" s="64">
        <f t="shared" si="3"/>
        <v>4565.4840000000004</v>
      </c>
      <c r="P12" s="64">
        <f t="shared" si="3"/>
        <v>0</v>
      </c>
      <c r="Q12" s="64">
        <f t="shared" si="4"/>
        <v>0</v>
      </c>
      <c r="R12" s="64">
        <f t="shared" si="5"/>
        <v>0</v>
      </c>
      <c r="S12" s="64">
        <f t="shared" si="6"/>
        <v>0</v>
      </c>
      <c r="T12" s="64">
        <f t="shared" si="7"/>
        <v>4565.4840000000004</v>
      </c>
    </row>
    <row r="13" spans="1:20">
      <c r="A13" s="65">
        <v>9</v>
      </c>
      <c r="B13" s="77">
        <v>46090</v>
      </c>
      <c r="C13" s="78"/>
      <c r="D13" s="59"/>
      <c r="E13" s="59"/>
      <c r="F13" s="60">
        <f t="shared" si="8"/>
        <v>84.546000000000006</v>
      </c>
      <c r="G13" s="61">
        <f t="shared" si="0"/>
        <v>0</v>
      </c>
      <c r="H13" s="61"/>
      <c r="I13" s="62"/>
      <c r="J13" s="62"/>
      <c r="K13" s="63"/>
      <c r="L13" s="64">
        <f t="shared" si="1"/>
        <v>0</v>
      </c>
      <c r="M13" s="64">
        <f t="shared" si="2"/>
        <v>0</v>
      </c>
      <c r="N13" s="64">
        <f t="shared" si="2"/>
        <v>0</v>
      </c>
      <c r="O13" s="64">
        <f t="shared" si="3"/>
        <v>4565.4840000000004</v>
      </c>
      <c r="P13" s="64">
        <f t="shared" si="3"/>
        <v>0</v>
      </c>
      <c r="Q13" s="64">
        <f t="shared" si="4"/>
        <v>0</v>
      </c>
      <c r="R13" s="64">
        <f t="shared" si="5"/>
        <v>0</v>
      </c>
      <c r="S13" s="64">
        <f t="shared" si="6"/>
        <v>0</v>
      </c>
      <c r="T13" s="64">
        <f t="shared" si="7"/>
        <v>4565.4840000000004</v>
      </c>
    </row>
    <row r="14" spans="1:20">
      <c r="A14" s="65">
        <v>10</v>
      </c>
      <c r="B14" s="77">
        <v>46091</v>
      </c>
      <c r="C14" s="78"/>
      <c r="D14" s="59"/>
      <c r="E14" s="59"/>
      <c r="F14" s="60">
        <f t="shared" si="8"/>
        <v>84.546000000000006</v>
      </c>
      <c r="G14" s="61">
        <f t="shared" si="0"/>
        <v>0</v>
      </c>
      <c r="H14" s="61"/>
      <c r="I14" s="62"/>
      <c r="J14" s="62"/>
      <c r="K14" s="63"/>
      <c r="L14" s="64">
        <f t="shared" si="1"/>
        <v>0</v>
      </c>
      <c r="M14" s="64">
        <f t="shared" si="2"/>
        <v>0</v>
      </c>
      <c r="N14" s="64">
        <f t="shared" si="2"/>
        <v>0</v>
      </c>
      <c r="O14" s="64">
        <f t="shared" si="3"/>
        <v>4565.4840000000004</v>
      </c>
      <c r="P14" s="64">
        <f t="shared" si="3"/>
        <v>0</v>
      </c>
      <c r="Q14" s="64">
        <f t="shared" si="4"/>
        <v>0</v>
      </c>
      <c r="R14" s="64">
        <f t="shared" si="5"/>
        <v>0</v>
      </c>
      <c r="S14" s="64">
        <f t="shared" si="6"/>
        <v>0</v>
      </c>
      <c r="T14" s="64">
        <f t="shared" si="7"/>
        <v>4565.4840000000004</v>
      </c>
    </row>
    <row r="15" spans="1:20">
      <c r="A15" s="65">
        <v>11</v>
      </c>
      <c r="B15" s="77">
        <v>46092</v>
      </c>
      <c r="C15" s="78"/>
      <c r="D15" s="66"/>
      <c r="E15" s="67">
        <v>11.5747</v>
      </c>
      <c r="F15" s="60">
        <f t="shared" si="8"/>
        <v>72.971300000000014</v>
      </c>
      <c r="G15" s="61">
        <f t="shared" si="0"/>
        <v>0</v>
      </c>
      <c r="H15" s="61"/>
      <c r="I15" s="62"/>
      <c r="J15" s="62"/>
      <c r="K15" s="63"/>
      <c r="L15" s="64">
        <f t="shared" si="1"/>
        <v>0</v>
      </c>
      <c r="M15" s="64">
        <f t="shared" si="2"/>
        <v>0</v>
      </c>
      <c r="N15" s="64">
        <f t="shared" si="2"/>
        <v>1388.9639999999999</v>
      </c>
      <c r="O15" s="64">
        <f t="shared" si="3"/>
        <v>3940.4502000000007</v>
      </c>
      <c r="P15" s="64">
        <f t="shared" si="3"/>
        <v>0</v>
      </c>
      <c r="Q15" s="64">
        <f t="shared" si="4"/>
        <v>0</v>
      </c>
      <c r="R15" s="64">
        <f t="shared" si="5"/>
        <v>0</v>
      </c>
      <c r="S15" s="64">
        <f t="shared" si="6"/>
        <v>0</v>
      </c>
      <c r="T15" s="64">
        <f t="shared" si="7"/>
        <v>5329.4142000000011</v>
      </c>
    </row>
    <row r="16" spans="1:20">
      <c r="A16" s="65">
        <v>12</v>
      </c>
      <c r="B16" s="77">
        <v>46093</v>
      </c>
      <c r="C16" s="78"/>
      <c r="D16" s="59"/>
      <c r="E16" s="59"/>
      <c r="F16" s="60">
        <f t="shared" si="8"/>
        <v>72.971300000000014</v>
      </c>
      <c r="G16" s="61">
        <f t="shared" si="0"/>
        <v>0</v>
      </c>
      <c r="H16" s="61"/>
      <c r="I16" s="62"/>
      <c r="J16" s="62"/>
      <c r="K16" s="68"/>
      <c r="L16" s="64">
        <f t="shared" si="1"/>
        <v>0</v>
      </c>
      <c r="M16" s="64">
        <f t="shared" si="2"/>
        <v>0</v>
      </c>
      <c r="N16" s="64">
        <f t="shared" si="2"/>
        <v>0</v>
      </c>
      <c r="O16" s="64">
        <f t="shared" si="3"/>
        <v>3940.4502000000007</v>
      </c>
      <c r="P16" s="64">
        <f t="shared" si="3"/>
        <v>0</v>
      </c>
      <c r="Q16" s="64">
        <f t="shared" si="4"/>
        <v>0</v>
      </c>
      <c r="R16" s="64">
        <f t="shared" si="5"/>
        <v>0</v>
      </c>
      <c r="S16" s="64">
        <f t="shared" si="6"/>
        <v>0</v>
      </c>
      <c r="T16" s="64">
        <f t="shared" si="7"/>
        <v>3940.4502000000007</v>
      </c>
    </row>
    <row r="17" spans="1:20">
      <c r="A17" s="65">
        <v>13</v>
      </c>
      <c r="B17" s="77">
        <v>46094</v>
      </c>
      <c r="C17" s="78"/>
      <c r="D17" s="66"/>
      <c r="E17" s="67">
        <v>35.926499999999997</v>
      </c>
      <c r="F17" s="60">
        <f t="shared" si="8"/>
        <v>37.044800000000016</v>
      </c>
      <c r="G17" s="61">
        <f t="shared" si="0"/>
        <v>32.955199999999984</v>
      </c>
      <c r="H17" s="61"/>
      <c r="I17" s="62"/>
      <c r="J17" s="62"/>
      <c r="K17" s="63"/>
      <c r="L17" s="64">
        <f t="shared" si="1"/>
        <v>0</v>
      </c>
      <c r="M17" s="64">
        <f t="shared" si="2"/>
        <v>0</v>
      </c>
      <c r="N17" s="64">
        <f t="shared" si="2"/>
        <v>4311.1799999999994</v>
      </c>
      <c r="O17" s="64">
        <f t="shared" si="3"/>
        <v>2000.419200000001</v>
      </c>
      <c r="P17" s="64">
        <f t="shared" si="3"/>
        <v>1779.580799999999</v>
      </c>
      <c r="Q17" s="64">
        <f t="shared" si="4"/>
        <v>0</v>
      </c>
      <c r="R17" s="64">
        <f t="shared" si="5"/>
        <v>0</v>
      </c>
      <c r="S17" s="64">
        <f t="shared" si="6"/>
        <v>0</v>
      </c>
      <c r="T17" s="64">
        <f t="shared" si="7"/>
        <v>8091.1799999999994</v>
      </c>
    </row>
    <row r="18" spans="1:20">
      <c r="A18" s="65">
        <v>14</v>
      </c>
      <c r="B18" s="77">
        <v>46095</v>
      </c>
      <c r="C18" s="78"/>
      <c r="D18" s="59"/>
      <c r="E18" s="59"/>
      <c r="F18" s="60">
        <f t="shared" si="8"/>
        <v>37.044800000000016</v>
      </c>
      <c r="G18" s="61">
        <f t="shared" si="0"/>
        <v>32.955199999999984</v>
      </c>
      <c r="H18" s="61"/>
      <c r="I18" s="62"/>
      <c r="J18" s="62"/>
      <c r="K18" s="63"/>
      <c r="L18" s="64">
        <f t="shared" si="1"/>
        <v>0</v>
      </c>
      <c r="M18" s="64">
        <f t="shared" si="2"/>
        <v>0</v>
      </c>
      <c r="N18" s="64">
        <f t="shared" si="2"/>
        <v>0</v>
      </c>
      <c r="O18" s="64">
        <f t="shared" si="3"/>
        <v>2000.419200000001</v>
      </c>
      <c r="P18" s="64">
        <f t="shared" si="3"/>
        <v>1779.580799999999</v>
      </c>
      <c r="Q18" s="64">
        <f t="shared" si="4"/>
        <v>0</v>
      </c>
      <c r="R18" s="64">
        <f t="shared" si="5"/>
        <v>0</v>
      </c>
      <c r="S18" s="64">
        <f t="shared" si="6"/>
        <v>0</v>
      </c>
      <c r="T18" s="64">
        <f t="shared" si="7"/>
        <v>3780</v>
      </c>
    </row>
    <row r="19" spans="1:20">
      <c r="A19" s="65">
        <v>15</v>
      </c>
      <c r="B19" s="77">
        <v>46096</v>
      </c>
      <c r="C19" s="78"/>
      <c r="D19" s="59"/>
      <c r="E19" s="59"/>
      <c r="F19" s="60">
        <f t="shared" si="8"/>
        <v>37.044800000000016</v>
      </c>
      <c r="G19" s="61">
        <f t="shared" si="0"/>
        <v>32.955199999999984</v>
      </c>
      <c r="H19" s="61"/>
      <c r="I19" s="62"/>
      <c r="J19" s="62"/>
      <c r="K19" s="63"/>
      <c r="L19" s="64">
        <f t="shared" si="1"/>
        <v>0</v>
      </c>
      <c r="M19" s="64">
        <f t="shared" si="2"/>
        <v>0</v>
      </c>
      <c r="N19" s="64">
        <f t="shared" si="2"/>
        <v>0</v>
      </c>
      <c r="O19" s="64">
        <f t="shared" si="3"/>
        <v>2000.419200000001</v>
      </c>
      <c r="P19" s="64">
        <f t="shared" si="3"/>
        <v>1779.580799999999</v>
      </c>
      <c r="Q19" s="64">
        <f t="shared" si="4"/>
        <v>0</v>
      </c>
      <c r="R19" s="64">
        <f t="shared" si="5"/>
        <v>0</v>
      </c>
      <c r="S19" s="64">
        <f t="shared" si="6"/>
        <v>0</v>
      </c>
      <c r="T19" s="64">
        <f t="shared" si="7"/>
        <v>3780</v>
      </c>
    </row>
    <row r="20" spans="1:20">
      <c r="A20" s="65">
        <v>16</v>
      </c>
      <c r="B20" s="77">
        <v>46097</v>
      </c>
      <c r="C20" s="78"/>
      <c r="D20" s="59"/>
      <c r="E20" s="59"/>
      <c r="F20" s="60">
        <f t="shared" si="8"/>
        <v>37.044800000000016</v>
      </c>
      <c r="G20" s="61">
        <f t="shared" si="0"/>
        <v>32.955199999999984</v>
      </c>
      <c r="H20" s="61"/>
      <c r="I20" s="62"/>
      <c r="J20" s="62"/>
      <c r="K20" s="63"/>
      <c r="L20" s="64">
        <f t="shared" si="1"/>
        <v>0</v>
      </c>
      <c r="M20" s="64">
        <f t="shared" si="2"/>
        <v>0</v>
      </c>
      <c r="N20" s="64">
        <f t="shared" si="2"/>
        <v>0</v>
      </c>
      <c r="O20" s="64">
        <f t="shared" si="3"/>
        <v>2000.419200000001</v>
      </c>
      <c r="P20" s="64">
        <f t="shared" si="3"/>
        <v>1779.580799999999</v>
      </c>
      <c r="Q20" s="64">
        <f t="shared" si="4"/>
        <v>0</v>
      </c>
      <c r="R20" s="64">
        <f t="shared" si="5"/>
        <v>0</v>
      </c>
      <c r="S20" s="64">
        <f t="shared" si="6"/>
        <v>0</v>
      </c>
      <c r="T20" s="64">
        <f t="shared" si="7"/>
        <v>3780</v>
      </c>
    </row>
    <row r="21" spans="1:20">
      <c r="A21" s="65">
        <v>17</v>
      </c>
      <c r="B21" s="77">
        <v>46098</v>
      </c>
      <c r="C21" s="78"/>
      <c r="D21" s="66"/>
      <c r="E21" s="67">
        <v>0.95320000000000005</v>
      </c>
      <c r="F21" s="60">
        <f t="shared" si="8"/>
        <v>36.091600000000014</v>
      </c>
      <c r="G21" s="61">
        <f t="shared" si="0"/>
        <v>33.908399999999986</v>
      </c>
      <c r="H21" s="61"/>
      <c r="I21" s="62"/>
      <c r="J21" s="62"/>
      <c r="K21" s="63"/>
      <c r="L21" s="64">
        <f t="shared" si="1"/>
        <v>0</v>
      </c>
      <c r="M21" s="64">
        <f t="shared" si="2"/>
        <v>0</v>
      </c>
      <c r="N21" s="64">
        <f t="shared" si="2"/>
        <v>114.384</v>
      </c>
      <c r="O21" s="64">
        <f t="shared" si="3"/>
        <v>1948.9464000000007</v>
      </c>
      <c r="P21" s="64">
        <f t="shared" si="3"/>
        <v>1831.0535999999993</v>
      </c>
      <c r="Q21" s="64">
        <f t="shared" si="4"/>
        <v>0</v>
      </c>
      <c r="R21" s="64">
        <f t="shared" si="5"/>
        <v>0</v>
      </c>
      <c r="S21" s="64">
        <f t="shared" si="6"/>
        <v>0</v>
      </c>
      <c r="T21" s="64">
        <f t="shared" si="7"/>
        <v>3894.384</v>
      </c>
    </row>
    <row r="22" spans="1:20">
      <c r="A22" s="65">
        <v>18</v>
      </c>
      <c r="B22" s="77">
        <v>46099</v>
      </c>
      <c r="C22" s="78"/>
      <c r="D22" s="66"/>
      <c r="E22" s="67">
        <v>3.3397999999999999</v>
      </c>
      <c r="F22" s="60">
        <f t="shared" si="8"/>
        <v>32.751800000000017</v>
      </c>
      <c r="G22" s="61">
        <f t="shared" si="0"/>
        <v>37.248199999999983</v>
      </c>
      <c r="H22" s="61"/>
      <c r="I22" s="62"/>
      <c r="J22" s="62"/>
      <c r="K22" s="63"/>
      <c r="L22" s="64">
        <f t="shared" si="1"/>
        <v>0</v>
      </c>
      <c r="M22" s="64">
        <f t="shared" si="2"/>
        <v>0</v>
      </c>
      <c r="N22" s="64">
        <f t="shared" si="2"/>
        <v>400.77600000000001</v>
      </c>
      <c r="O22" s="64">
        <f t="shared" si="3"/>
        <v>1768.5972000000008</v>
      </c>
      <c r="P22" s="64">
        <f t="shared" si="3"/>
        <v>2011.4027999999992</v>
      </c>
      <c r="Q22" s="64">
        <f t="shared" si="4"/>
        <v>0</v>
      </c>
      <c r="R22" s="64">
        <f t="shared" si="5"/>
        <v>0</v>
      </c>
      <c r="S22" s="64">
        <f t="shared" si="6"/>
        <v>0</v>
      </c>
      <c r="T22" s="64">
        <f t="shared" si="7"/>
        <v>4180.7759999999998</v>
      </c>
    </row>
    <row r="23" spans="1:20">
      <c r="A23" s="65">
        <v>19</v>
      </c>
      <c r="B23" s="77">
        <v>46100</v>
      </c>
      <c r="C23" s="78"/>
      <c r="D23" s="59"/>
      <c r="E23" s="59"/>
      <c r="F23" s="60">
        <f t="shared" si="8"/>
        <v>32.751800000000017</v>
      </c>
      <c r="G23" s="61">
        <f t="shared" si="0"/>
        <v>37.248199999999983</v>
      </c>
      <c r="H23" s="61"/>
      <c r="I23" s="62"/>
      <c r="J23" s="62"/>
      <c r="K23" s="63"/>
      <c r="L23" s="64">
        <f t="shared" si="1"/>
        <v>0</v>
      </c>
      <c r="M23" s="64">
        <f t="shared" si="2"/>
        <v>0</v>
      </c>
      <c r="N23" s="64">
        <f t="shared" si="2"/>
        <v>0</v>
      </c>
      <c r="O23" s="64">
        <f t="shared" si="3"/>
        <v>1768.5972000000008</v>
      </c>
      <c r="P23" s="64">
        <f t="shared" si="3"/>
        <v>2011.4027999999992</v>
      </c>
      <c r="Q23" s="64">
        <f t="shared" si="4"/>
        <v>0</v>
      </c>
      <c r="R23" s="64">
        <f t="shared" si="5"/>
        <v>0</v>
      </c>
      <c r="S23" s="64">
        <f t="shared" si="6"/>
        <v>0</v>
      </c>
      <c r="T23" s="64">
        <f t="shared" si="7"/>
        <v>3780</v>
      </c>
    </row>
    <row r="24" spans="1:20">
      <c r="A24" s="65">
        <v>20</v>
      </c>
      <c r="B24" s="77">
        <v>46101</v>
      </c>
      <c r="C24" s="78"/>
      <c r="D24" s="59"/>
      <c r="E24" s="59"/>
      <c r="F24" s="60">
        <f t="shared" si="8"/>
        <v>32.751800000000017</v>
      </c>
      <c r="G24" s="61">
        <f t="shared" si="0"/>
        <v>37.248199999999983</v>
      </c>
      <c r="H24" s="61"/>
      <c r="I24" s="62"/>
      <c r="J24" s="62"/>
      <c r="K24" s="63"/>
      <c r="L24" s="64">
        <f t="shared" si="1"/>
        <v>0</v>
      </c>
      <c r="M24" s="64">
        <f t="shared" si="2"/>
        <v>0</v>
      </c>
      <c r="N24" s="64">
        <f t="shared" si="2"/>
        <v>0</v>
      </c>
      <c r="O24" s="64">
        <f t="shared" si="3"/>
        <v>1768.5972000000008</v>
      </c>
      <c r="P24" s="64">
        <f t="shared" si="3"/>
        <v>2011.4027999999992</v>
      </c>
      <c r="Q24" s="64">
        <f t="shared" si="4"/>
        <v>0</v>
      </c>
      <c r="R24" s="64">
        <f t="shared" si="5"/>
        <v>0</v>
      </c>
      <c r="S24" s="64">
        <f t="shared" si="6"/>
        <v>0</v>
      </c>
      <c r="T24" s="64">
        <f t="shared" si="7"/>
        <v>3780</v>
      </c>
    </row>
    <row r="25" spans="1:20">
      <c r="A25" s="65">
        <v>21</v>
      </c>
      <c r="B25" s="77">
        <v>46102</v>
      </c>
      <c r="C25" s="78"/>
      <c r="D25" s="59"/>
      <c r="E25" s="59"/>
      <c r="F25" s="60">
        <f t="shared" si="8"/>
        <v>32.751800000000017</v>
      </c>
      <c r="G25" s="61">
        <f t="shared" si="0"/>
        <v>37.248199999999983</v>
      </c>
      <c r="H25" s="61"/>
      <c r="I25" s="62"/>
      <c r="J25" s="62"/>
      <c r="K25" s="63"/>
      <c r="L25" s="64">
        <f t="shared" si="1"/>
        <v>0</v>
      </c>
      <c r="M25" s="64">
        <f t="shared" si="2"/>
        <v>0</v>
      </c>
      <c r="N25" s="64">
        <f t="shared" si="2"/>
        <v>0</v>
      </c>
      <c r="O25" s="64">
        <f t="shared" si="3"/>
        <v>1768.5972000000008</v>
      </c>
      <c r="P25" s="64">
        <f t="shared" si="3"/>
        <v>2011.4027999999992</v>
      </c>
      <c r="Q25" s="64">
        <f t="shared" si="4"/>
        <v>0</v>
      </c>
      <c r="R25" s="64">
        <f t="shared" si="5"/>
        <v>0</v>
      </c>
      <c r="S25" s="64">
        <f t="shared" si="6"/>
        <v>0</v>
      </c>
      <c r="T25" s="64">
        <f t="shared" si="7"/>
        <v>3780</v>
      </c>
    </row>
    <row r="26" spans="1:20">
      <c r="A26" s="65">
        <v>22</v>
      </c>
      <c r="B26" s="77">
        <v>46103</v>
      </c>
      <c r="C26" s="78"/>
      <c r="D26" s="59"/>
      <c r="E26" s="59"/>
      <c r="F26" s="60">
        <f t="shared" si="8"/>
        <v>32.751800000000017</v>
      </c>
      <c r="G26" s="61">
        <f t="shared" si="0"/>
        <v>37.248199999999983</v>
      </c>
      <c r="H26" s="61"/>
      <c r="I26" s="62"/>
      <c r="J26" s="62"/>
      <c r="K26" s="63"/>
      <c r="L26" s="64">
        <f t="shared" si="1"/>
        <v>0</v>
      </c>
      <c r="M26" s="64">
        <f t="shared" si="2"/>
        <v>0</v>
      </c>
      <c r="N26" s="64">
        <f t="shared" si="2"/>
        <v>0</v>
      </c>
      <c r="O26" s="64">
        <f t="shared" si="3"/>
        <v>1768.5972000000008</v>
      </c>
      <c r="P26" s="64">
        <f t="shared" si="3"/>
        <v>2011.4027999999992</v>
      </c>
      <c r="Q26" s="64">
        <f t="shared" si="4"/>
        <v>0</v>
      </c>
      <c r="R26" s="64">
        <f t="shared" si="5"/>
        <v>0</v>
      </c>
      <c r="S26" s="64">
        <f t="shared" si="6"/>
        <v>0</v>
      </c>
      <c r="T26" s="64">
        <f t="shared" si="7"/>
        <v>3780</v>
      </c>
    </row>
    <row r="27" spans="1:20">
      <c r="A27" s="65">
        <v>23</v>
      </c>
      <c r="B27" s="77">
        <v>46104</v>
      </c>
      <c r="C27" s="78"/>
      <c r="D27" s="59"/>
      <c r="E27" s="59"/>
      <c r="F27" s="60">
        <f t="shared" si="8"/>
        <v>32.751800000000017</v>
      </c>
      <c r="G27" s="61">
        <f t="shared" si="0"/>
        <v>37.248199999999983</v>
      </c>
      <c r="H27" s="61"/>
      <c r="I27" s="62"/>
      <c r="J27" s="62"/>
      <c r="K27" s="63"/>
      <c r="L27" s="64">
        <f t="shared" si="1"/>
        <v>0</v>
      </c>
      <c r="M27" s="64">
        <f t="shared" si="2"/>
        <v>0</v>
      </c>
      <c r="N27" s="64">
        <f t="shared" si="2"/>
        <v>0</v>
      </c>
      <c r="O27" s="64">
        <f t="shared" si="3"/>
        <v>1768.5972000000008</v>
      </c>
      <c r="P27" s="64">
        <f t="shared" si="3"/>
        <v>2011.4027999999992</v>
      </c>
      <c r="Q27" s="64">
        <f t="shared" si="4"/>
        <v>0</v>
      </c>
      <c r="R27" s="64">
        <f t="shared" si="5"/>
        <v>0</v>
      </c>
      <c r="S27" s="64">
        <f t="shared" si="6"/>
        <v>0</v>
      </c>
      <c r="T27" s="64">
        <f t="shared" si="7"/>
        <v>3780</v>
      </c>
    </row>
    <row r="28" spans="1:20">
      <c r="A28" s="65">
        <v>24</v>
      </c>
      <c r="B28" s="77">
        <v>46105</v>
      </c>
      <c r="C28" s="78"/>
      <c r="D28" s="59"/>
      <c r="E28" s="59"/>
      <c r="F28" s="60">
        <f t="shared" si="8"/>
        <v>32.751800000000017</v>
      </c>
      <c r="G28" s="61">
        <f t="shared" si="0"/>
        <v>37.248199999999983</v>
      </c>
      <c r="H28" s="61"/>
      <c r="I28" s="62"/>
      <c r="J28" s="62"/>
      <c r="K28" s="63"/>
      <c r="L28" s="64">
        <f t="shared" si="1"/>
        <v>0</v>
      </c>
      <c r="M28" s="64">
        <f t="shared" si="2"/>
        <v>0</v>
      </c>
      <c r="N28" s="64">
        <f t="shared" si="2"/>
        <v>0</v>
      </c>
      <c r="O28" s="64">
        <f t="shared" si="3"/>
        <v>1768.5972000000008</v>
      </c>
      <c r="P28" s="64">
        <f t="shared" si="3"/>
        <v>2011.4027999999992</v>
      </c>
      <c r="Q28" s="64">
        <f t="shared" si="4"/>
        <v>0</v>
      </c>
      <c r="R28" s="64">
        <f t="shared" si="5"/>
        <v>0</v>
      </c>
      <c r="S28" s="64">
        <f t="shared" si="6"/>
        <v>0</v>
      </c>
      <c r="T28" s="64">
        <f t="shared" si="7"/>
        <v>3780</v>
      </c>
    </row>
    <row r="29" spans="1:20">
      <c r="A29" s="65">
        <v>25</v>
      </c>
      <c r="B29" s="77">
        <v>46106</v>
      </c>
      <c r="C29" s="78"/>
      <c r="D29" s="69">
        <v>18.423999999999999</v>
      </c>
      <c r="E29" s="67">
        <v>17.1158</v>
      </c>
      <c r="F29" s="60">
        <f t="shared" si="8"/>
        <v>34.060000000000016</v>
      </c>
      <c r="G29" s="61">
        <f t="shared" si="0"/>
        <v>35.939999999999984</v>
      </c>
      <c r="H29" s="61"/>
      <c r="I29" s="62"/>
      <c r="J29" s="62"/>
      <c r="K29" s="63"/>
      <c r="L29" s="64">
        <f t="shared" si="1"/>
        <v>0</v>
      </c>
      <c r="M29" s="64">
        <f t="shared" si="2"/>
        <v>2210.88</v>
      </c>
      <c r="N29" s="64">
        <f t="shared" si="2"/>
        <v>2053.8960000000002</v>
      </c>
      <c r="O29" s="64">
        <f t="shared" si="3"/>
        <v>1839.2400000000009</v>
      </c>
      <c r="P29" s="64">
        <f t="shared" si="3"/>
        <v>1940.7599999999991</v>
      </c>
      <c r="Q29" s="64">
        <f t="shared" si="4"/>
        <v>0</v>
      </c>
      <c r="R29" s="64">
        <f t="shared" si="5"/>
        <v>0</v>
      </c>
      <c r="S29" s="64">
        <f t="shared" si="6"/>
        <v>0</v>
      </c>
      <c r="T29" s="64">
        <f t="shared" si="7"/>
        <v>8044.7759999999998</v>
      </c>
    </row>
    <row r="30" spans="1:20">
      <c r="A30" s="65">
        <v>26</v>
      </c>
      <c r="B30" s="77">
        <v>46107</v>
      </c>
      <c r="C30" s="78"/>
      <c r="D30" s="66"/>
      <c r="E30" s="67">
        <v>1.6043000000000001</v>
      </c>
      <c r="F30" s="60">
        <f t="shared" si="8"/>
        <v>32.455700000000014</v>
      </c>
      <c r="G30" s="61">
        <f t="shared" si="0"/>
        <v>37.544299999999986</v>
      </c>
      <c r="H30" s="61"/>
      <c r="I30" s="62"/>
      <c r="J30" s="62"/>
      <c r="K30" s="63"/>
      <c r="L30" s="64">
        <f t="shared" si="1"/>
        <v>0</v>
      </c>
      <c r="M30" s="64">
        <f t="shared" si="2"/>
        <v>0</v>
      </c>
      <c r="N30" s="64">
        <f t="shared" si="2"/>
        <v>192.51600000000002</v>
      </c>
      <c r="O30" s="64">
        <f t="shared" si="3"/>
        <v>1752.6078000000007</v>
      </c>
      <c r="P30" s="64">
        <f t="shared" si="3"/>
        <v>2027.3921999999993</v>
      </c>
      <c r="Q30" s="64">
        <f t="shared" si="4"/>
        <v>0</v>
      </c>
      <c r="R30" s="64">
        <f t="shared" si="5"/>
        <v>0</v>
      </c>
      <c r="S30" s="64">
        <f t="shared" si="6"/>
        <v>0</v>
      </c>
      <c r="T30" s="64">
        <f t="shared" si="7"/>
        <v>3972.5160000000001</v>
      </c>
    </row>
    <row r="31" spans="1:20">
      <c r="A31" s="65">
        <v>27</v>
      </c>
      <c r="B31" s="77">
        <v>46108</v>
      </c>
      <c r="C31" s="78"/>
      <c r="D31" s="59"/>
      <c r="E31" s="59"/>
      <c r="F31" s="60">
        <f t="shared" si="8"/>
        <v>32.455700000000014</v>
      </c>
      <c r="G31" s="61">
        <f t="shared" si="0"/>
        <v>37.544299999999986</v>
      </c>
      <c r="H31" s="61"/>
      <c r="I31" s="62"/>
      <c r="J31" s="62"/>
      <c r="K31" s="63"/>
      <c r="L31" s="64">
        <f t="shared" si="1"/>
        <v>0</v>
      </c>
      <c r="M31" s="64">
        <f t="shared" si="2"/>
        <v>0</v>
      </c>
      <c r="N31" s="64">
        <f t="shared" si="2"/>
        <v>0</v>
      </c>
      <c r="O31" s="64">
        <f t="shared" si="3"/>
        <v>1752.6078000000007</v>
      </c>
      <c r="P31" s="64">
        <f t="shared" si="3"/>
        <v>2027.3921999999993</v>
      </c>
      <c r="Q31" s="64">
        <f t="shared" si="4"/>
        <v>0</v>
      </c>
      <c r="R31" s="64">
        <f t="shared" si="5"/>
        <v>0</v>
      </c>
      <c r="S31" s="64">
        <f t="shared" si="6"/>
        <v>0</v>
      </c>
      <c r="T31" s="64">
        <f t="shared" si="7"/>
        <v>3780</v>
      </c>
    </row>
    <row r="32" spans="1:20">
      <c r="A32" s="65">
        <v>28</v>
      </c>
      <c r="B32" s="77">
        <v>46109</v>
      </c>
      <c r="C32" s="78"/>
      <c r="D32" s="59"/>
      <c r="E32" s="59"/>
      <c r="F32" s="60">
        <f>F31-E32+D32</f>
        <v>32.455700000000014</v>
      </c>
      <c r="G32" s="61">
        <f t="shared" si="0"/>
        <v>37.544299999999986</v>
      </c>
      <c r="H32" s="61"/>
      <c r="I32" s="62"/>
      <c r="J32" s="62"/>
      <c r="K32" s="63"/>
      <c r="L32" s="64">
        <f t="shared" si="1"/>
        <v>0</v>
      </c>
      <c r="M32" s="64">
        <f t="shared" si="2"/>
        <v>0</v>
      </c>
      <c r="N32" s="64">
        <f t="shared" si="2"/>
        <v>0</v>
      </c>
      <c r="O32" s="64">
        <f t="shared" si="3"/>
        <v>1752.6078000000007</v>
      </c>
      <c r="P32" s="64">
        <f t="shared" si="3"/>
        <v>2027.3921999999993</v>
      </c>
      <c r="Q32" s="64">
        <f t="shared" si="4"/>
        <v>0</v>
      </c>
      <c r="R32" s="64">
        <f t="shared" si="5"/>
        <v>0</v>
      </c>
      <c r="S32" s="64">
        <f t="shared" si="6"/>
        <v>0</v>
      </c>
      <c r="T32" s="64">
        <f t="shared" si="7"/>
        <v>3780</v>
      </c>
    </row>
    <row r="33" spans="1:20">
      <c r="A33" s="65">
        <v>29</v>
      </c>
      <c r="B33" s="77">
        <v>46110</v>
      </c>
      <c r="C33" s="78"/>
      <c r="D33" s="59"/>
      <c r="E33" s="59"/>
      <c r="F33" s="60">
        <f t="shared" ref="F33" si="9">F32-E33+D33</f>
        <v>32.455700000000014</v>
      </c>
      <c r="G33" s="61">
        <f t="shared" si="0"/>
        <v>37.544299999999986</v>
      </c>
      <c r="H33" s="61"/>
      <c r="I33" s="62"/>
      <c r="J33" s="62"/>
      <c r="K33" s="63"/>
      <c r="L33" s="64">
        <f t="shared" si="1"/>
        <v>0</v>
      </c>
      <c r="M33" s="64">
        <f t="shared" si="2"/>
        <v>0</v>
      </c>
      <c r="N33" s="64">
        <f t="shared" si="2"/>
        <v>0</v>
      </c>
      <c r="O33" s="64">
        <f t="shared" si="3"/>
        <v>1752.6078000000007</v>
      </c>
      <c r="P33" s="64">
        <f t="shared" si="3"/>
        <v>2027.3921999999993</v>
      </c>
      <c r="Q33" s="64">
        <f t="shared" si="4"/>
        <v>0</v>
      </c>
      <c r="R33" s="64">
        <f t="shared" si="5"/>
        <v>0</v>
      </c>
      <c r="S33" s="64">
        <f t="shared" si="6"/>
        <v>0</v>
      </c>
      <c r="T33" s="64">
        <f t="shared" si="7"/>
        <v>3780</v>
      </c>
    </row>
    <row r="34" spans="1:20">
      <c r="A34" s="65">
        <v>30</v>
      </c>
      <c r="B34" s="77">
        <v>46111</v>
      </c>
      <c r="C34" s="78"/>
      <c r="D34" s="59"/>
      <c r="E34" s="59"/>
      <c r="F34" s="60">
        <f>F33-E34+D34</f>
        <v>32.455700000000014</v>
      </c>
      <c r="G34" s="61">
        <f>IF(OR(B34="",NOT(ISERROR(SEARCH("KPI",$A$2))),NOT(ISERROR(SEARCH("Полиом",$A$2)))),0,IF(70-F34&lt;=0,0,70-F34))</f>
        <v>37.544299999999986</v>
      </c>
      <c r="H34" s="61"/>
      <c r="I34" s="62"/>
      <c r="J34" s="62"/>
      <c r="K34" s="63"/>
      <c r="L34" s="64">
        <f t="shared" si="1"/>
        <v>0</v>
      </c>
      <c r="M34" s="64">
        <f t="shared" si="2"/>
        <v>0</v>
      </c>
      <c r="N34" s="64">
        <f t="shared" si="2"/>
        <v>0</v>
      </c>
      <c r="O34" s="64">
        <f>SUM(F34*54)</f>
        <v>1752.6078000000007</v>
      </c>
      <c r="P34" s="64">
        <f t="shared" si="3"/>
        <v>2027.3921999999993</v>
      </c>
      <c r="Q34" s="64">
        <f t="shared" si="4"/>
        <v>0</v>
      </c>
      <c r="R34" s="64">
        <f t="shared" si="5"/>
        <v>0</v>
      </c>
      <c r="S34" s="64">
        <f t="shared" si="6"/>
        <v>0</v>
      </c>
      <c r="T34" s="64">
        <f t="shared" si="7"/>
        <v>3780</v>
      </c>
    </row>
    <row r="35" spans="1:20">
      <c r="A35" s="65"/>
      <c r="B35" s="77">
        <v>46112</v>
      </c>
      <c r="C35" s="78"/>
      <c r="D35" s="66"/>
      <c r="E35" s="67">
        <v>7.9603000000000002</v>
      </c>
      <c r="F35" s="60">
        <f>F34-E35+D35</f>
        <v>24.495400000000014</v>
      </c>
      <c r="G35" s="61">
        <f>IF(OR(B35="",NOT(ISERROR(SEARCH("KPI",$A$2))),NOT(ISERROR(SEARCH("Полиом",$A$2)))),0,IF(70-F35&lt;=0,0,70-F35))</f>
        <v>45.504599999999982</v>
      </c>
      <c r="H35" s="61"/>
      <c r="I35" s="62"/>
      <c r="J35" s="62"/>
      <c r="K35" s="63"/>
      <c r="L35" s="64">
        <f t="shared" si="1"/>
        <v>0</v>
      </c>
      <c r="M35" s="64">
        <f t="shared" si="2"/>
        <v>0</v>
      </c>
      <c r="N35" s="64">
        <f t="shared" si="2"/>
        <v>955.23599999999999</v>
      </c>
      <c r="O35" s="64">
        <f>SUM(F35*54)</f>
        <v>1322.7516000000007</v>
      </c>
      <c r="P35" s="64">
        <f t="shared" si="3"/>
        <v>2457.248399999999</v>
      </c>
      <c r="Q35" s="64">
        <f t="shared" si="4"/>
        <v>0</v>
      </c>
      <c r="R35" s="64">
        <f t="shared" si="5"/>
        <v>0</v>
      </c>
      <c r="S35" s="64">
        <f t="shared" si="6"/>
        <v>0</v>
      </c>
      <c r="T35" s="64">
        <f t="shared" si="7"/>
        <v>4735.2359999999999</v>
      </c>
    </row>
    <row r="36" spans="1:20">
      <c r="D36" s="59"/>
      <c r="E36" s="59"/>
      <c r="F36" s="70">
        <f>SUM(F5:F35)</f>
        <v>1604.8752000000004</v>
      </c>
      <c r="G36" s="70">
        <f t="shared" ref="G36:T36" si="10">SUM(G5:G35)</f>
        <v>716.44420000000002</v>
      </c>
      <c r="H36" s="70">
        <f t="shared" si="10"/>
        <v>0</v>
      </c>
      <c r="I36" s="70">
        <f t="shared" si="10"/>
        <v>0</v>
      </c>
      <c r="J36" s="70">
        <f t="shared" si="10"/>
        <v>0</v>
      </c>
      <c r="K36" s="71">
        <f t="shared" si="10"/>
        <v>0</v>
      </c>
      <c r="L36" s="72">
        <f t="shared" si="10"/>
        <v>0</v>
      </c>
      <c r="M36" s="72">
        <f t="shared" si="10"/>
        <v>6538.9560000000001</v>
      </c>
      <c r="N36" s="72">
        <f t="shared" si="10"/>
        <v>10843.548000000001</v>
      </c>
      <c r="O36" s="72">
        <f t="shared" si="10"/>
        <v>86663.260800000033</v>
      </c>
      <c r="P36" s="72">
        <f t="shared" si="10"/>
        <v>38687.986799999984</v>
      </c>
      <c r="Q36" s="72">
        <f t="shared" si="10"/>
        <v>0</v>
      </c>
      <c r="R36" s="72">
        <f t="shared" si="10"/>
        <v>0</v>
      </c>
      <c r="S36" s="72">
        <f t="shared" si="10"/>
        <v>0</v>
      </c>
      <c r="T36" s="72">
        <f t="shared" si="10"/>
        <v>142733.75159999999</v>
      </c>
    </row>
    <row r="37" spans="1:20">
      <c r="R37" s="73"/>
      <c r="S37" s="73"/>
      <c r="T37" s="74">
        <f>T36*1.22</f>
        <v>174135.17695199998</v>
      </c>
    </row>
    <row r="40" spans="1:20">
      <c r="F40" s="75"/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5812-1507-4B74-8A3F-53DD666F716D}">
  <sheetPr codeName="Лист3"/>
  <dimension ref="A1:M125"/>
  <sheetViews>
    <sheetView tabSelected="1" topLeftCell="A26" zoomScaleNormal="100" workbookViewId="0">
      <selection activeCell="G46" sqref="G46"/>
    </sheetView>
  </sheetViews>
  <sheetFormatPr defaultColWidth="14.42578125" defaultRowHeight="15" customHeight="1"/>
  <cols>
    <col min="1" max="1" width="28.5703125" style="4" customWidth="1"/>
    <col min="2" max="2" width="17.7109375" style="4" customWidth="1"/>
    <col min="3" max="3" width="17.140625" style="4" customWidth="1"/>
    <col min="4" max="4" width="18.42578125" style="4" customWidth="1"/>
    <col min="5" max="5" width="20.85546875" style="4" customWidth="1"/>
    <col min="6" max="6" width="21.85546875" style="4" customWidth="1"/>
    <col min="7" max="9" width="22.28515625" style="4" customWidth="1"/>
    <col min="10" max="10" width="19.28515625" style="4" customWidth="1"/>
    <col min="11" max="11" width="22.5703125" style="4" customWidth="1"/>
    <col min="12" max="12" width="30.28515625" style="4" customWidth="1"/>
    <col min="13" max="13" width="31.28515625" style="4" customWidth="1"/>
    <col min="14" max="16384" width="14.42578125" style="4"/>
  </cols>
  <sheetData>
    <row r="1" spans="1:10" ht="161.25" customHeight="1" thickBot="1">
      <c r="A1" s="222">
        <f ca="1">G16</f>
        <v>143444478.15345198</v>
      </c>
      <c r="B1" s="116"/>
      <c r="C1" s="116"/>
      <c r="D1" s="116"/>
      <c r="E1" s="116"/>
      <c r="F1" s="116"/>
      <c r="G1" s="116"/>
    </row>
    <row r="2" spans="1:10" ht="12.75" customHeight="1" thickBot="1">
      <c r="A2" s="117"/>
      <c r="B2" s="118"/>
      <c r="C2" s="118"/>
      <c r="D2" s="118"/>
      <c r="E2" s="118"/>
      <c r="F2" s="118"/>
      <c r="I2" s="79" t="s">
        <v>19</v>
      </c>
      <c r="J2" s="80"/>
    </row>
    <row r="3" spans="1:10" ht="14.25" customHeight="1" thickBot="1">
      <c r="A3" s="81" t="s">
        <v>20</v>
      </c>
      <c r="B3" s="82" t="s">
        <v>21</v>
      </c>
      <c r="C3" s="82" t="s">
        <v>22</v>
      </c>
      <c r="D3" s="82" t="s">
        <v>23</v>
      </c>
      <c r="E3" s="82" t="s">
        <v>24</v>
      </c>
      <c r="F3" s="82" t="s">
        <v>25</v>
      </c>
      <c r="G3" s="83" t="s">
        <v>26</v>
      </c>
      <c r="I3" s="84" t="s">
        <v>27</v>
      </c>
      <c r="J3" s="85">
        <v>23143268.370000001</v>
      </c>
    </row>
    <row r="4" spans="1:10" ht="14.25" customHeight="1">
      <c r="A4" s="86" t="s">
        <v>28</v>
      </c>
      <c r="B4" s="87">
        <f t="shared" ref="B4:B12" ca="1" si="0">INDEX($M$45:$M$54,MATCH(A4,$A$45:$A$54,0),1)</f>
        <v>7162539.1200000001</v>
      </c>
      <c r="C4" s="87">
        <v>0</v>
      </c>
      <c r="D4" s="87">
        <f t="shared" ref="D4:D15" ca="1" si="1">INDEX($B$57:$B$73,MATCH(A4,$A$57:$A$73,0),1)</f>
        <v>256416.39749999999</v>
      </c>
      <c r="E4" s="87">
        <f t="shared" ref="E4:E15" ca="1" si="2">SUMIF($F$19:$F$42,A4,$G$19:$G$42)</f>
        <v>0</v>
      </c>
      <c r="F4" s="87">
        <f t="shared" ref="F4:F15" ca="1" si="3">SUMIF($B$19:$B$27,A4,$C$19:$C$27)</f>
        <v>86846</v>
      </c>
      <c r="G4" s="88">
        <f t="shared" ref="G4:G13" ca="1" si="4">SUM(B4:F4)</f>
        <v>7505801.5175000001</v>
      </c>
      <c r="I4" s="89" t="s">
        <v>29</v>
      </c>
      <c r="J4" s="90">
        <v>19482962</v>
      </c>
    </row>
    <row r="5" spans="1:10" ht="14.25" customHeight="1">
      <c r="A5" s="1" t="s">
        <v>30</v>
      </c>
      <c r="B5" s="87">
        <f t="shared" ca="1" si="0"/>
        <v>10572038.1</v>
      </c>
      <c r="C5" s="87">
        <v>0</v>
      </c>
      <c r="D5" s="87">
        <f t="shared" ca="1" si="1"/>
        <v>209215.29900000006</v>
      </c>
      <c r="E5" s="87">
        <f t="shared" ca="1" si="2"/>
        <v>0</v>
      </c>
      <c r="F5" s="87">
        <f t="shared" ca="1" si="3"/>
        <v>0</v>
      </c>
      <c r="G5" s="88">
        <f t="shared" ca="1" si="4"/>
        <v>10781253.399</v>
      </c>
      <c r="I5" s="89" t="s">
        <v>30</v>
      </c>
      <c r="J5" s="90">
        <v>14483152.129999999</v>
      </c>
    </row>
    <row r="6" spans="1:10" ht="14.25" customHeight="1">
      <c r="A6" s="1" t="s">
        <v>31</v>
      </c>
      <c r="B6" s="87">
        <f t="shared" ca="1" si="0"/>
        <v>11739684.449999999</v>
      </c>
      <c r="C6" s="87">
        <v>0</v>
      </c>
      <c r="D6" s="87">
        <f t="shared" ca="1" si="1"/>
        <v>0</v>
      </c>
      <c r="E6" s="87">
        <f t="shared" ca="1" si="2"/>
        <v>0</v>
      </c>
      <c r="F6" s="87">
        <f t="shared" si="3"/>
        <v>0</v>
      </c>
      <c r="G6" s="88">
        <f t="shared" ca="1" si="4"/>
        <v>11739684.449999999</v>
      </c>
      <c r="I6" s="89" t="s">
        <v>31</v>
      </c>
      <c r="J6" s="90">
        <v>11908608.83</v>
      </c>
    </row>
    <row r="7" spans="1:10" ht="14.25" customHeight="1">
      <c r="A7" s="1" t="s">
        <v>32</v>
      </c>
      <c r="B7" s="87">
        <f t="shared" ca="1" si="0"/>
        <v>6609793.6300000008</v>
      </c>
      <c r="C7" s="87">
        <v>0</v>
      </c>
      <c r="D7" s="87">
        <f t="shared" ca="1" si="1"/>
        <v>0</v>
      </c>
      <c r="E7" s="87">
        <f t="shared" ca="1" si="2"/>
        <v>174135.17695199998</v>
      </c>
      <c r="F7" s="87">
        <f t="shared" si="3"/>
        <v>0</v>
      </c>
      <c r="G7" s="88">
        <f t="shared" ca="1" si="4"/>
        <v>6783928.8069520006</v>
      </c>
      <c r="I7" s="89" t="s">
        <v>28</v>
      </c>
      <c r="J7" s="90">
        <v>11544503.229999999</v>
      </c>
    </row>
    <row r="8" spans="1:10" ht="14.25" customHeight="1">
      <c r="A8" s="1" t="s">
        <v>33</v>
      </c>
      <c r="B8" s="87">
        <f t="shared" ca="1" si="0"/>
        <v>5803487.8200000003</v>
      </c>
      <c r="C8" s="87">
        <v>0</v>
      </c>
      <c r="D8" s="87">
        <f t="shared" ca="1" si="1"/>
        <v>0</v>
      </c>
      <c r="E8" s="87">
        <f t="shared" si="2"/>
        <v>0</v>
      </c>
      <c r="F8" s="87">
        <f t="shared" si="3"/>
        <v>0</v>
      </c>
      <c r="G8" s="88">
        <f t="shared" ca="1" si="4"/>
        <v>5803487.8200000003</v>
      </c>
      <c r="I8" s="89"/>
      <c r="J8" s="90"/>
    </row>
    <row r="9" spans="1:10" ht="14.25" customHeight="1">
      <c r="A9" s="1" t="s">
        <v>27</v>
      </c>
      <c r="B9" s="87">
        <f t="shared" ca="1" si="0"/>
        <v>18498167.039999999</v>
      </c>
      <c r="C9" s="87">
        <v>0</v>
      </c>
      <c r="D9" s="87">
        <f t="shared" ca="1" si="1"/>
        <v>0</v>
      </c>
      <c r="E9" s="87">
        <f t="shared" ca="1" si="2"/>
        <v>0</v>
      </c>
      <c r="F9" s="87">
        <f t="shared" si="3"/>
        <v>0</v>
      </c>
      <c r="G9" s="88">
        <f t="shared" ca="1" si="4"/>
        <v>18498167.039999999</v>
      </c>
      <c r="I9" s="89" t="s">
        <v>34</v>
      </c>
      <c r="J9" s="90">
        <v>9900926.8800000008</v>
      </c>
    </row>
    <row r="10" spans="1:10" ht="14.25" customHeight="1">
      <c r="A10" s="1" t="s">
        <v>34</v>
      </c>
      <c r="B10" s="87">
        <f t="shared" ca="1" si="0"/>
        <v>9660016.3699999992</v>
      </c>
      <c r="C10" s="87">
        <v>0</v>
      </c>
      <c r="D10" s="87">
        <f t="shared" ca="1" si="1"/>
        <v>0</v>
      </c>
      <c r="E10" s="87">
        <f t="shared" ca="1" si="2"/>
        <v>0</v>
      </c>
      <c r="F10" s="87">
        <f t="shared" si="3"/>
        <v>0</v>
      </c>
      <c r="G10" s="88">
        <f t="shared" ca="1" si="4"/>
        <v>9660016.3699999992</v>
      </c>
      <c r="I10" s="89" t="s">
        <v>35</v>
      </c>
      <c r="J10" s="90">
        <v>9082789.1400000006</v>
      </c>
    </row>
    <row r="11" spans="1:10" ht="14.25" customHeight="1">
      <c r="A11" s="1" t="s">
        <v>35</v>
      </c>
      <c r="B11" s="87">
        <f t="shared" ca="1" si="0"/>
        <v>9122230.7000000011</v>
      </c>
      <c r="C11" s="87">
        <v>0</v>
      </c>
      <c r="D11" s="87">
        <f t="shared" ca="1" si="1"/>
        <v>0</v>
      </c>
      <c r="E11" s="87">
        <f t="shared" ca="1" si="2"/>
        <v>0</v>
      </c>
      <c r="F11" s="87">
        <f t="shared" si="3"/>
        <v>0</v>
      </c>
      <c r="G11" s="88">
        <f t="shared" ca="1" si="4"/>
        <v>9122230.7000000011</v>
      </c>
      <c r="I11" s="89" t="s">
        <v>32</v>
      </c>
      <c r="J11" s="90">
        <v>7932975.6470719995</v>
      </c>
    </row>
    <row r="12" spans="1:10" ht="14.25" customHeight="1">
      <c r="A12" s="1" t="s">
        <v>36</v>
      </c>
      <c r="B12" s="87">
        <f t="shared" ca="1" si="0"/>
        <v>3200195.89</v>
      </c>
      <c r="C12" s="87">
        <v>0</v>
      </c>
      <c r="D12" s="87">
        <f t="shared" ca="1" si="1"/>
        <v>0</v>
      </c>
      <c r="E12" s="87">
        <f t="shared" ca="1" si="2"/>
        <v>1747.2839999999997</v>
      </c>
      <c r="F12" s="87">
        <f t="shared" si="3"/>
        <v>0</v>
      </c>
      <c r="G12" s="88">
        <f t="shared" ca="1" si="4"/>
        <v>3201943.1740000001</v>
      </c>
      <c r="I12" s="89" t="s">
        <v>36</v>
      </c>
      <c r="J12" s="90">
        <v>7580244.574</v>
      </c>
    </row>
    <row r="13" spans="1:10" ht="14.25" customHeight="1">
      <c r="A13" s="2" t="s">
        <v>29</v>
      </c>
      <c r="B13" s="87">
        <v>0</v>
      </c>
      <c r="C13" s="87">
        <f ca="1">C29+C37</f>
        <v>54670761</v>
      </c>
      <c r="D13" s="87">
        <f t="shared" ca="1" si="1"/>
        <v>0</v>
      </c>
      <c r="E13" s="87">
        <f t="shared" si="2"/>
        <v>0</v>
      </c>
      <c r="F13" s="87">
        <f t="shared" si="3"/>
        <v>0</v>
      </c>
      <c r="G13" s="88">
        <f t="shared" ca="1" si="4"/>
        <v>54670761</v>
      </c>
      <c r="I13" s="89" t="s">
        <v>37</v>
      </c>
      <c r="J13" s="90">
        <v>6720000</v>
      </c>
    </row>
    <row r="14" spans="1:10" ht="14.25" customHeight="1" thickBot="1">
      <c r="A14" s="2" t="s">
        <v>38</v>
      </c>
      <c r="B14" s="87">
        <v>0</v>
      </c>
      <c r="C14" s="87">
        <v>0</v>
      </c>
      <c r="D14" s="87">
        <f t="shared" ca="1" si="1"/>
        <v>0</v>
      </c>
      <c r="E14" s="87">
        <f t="shared" si="2"/>
        <v>0</v>
      </c>
      <c r="F14" s="87">
        <f t="shared" si="3"/>
        <v>0</v>
      </c>
      <c r="G14" s="88">
        <f ca="1">SUM(B14:F14)</f>
        <v>0</v>
      </c>
      <c r="I14" s="91" t="s">
        <v>38</v>
      </c>
      <c r="J14" s="92">
        <v>2464921.6199999992</v>
      </c>
    </row>
    <row r="15" spans="1:10" ht="14.25" customHeight="1" thickBot="1">
      <c r="A15" s="20" t="s">
        <v>39</v>
      </c>
      <c r="B15" s="87">
        <f ca="1">INDEX($M$45:$M$54,MATCH(A15,$A$45:$A$54,0),1)</f>
        <v>0</v>
      </c>
      <c r="C15" s="87">
        <v>0</v>
      </c>
      <c r="D15" s="87">
        <f t="shared" ca="1" si="1"/>
        <v>5677203.8759999983</v>
      </c>
      <c r="E15" s="87">
        <f t="shared" si="2"/>
        <v>0</v>
      </c>
      <c r="F15" s="87">
        <f t="shared" si="3"/>
        <v>0</v>
      </c>
      <c r="G15" s="88">
        <f ca="1">SUM(B15:F15)</f>
        <v>5677203.8759999983</v>
      </c>
    </row>
    <row r="16" spans="1:10" ht="14.25" customHeight="1" thickBot="1">
      <c r="A16" s="3"/>
      <c r="B16" s="93">
        <f t="shared" ref="B16:G16" ca="1" si="5">SUM(B4:B15)</f>
        <v>82368153.120000005</v>
      </c>
      <c r="C16" s="93">
        <f t="shared" ca="1" si="5"/>
        <v>54670761</v>
      </c>
      <c r="D16" s="93">
        <f t="shared" ca="1" si="5"/>
        <v>6142835.5724999979</v>
      </c>
      <c r="E16" s="93">
        <f t="shared" ca="1" si="5"/>
        <v>175882.46095199999</v>
      </c>
      <c r="F16" s="93">
        <f t="shared" ca="1" si="5"/>
        <v>86846</v>
      </c>
      <c r="G16" s="119">
        <f t="shared" ca="1" si="5"/>
        <v>143444478.15345198</v>
      </c>
    </row>
    <row r="17" spans="1:9" ht="14.25" customHeight="1" thickBot="1">
      <c r="B17" s="94"/>
      <c r="C17" s="94"/>
      <c r="D17" s="94"/>
      <c r="E17" s="94"/>
      <c r="F17" s="120"/>
    </row>
    <row r="18" spans="1:9" ht="14.25" customHeight="1" thickBot="1">
      <c r="A18" s="95" t="s">
        <v>40</v>
      </c>
      <c r="B18" s="96"/>
      <c r="C18" s="97">
        <f ca="1">SUM(C19:C27)</f>
        <v>86846</v>
      </c>
      <c r="E18" s="98" t="s">
        <v>24</v>
      </c>
      <c r="F18" s="99"/>
      <c r="G18" s="100">
        <f ca="1">SUM(G19:G41)</f>
        <v>175882.46095199999</v>
      </c>
      <c r="H18" s="101"/>
      <c r="I18" s="102"/>
    </row>
    <row r="19" spans="1:9" ht="14.25" customHeight="1">
      <c r="A19" s="5" t="s">
        <v>41</v>
      </c>
      <c r="B19" s="6" t="s">
        <v>28</v>
      </c>
      <c r="C19" s="7" cm="1">
        <f t="array" aca="1" ref="C19" ca="1">IFERROR(INDIRECT("'" &amp; A19 &amp; "'!A1"),)</f>
        <v>24355</v>
      </c>
      <c r="E19" s="5" t="s">
        <v>42</v>
      </c>
      <c r="F19" s="6" t="s">
        <v>28</v>
      </c>
      <c r="G19" s="8" cm="1">
        <f t="array" aca="1" ref="G19" ca="1">IFERROR(INDIRECT("'" &amp; E19 &amp; " "  &amp; F19 &amp; "'!A1"),0)</f>
        <v>0</v>
      </c>
      <c r="H19" s="9"/>
      <c r="I19" s="9"/>
    </row>
    <row r="20" spans="1:9" ht="14.25" customHeight="1">
      <c r="A20" s="10" t="s">
        <v>43</v>
      </c>
      <c r="B20" s="11" t="s">
        <v>28</v>
      </c>
      <c r="C20" s="7" cm="1">
        <f t="array" aca="1" ref="C20" ca="1">IFERROR(INDIRECT("'" &amp; A20 &amp; "'!A1"),)</f>
        <v>8928</v>
      </c>
      <c r="E20" s="10" t="s">
        <v>44</v>
      </c>
      <c r="F20" s="11" t="s">
        <v>28</v>
      </c>
      <c r="G20" s="8" cm="1">
        <f t="array" aca="1" ref="G20" ca="1">IFERROR(INDIRECT("'" &amp; E20 &amp; " "  &amp; F20 &amp; "'!A1"),0)</f>
        <v>0</v>
      </c>
      <c r="H20" s="9"/>
      <c r="I20" s="9"/>
    </row>
    <row r="21" spans="1:9" ht="14.25" customHeight="1">
      <c r="A21" s="10" t="s">
        <v>45</v>
      </c>
      <c r="B21" s="11" t="s">
        <v>28</v>
      </c>
      <c r="C21" s="7" cm="1">
        <f t="array" aca="1" ref="C21" ca="1">IFERROR(INDIRECT("'" &amp; A21 &amp; "'!A1"),)</f>
        <v>20803</v>
      </c>
      <c r="E21" s="5" t="s">
        <v>46</v>
      </c>
      <c r="F21" s="6" t="s">
        <v>28</v>
      </c>
      <c r="G21" s="8" cm="1">
        <f t="array" aca="1" ref="G21" ca="1">IFERROR(INDIRECT("'" &amp; E21 &amp; " "  &amp; F21 &amp; "'!A1"),0)</f>
        <v>0</v>
      </c>
      <c r="H21" s="9"/>
      <c r="I21" s="9"/>
    </row>
    <row r="22" spans="1:9" ht="14.25" customHeight="1">
      <c r="A22" s="10" t="s">
        <v>47</v>
      </c>
      <c r="B22" s="11" t="s">
        <v>28</v>
      </c>
      <c r="C22" s="7" cm="1">
        <f t="array" aca="1" ref="C22" ca="1">IFERROR(INDIRECT("'" &amp; A22 &amp; "'!A1"),)</f>
        <v>24151.199999999993</v>
      </c>
      <c r="E22" s="5" t="s">
        <v>48</v>
      </c>
      <c r="F22" s="6" t="s">
        <v>31</v>
      </c>
      <c r="G22" s="8" cm="1">
        <f t="array" aca="1" ref="G22" ca="1">IFERROR(INDIRECT("'" &amp; E22 &amp; " "  &amp; F22 &amp; "'!A1"),0)</f>
        <v>0</v>
      </c>
      <c r="H22" s="9"/>
      <c r="I22" s="9"/>
    </row>
    <row r="23" spans="1:9" ht="14.25" customHeight="1">
      <c r="A23" s="10" t="s">
        <v>49</v>
      </c>
      <c r="B23" s="11" t="s">
        <v>28</v>
      </c>
      <c r="C23" s="7" cm="1">
        <f t="array" aca="1" ref="C23" ca="1">IFERROR(INDIRECT("'" &amp; A23 &amp; "'!A1"),)</f>
        <v>8608.8000000000011</v>
      </c>
      <c r="E23" s="10" t="s">
        <v>42</v>
      </c>
      <c r="F23" s="11" t="s">
        <v>31</v>
      </c>
      <c r="G23" s="8" cm="1">
        <f t="array" aca="1" ref="G23" ca="1">IFERROR(INDIRECT("'" &amp; E23 &amp; " "  &amp; F23 &amp; "'!A1"),0)</f>
        <v>0</v>
      </c>
      <c r="H23" s="9"/>
      <c r="I23" s="9"/>
    </row>
    <row r="24" spans="1:9" ht="14.25" customHeight="1">
      <c r="A24" s="10" t="s">
        <v>50</v>
      </c>
      <c r="B24" s="11" t="s">
        <v>37</v>
      </c>
      <c r="C24" s="7" cm="1">
        <f t="array" aca="1" ref="C24" ca="1">IFERROR(INDIRECT("'" &amp; A24 &amp; "'!A1"),)</f>
        <v>0</v>
      </c>
      <c r="E24" s="10" t="s">
        <v>44</v>
      </c>
      <c r="F24" s="11" t="s">
        <v>31</v>
      </c>
      <c r="G24" s="8" cm="1">
        <f t="array" aca="1" ref="G24" ca="1">IFERROR(INDIRECT("'" &amp; E24 &amp; " "  &amp; F24 &amp; "'!A1"),0)</f>
        <v>0</v>
      </c>
      <c r="H24" s="9"/>
      <c r="I24" s="9"/>
    </row>
    <row r="25" spans="1:9" ht="14.25" customHeight="1">
      <c r="A25" s="10" t="s">
        <v>51</v>
      </c>
      <c r="B25" s="11" t="s">
        <v>30</v>
      </c>
      <c r="C25" s="7" cm="1">
        <f t="array" aca="1" ref="C25" ca="1">IFERROR(INDIRECT("'" &amp; A25 &amp; "'!A1"),)</f>
        <v>0</v>
      </c>
      <c r="E25" s="10" t="s">
        <v>42</v>
      </c>
      <c r="F25" s="11" t="s">
        <v>35</v>
      </c>
      <c r="G25" s="8" cm="1">
        <f t="array" aca="1" ref="G25" ca="1">IFERROR(INDIRECT("'" &amp; E25 &amp; " "  &amp; F25 &amp; "'!A1"),0)</f>
        <v>0</v>
      </c>
      <c r="H25" s="9"/>
      <c r="I25" s="9"/>
    </row>
    <row r="26" spans="1:9" ht="14.25" customHeight="1">
      <c r="A26" s="10" t="s">
        <v>52</v>
      </c>
      <c r="B26" s="11" t="s">
        <v>30</v>
      </c>
      <c r="C26" s="7" cm="1">
        <f t="array" aca="1" ref="C26" ca="1">IFERROR(INDIRECT("'" &amp; A26 &amp; "'!A1"),)</f>
        <v>0</v>
      </c>
      <c r="E26" s="10" t="s">
        <v>53</v>
      </c>
      <c r="F26" s="11" t="s">
        <v>35</v>
      </c>
      <c r="G26" s="8" cm="1">
        <f t="array" aca="1" ref="G26" ca="1">IFERROR(INDIRECT("'" &amp; E26 &amp; " "  &amp; F26 &amp; "'!t37"),0)</f>
        <v>0</v>
      </c>
      <c r="H26" s="9"/>
      <c r="I26" s="9"/>
    </row>
    <row r="27" spans="1:9" ht="14.25" customHeight="1">
      <c r="A27" s="10" t="s">
        <v>54</v>
      </c>
      <c r="B27" s="11" t="s">
        <v>30</v>
      </c>
      <c r="C27" s="7" cm="1">
        <f t="array" aca="1" ref="C27" ca="1">IFERROR(INDIRECT("'" &amp; A27 &amp; "'!A1"),)</f>
        <v>0</v>
      </c>
      <c r="E27" s="10" t="s">
        <v>55</v>
      </c>
      <c r="F27" s="11" t="s">
        <v>36</v>
      </c>
      <c r="G27" s="8" cm="1">
        <f t="array" aca="1" ref="G27" ca="1">IFERROR(INDIRECT("'" &amp; E27 &amp; " "  &amp; F27 &amp; "'!A1"),0)</f>
        <v>0</v>
      </c>
      <c r="H27" s="9"/>
      <c r="I27" s="9"/>
    </row>
    <row r="28" spans="1:9" ht="14.25" customHeight="1" thickBot="1">
      <c r="B28" s="12"/>
      <c r="C28" s="9"/>
      <c r="E28" s="10" t="s">
        <v>44</v>
      </c>
      <c r="F28" s="11" t="s">
        <v>30</v>
      </c>
      <c r="G28" s="8" cm="1">
        <f t="array" aca="1" ref="G28" ca="1">IFERROR(INDIRECT("'" &amp; E28 &amp; " "  &amp; F28 &amp; "'!A1"),0)</f>
        <v>0</v>
      </c>
      <c r="H28" s="9"/>
      <c r="I28" s="9"/>
    </row>
    <row r="29" spans="1:9" ht="14.25" customHeight="1" thickBot="1">
      <c r="A29" s="95" t="s">
        <v>29</v>
      </c>
      <c r="B29" s="96"/>
      <c r="C29" s="97">
        <f ca="1">SUM(C30:C35)</f>
        <v>44695725</v>
      </c>
      <c r="E29" s="10" t="s">
        <v>48</v>
      </c>
      <c r="F29" s="11" t="s">
        <v>30</v>
      </c>
      <c r="G29" s="8" cm="1">
        <f t="array" aca="1" ref="G29" ca="1">IFERROR(INDIRECT("'" &amp; E29 &amp; " "  &amp; F29 &amp; "'!A1"),0)</f>
        <v>0</v>
      </c>
      <c r="H29" s="9"/>
      <c r="I29" s="9"/>
    </row>
    <row r="30" spans="1:9" ht="14.25" customHeight="1">
      <c r="A30" s="13" t="s">
        <v>56</v>
      </c>
      <c r="B30" s="14"/>
      <c r="C30" s="7" cm="1">
        <f t="array" aca="1" ref="C30" ca="1">INDIRECT("'" &amp; A29 &amp; "'!F17")</f>
        <v>16167490</v>
      </c>
      <c r="E30" s="10" t="s">
        <v>46</v>
      </c>
      <c r="F30" s="11" t="s">
        <v>30</v>
      </c>
      <c r="G30" s="8" cm="1">
        <f t="array" aca="1" ref="G30" ca="1">IFERROR(INDIRECT("'" &amp; E30 &amp; " "  &amp; F30 &amp; "'!A1"),0)</f>
        <v>0</v>
      </c>
      <c r="H30" s="9"/>
      <c r="I30" s="9"/>
    </row>
    <row r="31" spans="1:9" ht="14.25" customHeight="1">
      <c r="A31" s="15" t="s">
        <v>57</v>
      </c>
      <c r="B31" s="16"/>
      <c r="C31" s="8" cm="1">
        <f t="array" aca="1" ref="C31" ca="1">INDIRECT("'" &amp; A29 &amp; "'!F16")</f>
        <v>0</v>
      </c>
      <c r="E31" s="10" t="s">
        <v>42</v>
      </c>
      <c r="F31" s="11" t="s">
        <v>30</v>
      </c>
      <c r="G31" s="8" cm="1">
        <f t="array" aca="1" ref="G31" ca="1">IFERROR(INDIRECT("'" &amp; E31 &amp; " "  &amp; F31 &amp; "'!A1"),0)</f>
        <v>0</v>
      </c>
      <c r="H31" s="9"/>
      <c r="I31" s="9"/>
    </row>
    <row r="32" spans="1:9" ht="14.25" customHeight="1">
      <c r="A32" s="15" t="s">
        <v>58</v>
      </c>
      <c r="B32" s="16"/>
      <c r="C32" s="8" cm="1">
        <f t="array" aca="1" ref="C32" ca="1">INDIRECT("'" &amp; A29 &amp; "'!F18")</f>
        <v>817400</v>
      </c>
      <c r="E32" s="5" t="s">
        <v>59</v>
      </c>
      <c r="F32" s="6" t="s">
        <v>32</v>
      </c>
      <c r="G32" s="8" cm="1">
        <f t="array" aca="1" ref="G32" ca="1">IFERROR(INDIRECT("'" &amp; E32 &amp; " "  &amp; F32 &amp; "'!A1"),0)</f>
        <v>174135.17695199998</v>
      </c>
      <c r="H32" s="9"/>
      <c r="I32" s="9"/>
    </row>
    <row r="33" spans="1:13" ht="14.25" customHeight="1">
      <c r="A33" s="15" t="s">
        <v>60</v>
      </c>
      <c r="B33" s="16"/>
      <c r="C33" s="8" cm="1">
        <f t="array" aca="1" ref="C33" ca="1">INDIRECT("'" &amp; A29 &amp; "'!F19")</f>
        <v>2020076</v>
      </c>
      <c r="E33" s="5" t="s">
        <v>48</v>
      </c>
      <c r="F33" s="6" t="s">
        <v>32</v>
      </c>
      <c r="G33" s="8" cm="1">
        <f t="array" aca="1" ref="G33" ca="1">IFERROR(INDIRECT("'" &amp; E33 &amp; " "  &amp; F33 &amp; "'!A1"),0)</f>
        <v>0</v>
      </c>
      <c r="H33" s="9"/>
      <c r="I33" s="9"/>
    </row>
    <row r="34" spans="1:13" ht="14.25" customHeight="1">
      <c r="A34" s="15" t="s">
        <v>61</v>
      </c>
      <c r="B34" s="16"/>
      <c r="C34" s="8" cm="1">
        <f t="array" aca="1" ref="C34" ca="1">INDIRECT("'" &amp; A29 &amp; "'!F20")</f>
        <v>18710159</v>
      </c>
      <c r="E34" s="10" t="s">
        <v>44</v>
      </c>
      <c r="F34" s="11" t="s">
        <v>32</v>
      </c>
      <c r="G34" s="8" cm="1">
        <f t="array" aca="1" ref="G34" ca="1">IFERROR(INDIRECT("'" &amp; E34 &amp; " "  &amp; F34 &amp; "'!A1"),0)</f>
        <v>0</v>
      </c>
      <c r="H34" s="9"/>
      <c r="I34" s="9"/>
    </row>
    <row r="35" spans="1:13" ht="14.25" customHeight="1">
      <c r="A35" s="15" t="s">
        <v>62</v>
      </c>
      <c r="B35" s="16"/>
      <c r="C35" s="8" cm="1">
        <f t="array" aca="1" ref="C35" ca="1">INDIRECT("'" &amp; A29 &amp; "'!F21")</f>
        <v>6980600</v>
      </c>
      <c r="E35" s="10"/>
      <c r="F35" s="11"/>
      <c r="G35" s="8"/>
      <c r="H35" s="9"/>
      <c r="I35" s="9"/>
    </row>
    <row r="36" spans="1:13" ht="14.25" customHeight="1" thickBot="1">
      <c r="A36" s="17"/>
      <c r="B36" s="17"/>
      <c r="C36" s="18"/>
      <c r="E36" s="10" t="s">
        <v>46</v>
      </c>
      <c r="F36" s="11" t="s">
        <v>35</v>
      </c>
      <c r="G36" s="8" cm="1">
        <f t="array" aca="1" ref="G36" ca="1">IFERROR(INDIRECT("'" &amp; E36 &amp; " "  &amp; F36 &amp; "'!A1"),0)</f>
        <v>0</v>
      </c>
      <c r="H36" s="9"/>
      <c r="I36" s="9"/>
    </row>
    <row r="37" spans="1:13" ht="14.25" customHeight="1" thickBot="1">
      <c r="A37" s="95" t="s">
        <v>63</v>
      </c>
      <c r="B37" s="96"/>
      <c r="C37" s="97">
        <f>SUM(C38:C42)</f>
        <v>9975036</v>
      </c>
      <c r="E37" s="10" t="s">
        <v>44</v>
      </c>
      <c r="F37" s="11" t="s">
        <v>27</v>
      </c>
      <c r="G37" s="8" cm="1">
        <f t="array" aca="1" ref="G37" ca="1">IFERROR(INDIRECT("'" &amp; E37 &amp; " "  &amp; F37 &amp; "'!A1"),0)</f>
        <v>0</v>
      </c>
      <c r="H37" s="9"/>
      <c r="I37" s="9"/>
    </row>
    <row r="38" spans="1:13" ht="14.25" customHeight="1">
      <c r="A38" s="13" t="s">
        <v>64</v>
      </c>
      <c r="B38" s="14"/>
      <c r="C38" s="7">
        <f>2910816</f>
        <v>2910816</v>
      </c>
      <c r="E38" s="10" t="s">
        <v>42</v>
      </c>
      <c r="F38" s="11" t="s">
        <v>34</v>
      </c>
      <c r="G38" s="8" cm="1">
        <f t="array" aca="1" ref="G38" ca="1">IFERROR(INDIRECT("'" &amp; E38 &amp; " "  &amp; F38 &amp; "'!A1"),0)</f>
        <v>0</v>
      </c>
      <c r="H38" s="9"/>
      <c r="I38" s="9"/>
    </row>
    <row r="39" spans="1:13" ht="14.25" customHeight="1">
      <c r="A39" s="15" t="s">
        <v>36</v>
      </c>
      <c r="B39" s="16"/>
      <c r="C39" s="8">
        <v>7064220</v>
      </c>
      <c r="E39" s="10" t="s">
        <v>48</v>
      </c>
      <c r="F39" s="11" t="s">
        <v>28</v>
      </c>
      <c r="G39" s="8" cm="1">
        <f t="array" aca="1" ref="G39" ca="1">IFERROR(INDIRECT("'" &amp; E39 &amp; " "  &amp; F39 &amp; "'!A1"),0)</f>
        <v>0</v>
      </c>
      <c r="H39" s="9"/>
      <c r="I39" s="9"/>
    </row>
    <row r="40" spans="1:13" ht="14.25" customHeight="1">
      <c r="A40" s="15"/>
      <c r="B40" s="16"/>
      <c r="C40" s="8"/>
      <c r="E40" s="10" t="s">
        <v>42</v>
      </c>
      <c r="F40" s="11" t="s">
        <v>27</v>
      </c>
      <c r="G40" s="8" cm="1">
        <f t="array" aca="1" ref="G40" ca="1">IFERROR(INDIRECT("'" &amp; E40 &amp; " "  &amp; F40 &amp; "'!A1"),0)</f>
        <v>0</v>
      </c>
      <c r="H40" s="9"/>
      <c r="I40" s="9"/>
    </row>
    <row r="41" spans="1:13" ht="14.25" customHeight="1">
      <c r="A41" s="15"/>
      <c r="B41" s="16"/>
      <c r="C41" s="8"/>
      <c r="E41" s="10" t="s">
        <v>65</v>
      </c>
      <c r="F41" s="11" t="s">
        <v>36</v>
      </c>
      <c r="G41" s="8" cm="1">
        <f t="array" aca="1" ref="G41" ca="1">IFERROR(INDIRECT("'" &amp; E41 &amp; " "  &amp; F41 &amp; "'!A1"),0)</f>
        <v>1747.2839999999997</v>
      </c>
      <c r="H41" s="9"/>
      <c r="I41" s="9"/>
    </row>
    <row r="42" spans="1:13" ht="14.25" customHeight="1" thickBot="1">
      <c r="A42" s="15"/>
      <c r="B42" s="16"/>
      <c r="C42" s="8"/>
      <c r="F42" s="12"/>
      <c r="G42" s="19"/>
      <c r="H42" s="9"/>
      <c r="I42" s="9"/>
    </row>
    <row r="43" spans="1:13" ht="14.25" customHeight="1" thickBot="1">
      <c r="A43" s="95" t="s">
        <v>66</v>
      </c>
      <c r="B43" s="96"/>
      <c r="C43" s="96"/>
      <c r="D43" s="96"/>
      <c r="E43" s="96"/>
      <c r="F43" s="96"/>
      <c r="G43" s="96"/>
      <c r="H43" s="96"/>
      <c r="I43" s="96"/>
      <c r="J43" s="103"/>
      <c r="K43" s="104">
        <f ca="1">SUM(M45:M54)</f>
        <v>82368153.120000005</v>
      </c>
      <c r="L43" s="105"/>
      <c r="M43" s="106"/>
    </row>
    <row r="44" spans="1:13" ht="14.25" customHeight="1" thickBot="1">
      <c r="A44" s="3"/>
      <c r="B44" s="82" t="s">
        <v>67</v>
      </c>
      <c r="C44" s="82" t="s">
        <v>68</v>
      </c>
      <c r="D44" s="82" t="s">
        <v>69</v>
      </c>
      <c r="E44" s="82" t="s">
        <v>70</v>
      </c>
      <c r="F44" s="82" t="s">
        <v>71</v>
      </c>
      <c r="G44" s="107" t="s">
        <v>53</v>
      </c>
      <c r="H44" s="107" t="s">
        <v>72</v>
      </c>
      <c r="I44" s="107" t="s">
        <v>73</v>
      </c>
      <c r="J44" s="108" t="s">
        <v>74</v>
      </c>
      <c r="K44" s="108" t="s">
        <v>75</v>
      </c>
      <c r="L44" s="108" t="s">
        <v>76</v>
      </c>
      <c r="M44" s="109" t="s">
        <v>77</v>
      </c>
    </row>
    <row r="45" spans="1:13" ht="14.25" customHeight="1">
      <c r="A45" s="110" t="s">
        <v>28</v>
      </c>
      <c r="B45" s="111" cm="1">
        <f t="array" aca="1" ref="B45" ca="1">IFERROR(INDIRECT("'" &amp; $A45 &amp; " " &amp; B$44 &amp; "'!T37"),)</f>
        <v>9054.69</v>
      </c>
      <c r="C45" s="111" cm="1">
        <f t="array" aca="1" ref="C45" ca="1">IFERROR(INDIRECT("'" &amp; $A45 &amp; " " &amp; C$44 &amp; "'!T37"),)</f>
        <v>228458.8</v>
      </c>
      <c r="D45" s="111" cm="1">
        <f t="array" aca="1" ref="D45" ca="1">IFERROR(INDIRECT("'" &amp; $A45 &amp; " " &amp; D$44 &amp; "'!T37"),)</f>
        <v>6925025.6299999999</v>
      </c>
      <c r="E45" s="111" cm="1">
        <f t="array" aca="1" ref="E45" ca="1">IFERROR(INDIRECT("'" &amp; $A45 &amp; " " &amp; E$44 &amp; "'!T37"),)</f>
        <v>0</v>
      </c>
      <c r="F45" s="111" cm="1">
        <f t="array" aca="1" ref="F45" ca="1">IFERROR(INDIRECT("'" &amp; $A45 &amp; " " &amp; F$44 &amp; "'!T37"),)</f>
        <v>0</v>
      </c>
      <c r="G45" s="111" cm="1">
        <f t="array" aca="1" ref="G45" ca="1">IFERROR(INDIRECT("'" &amp; $A45 &amp; " " &amp; G$44 &amp; "'!T37"),)</f>
        <v>0</v>
      </c>
      <c r="H45" s="111" cm="1">
        <f t="array" aca="1" ref="H45" ca="1">IFERROR(INDIRECT("'" &amp; $A45 &amp; " " &amp; H$44 &amp; "'!T37"),)</f>
        <v>0</v>
      </c>
      <c r="I45" s="111" cm="1">
        <f t="array" aca="1" ref="I45" ca="1">IFERROR(INDIRECT("'" &amp; $A45 &amp; " " &amp; I$44 &amp; "'!T37"),)</f>
        <v>0</v>
      </c>
      <c r="J45" s="111" cm="1">
        <f t="array" aca="1" ref="J45" ca="1">IFERROR(INDIRECT("'" &amp; $A45 &amp; " " &amp; J$44 &amp; "'!T37"),)</f>
        <v>0</v>
      </c>
      <c r="K45" s="111" cm="1">
        <f t="array" aca="1" ref="K45" ca="1">IFERROR(INDIRECT("'" &amp; $A45 &amp; " " &amp; K$44 &amp; "'!G12"),)</f>
        <v>0</v>
      </c>
      <c r="L45" s="111" cm="1">
        <f t="array" aca="1" ref="L45" ca="1">IFERROR(INDIRECT("'" &amp; $A45 &amp; " " &amp; L$44 &amp; "'!F14"),)</f>
        <v>0</v>
      </c>
      <c r="M45" s="112">
        <f ca="1">SUM(B45:L45)</f>
        <v>7162539.1200000001</v>
      </c>
    </row>
    <row r="46" spans="1:13" ht="14.25" customHeight="1">
      <c r="A46" s="20" t="s">
        <v>30</v>
      </c>
      <c r="B46" s="111" cm="1">
        <f t="array" aca="1" ref="B46" ca="1">IFERROR(INDIRECT("'" &amp; $A46 &amp; " " &amp; B$44 &amp; "'!T37"),)</f>
        <v>46250.75</v>
      </c>
      <c r="C46" s="111" cm="1">
        <f t="array" aca="1" ref="C46" ca="1">IFERROR(INDIRECT("'" &amp; $A46 &amp; " " &amp; C$44 &amp; "'!T37"),)</f>
        <v>23199.32</v>
      </c>
      <c r="D46" s="111" cm="1">
        <f t="array" aca="1" ref="D46" ca="1">IFERROR(INDIRECT("'" &amp; $A46 &amp; " " &amp; D$44 &amp; "'!T37"),)</f>
        <v>10502588.029999999</v>
      </c>
      <c r="E46" s="111" cm="1">
        <f t="array" aca="1" ref="E46" ca="1">IFERROR(INDIRECT("'" &amp; $A46 &amp; " " &amp; E$44 &amp; "'!T37"),)</f>
        <v>0</v>
      </c>
      <c r="F46" s="111" cm="1">
        <f t="array" aca="1" ref="F46" ca="1">IFERROR(INDIRECT("'" &amp; $A46 &amp; " " &amp; F$44 &amp; "'!T37"),)</f>
        <v>0</v>
      </c>
      <c r="G46" s="111" cm="1">
        <f t="array" aca="1" ref="G46" ca="1">IFERROR(INDIRECT("'" &amp; $A46 &amp; " " &amp; G$44 &amp; "'!T37"),)</f>
        <v>0</v>
      </c>
      <c r="H46" s="111" cm="1">
        <f t="array" aca="1" ref="H46" ca="1">IFERROR(INDIRECT("'" &amp; $A46 &amp; " " &amp; H$44 &amp; "'!T37"),)</f>
        <v>0</v>
      </c>
      <c r="I46" s="111" cm="1">
        <f t="array" aca="1" ref="I46" ca="1">IFERROR(INDIRECT("'" &amp; $A46 &amp; " " &amp; I$44 &amp; "'!T37"),)</f>
        <v>0</v>
      </c>
      <c r="J46" s="111" cm="1">
        <f t="array" aca="1" ref="J46" ca="1">IFERROR(INDIRECT("'" &amp; $A46 &amp; " " &amp; J$44 &amp; "'!T37"),)</f>
        <v>0</v>
      </c>
      <c r="K46" s="111" cm="1">
        <f t="array" aca="1" ref="K46" ca="1">IFERROR(INDIRECT("'" &amp; $A46 &amp; " " &amp; K$44 &amp; "'!G12"),)</f>
        <v>0</v>
      </c>
      <c r="L46" s="111" cm="1">
        <f t="array" aca="1" ref="L46" ca="1">IFERROR(INDIRECT("'" &amp; $A46 &amp; " " &amp; L$44 &amp; "'!F14"),)</f>
        <v>0</v>
      </c>
      <c r="M46" s="112">
        <f t="shared" ref="M46:M54" ca="1" si="6">SUM(B46:L46)</f>
        <v>10572038.1</v>
      </c>
    </row>
    <row r="47" spans="1:13" ht="14.25" customHeight="1">
      <c r="A47" s="20" t="s">
        <v>31</v>
      </c>
      <c r="B47" s="111" cm="1">
        <f t="array" aca="1" ref="B47" ca="1">IFERROR(INDIRECT("'" &amp; $A47 &amp; " " &amp; B$44 &amp; "'!T37"),)</f>
        <v>2339.9</v>
      </c>
      <c r="C47" s="111" cm="1">
        <f t="array" aca="1" ref="C47" ca="1">IFERROR(INDIRECT("'" &amp; $A47 &amp; " " &amp; C$44 &amp; "'!T37"),)</f>
        <v>544493.36</v>
      </c>
      <c r="D47" s="111" cm="1">
        <f t="array" aca="1" ref="D47" ca="1">IFERROR(INDIRECT("'" &amp; $A47 &amp; " " &amp; D$44 &amp; "'!T37"),)</f>
        <v>10871013.76</v>
      </c>
      <c r="E47" s="111" cm="1">
        <f t="array" aca="1" ref="E47" ca="1">IFERROR(INDIRECT("'" &amp; $A47 &amp; " " &amp; E$44 &amp; "'!T37"),)</f>
        <v>0</v>
      </c>
      <c r="F47" s="111" cm="1">
        <f t="array" aca="1" ref="F47" ca="1">IFERROR(INDIRECT("'" &amp; $A47 &amp; " " &amp; F$44 &amp; "'!T37"),)</f>
        <v>0</v>
      </c>
      <c r="G47" s="111" cm="1">
        <f t="array" aca="1" ref="G47" ca="1">IFERROR(INDIRECT("'" &amp; $A47 &amp; " " &amp; G$44 &amp; "'!T37"),)</f>
        <v>0</v>
      </c>
      <c r="H47" s="111" cm="1">
        <f t="array" aca="1" ref="H47" ca="1">IFERROR(INDIRECT("'" &amp; $A47 &amp; " " &amp; H$44 &amp; "'!T37"),)</f>
        <v>0</v>
      </c>
      <c r="I47" s="111" cm="1">
        <f t="array" aca="1" ref="I47" ca="1">IFERROR(INDIRECT("'" &amp; $A47 &amp; " " &amp; I$44 &amp; "'!T37"),)</f>
        <v>0</v>
      </c>
      <c r="J47" s="111" cm="1">
        <f t="array" aca="1" ref="J47" ca="1">IFERROR(INDIRECT("'" &amp; $A47 &amp; " " &amp; J$44 &amp; "'!T37"),)</f>
        <v>119317.43</v>
      </c>
      <c r="K47" s="111" cm="1">
        <f t="array" aca="1" ref="K47" ca="1">IFERROR(INDIRECT("'" &amp; $A47 &amp; " " &amp; K$44 &amp; "'!G12"),)</f>
        <v>202520</v>
      </c>
      <c r="L47" s="111" cm="1">
        <f t="array" aca="1" ref="L47" ca="1">IFERROR(INDIRECT("'" &amp; $A47 &amp; " " &amp; L$44 &amp; "'!F14"),)</f>
        <v>0</v>
      </c>
      <c r="M47" s="112">
        <f t="shared" ca="1" si="6"/>
        <v>11739684.449999999</v>
      </c>
    </row>
    <row r="48" spans="1:13" ht="14.25" customHeight="1">
      <c r="A48" s="20"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="array" aca="1" ref="C48" ca="1">IFERROR(INDIRECT("'" &amp; $A48 &amp; " " &amp; C$44 &amp; "'!T37"),)</f>
        <v>135485.29</v>
      </c>
      <c r="D48" s="111" cm="1">
        <f t="array" aca="1" ref="D48" ca="1">IFERROR(INDIRECT("'" &amp; $A48 &amp; " " &amp; D$44 &amp; "'!T37"),)</f>
        <v>4174708.47</v>
      </c>
      <c r="E48" s="111" cm="1">
        <f t="array" aca="1" ref="E48" ca="1">IFERROR(INDIRECT("'" &amp; $A48 &amp; " " &amp; E$44 &amp; "'!T37"),)</f>
        <v>0</v>
      </c>
      <c r="F48" s="111" cm="1">
        <f t="array" aca="1" ref="F48" ca="1">IFERROR(INDIRECT("'" &amp; $A48 &amp; " " &amp; F$44 &amp; "'!T37"),)</f>
        <v>0</v>
      </c>
      <c r="G48" s="111" cm="1">
        <f t="array" aca="1" ref="G48" ca="1">IFERROR(INDIRECT("'" &amp; $A48 &amp; " " &amp; G$44 &amp; "'!T37"),)</f>
        <v>0</v>
      </c>
      <c r="H48" s="111" cm="1">
        <f t="array" aca="1" ref="H48" ca="1">IFERROR(INDIRECT("'" &amp; $A48 &amp; " " &amp; H$44 &amp; "'!T37"),)</f>
        <v>0</v>
      </c>
      <c r="I48" s="111" cm="1">
        <f t="array" aca="1" ref="I48" ca="1">IFERROR(INDIRECT("'" &amp; $A48 &amp; " " &amp; I$44 &amp; "'!T37"),)</f>
        <v>2280916.4500000002</v>
      </c>
      <c r="J48" s="111" cm="1">
        <f t="array" aca="1" ref="J48" ca="1">IFERROR(INDIRECT("'" &amp; $A48 &amp; " " &amp; J$44 &amp; "'!T37"),)</f>
        <v>0</v>
      </c>
      <c r="K48" s="111" cm="1">
        <f t="array" aca="1" ref="K48" ca="1">IFERROR(INDIRECT("'" &amp; $A48 &amp; " " &amp; K$44 &amp; "'!G12"),)</f>
        <v>0</v>
      </c>
      <c r="L48" s="111" cm="1">
        <f t="array" aca="1" ref="L48" ca="1">IFERROR(INDIRECT("'" &amp; $A48 &amp; " " &amp; L$44 &amp; "'!F14"),)</f>
        <v>0</v>
      </c>
      <c r="M48" s="112">
        <f t="shared" ca="1" si="6"/>
        <v>6609793.6300000008</v>
      </c>
    </row>
    <row r="49" spans="1:13" ht="14.25" customHeight="1">
      <c r="A49" s="20" t="s">
        <v>33</v>
      </c>
      <c r="B49" s="111" cm="1">
        <f t="array" aca="1" ref="B49" ca="1">IFERROR(INDIRECT("'" &amp; $A49 &amp; " " &amp; B$44 &amp; "'!T37"),)</f>
        <v>0</v>
      </c>
      <c r="C49" s="111" cm="1">
        <f t="array" aca="1" ref="C49" ca="1">IFERROR(INDIRECT("'" &amp; $A49 &amp; " " &amp; C$44 &amp; "'!T37"),)</f>
        <v>0</v>
      </c>
      <c r="D49" s="111" cm="1">
        <f t="array" aca="1" ref="D49" ca="1">IFERROR(INDIRECT("'" &amp; $A49 &amp; " " &amp; D$44 &amp; "'!T37"),)</f>
        <v>0</v>
      </c>
      <c r="E49" s="111" cm="1">
        <f t="array" aca="1" ref="E49" ca="1">IFERROR(INDIRECT("'" &amp; $A49 &amp; " " &amp; E$44 &amp; "'!T37"),)</f>
        <v>0</v>
      </c>
      <c r="F49" s="111" cm="1">
        <f t="array" aca="1" ref="F49" ca="1">IFERROR(INDIRECT("'" &amp; $A49 &amp; " " &amp; F$44 &amp; "'!T37"),)</f>
        <v>0</v>
      </c>
      <c r="G49" s="111" cm="1">
        <f t="array" aca="1" ref="G49" ca="1">IFERROR(INDIRECT("'" &amp; $A49 &amp; " " &amp; G$44 &amp; "'!T37"),)</f>
        <v>0</v>
      </c>
      <c r="H49" s="111" cm="1">
        <f t="array" aca="1" ref="H49" ca="1">IFERROR(INDIRECT("'" &amp; $A49 &amp; " " &amp; H$44 &amp; "'!T37"),)</f>
        <v>0</v>
      </c>
      <c r="I49" s="111" cm="1">
        <f t="array" aca="1" ref="I49" ca="1">IFERROR(INDIRECT("'" &amp; $A49 &amp; " " &amp; I$44 &amp; "'!T37"),)</f>
        <v>5803487.8200000003</v>
      </c>
      <c r="J49" s="111" cm="1">
        <f t="array" aca="1" ref="J49" ca="1">IFERROR(INDIRECT("'" &amp; $A49 &amp; " " &amp; J$44 &amp; "'!T37"),)</f>
        <v>0</v>
      </c>
      <c r="K49" s="111" cm="1">
        <f t="array" aca="1" ref="K49" ca="1">IFERROR(INDIRECT("'" &amp; $A49 &amp; " " &amp; K$44 &amp; "'!G12"),)</f>
        <v>0</v>
      </c>
      <c r="L49" s="111" cm="1">
        <f t="array" aca="1" ref="L49" ca="1">IFERROR(INDIRECT("'" &amp; $A49 &amp; " " &amp; L$44 &amp; "'!F14"),)</f>
        <v>0</v>
      </c>
      <c r="M49" s="112">
        <f t="shared" ca="1" si="6"/>
        <v>5803487.8200000003</v>
      </c>
    </row>
    <row r="50" spans="1:13" ht="14.25" customHeight="1">
      <c r="A50" s="20" t="s">
        <v>27</v>
      </c>
      <c r="B50" s="111" cm="1">
        <f t="array" aca="1" ref="B50" ca="1">IFERROR(INDIRECT("'" &amp; $A50 &amp; " " &amp; B$44 &amp; "'!T37"),)</f>
        <v>0</v>
      </c>
      <c r="C50" s="111" cm="1">
        <f t="array" aca="1" ref="C50" ca="1">IFERROR(INDIRECT("'" &amp; $A50 &amp; " " &amp; C$44 &amp; "'!T37"),)</f>
        <v>11689.14</v>
      </c>
      <c r="D50" s="111" cm="1">
        <f t="array" aca="1" ref="D50" ca="1">IFERROR(INDIRECT("'" &amp; $A50 &amp; " " &amp; D$44 &amp; "'!T37"),)</f>
        <v>18442557.899999999</v>
      </c>
      <c r="E50" s="111" cm="1">
        <f t="array" aca="1" ref="E50" ca="1">IFERROR(INDIRECT("'" &amp; $A50 &amp; " " &amp; E$44 &amp; "'!T37"),)</f>
        <v>0</v>
      </c>
      <c r="F50" s="111" cm="1">
        <f t="array" aca="1" ref="F50" ca="1">IFERROR(INDIRECT("'" &amp; $A50 &amp; " " &amp; F$44 &amp; "'!T37"),)</f>
        <v>0</v>
      </c>
      <c r="G50" s="111" cm="1">
        <f t="array" aca="1" ref="G50" ca="1">IFERROR(INDIRECT("'" &amp; $A50 &amp; " " &amp; G$44 &amp; "'!T37"),)</f>
        <v>0</v>
      </c>
      <c r="H50" s="111" cm="1">
        <f t="array" aca="1" ref="H50" ca="1">IFERROR(INDIRECT("'" &amp; $A50 &amp; " " &amp; H$44 &amp; "'!T37"),)</f>
        <v>0</v>
      </c>
      <c r="I50" s="111" cm="1">
        <f t="array" aca="1" ref="I50" ca="1">IFERROR(INDIRECT("'" &amp; $A50 &amp; " " &amp; I$44 &amp; "'!T37"),)</f>
        <v>0</v>
      </c>
      <c r="J50" s="111" cm="1">
        <f t="array" aca="1" ref="J50" ca="1">IFERROR(INDIRECT("'" &amp; $A50 &amp; " " &amp; J$44 &amp; "'!T37"),)</f>
        <v>0</v>
      </c>
      <c r="K50" s="111" cm="1">
        <f t="array" aca="1" ref="K50" ca="1">IFERROR(INDIRECT("'" &amp; $A50 &amp; " " &amp; K$44 &amp; "'!G12"),)</f>
        <v>43920</v>
      </c>
      <c r="L50" s="111" cm="1">
        <f t="array" aca="1" ref="L50" ca="1">IFERROR(INDIRECT("'" &amp; $A50 &amp; " " &amp; L$44 &amp; "'!F14"),)</f>
        <v>0</v>
      </c>
      <c r="M50" s="112">
        <f t="shared" ca="1" si="6"/>
        <v>18498167.039999999</v>
      </c>
    </row>
    <row r="51" spans="1:13" ht="14.25" customHeight="1">
      <c r="A51" s="20" t="s">
        <v>34</v>
      </c>
      <c r="B51" s="111" cm="1">
        <f t="array" aca="1" ref="B51" ca="1">IFERROR(INDIRECT("'" &amp; $A51 &amp; " " &amp; B$44 &amp; "'!T37"),)</f>
        <v>0</v>
      </c>
      <c r="C51" s="111" cm="1">
        <f t="array" aca="1" ref="C51" ca="1">IFERROR(INDIRECT("'" &amp; $A51 &amp; " " &amp; C$44 &amp; "'!T37"),)</f>
        <v>0</v>
      </c>
      <c r="D51" s="111" cm="1">
        <f t="array" aca="1" ref="D51" ca="1">IFERROR(INDIRECT("'" &amp; $A51 &amp; " " &amp; D$44 &amp; "'!T37"),)</f>
        <v>9595320.3699999992</v>
      </c>
      <c r="E51" s="111" cm="1">
        <f t="array" aca="1" ref="E51" ca="1">IFERROR(INDIRECT("'" &amp; $A51 &amp; " " &amp; E$44 &amp; "'!T37"),)</f>
        <v>0</v>
      </c>
      <c r="F51" s="111" cm="1">
        <f t="array" aca="1" ref="F51" ca="1">IFERROR(INDIRECT("'" &amp; $A51 &amp; " " &amp; F$44 &amp; "'!T37"),)</f>
        <v>0</v>
      </c>
      <c r="G51" s="111" cm="1">
        <f t="array" aca="1" ref="G51" ca="1">IFERROR(INDIRECT("'" &amp; $A51 &amp; " " &amp; G$44 &amp; "'!T37"),)</f>
        <v>0</v>
      </c>
      <c r="H51" s="111" cm="1">
        <f t="array" aca="1" ref="H51" ca="1">IFERROR(INDIRECT("'" &amp; $A51 &amp; " " &amp; H$44 &amp; "'!T37"),)</f>
        <v>0</v>
      </c>
      <c r="I51" s="111" cm="1">
        <f t="array" aca="1" ref="I51" ca="1">IFERROR(INDIRECT("'" &amp; $A51 &amp; " " &amp; I$44 &amp; "'!T37"),)</f>
        <v>0</v>
      </c>
      <c r="J51" s="111" cm="1">
        <f t="array" aca="1" ref="J51" ca="1">IFERROR(INDIRECT("'" &amp; $A51 &amp; " " &amp; J$44 &amp; "'!T37"),)</f>
        <v>0</v>
      </c>
      <c r="K51" s="111" cm="1">
        <f t="array" aca="1" ref="K51" ca="1">IFERROR(INDIRECT("'" &amp; $A51 &amp; " " &amp; K$44 &amp; "'!G12"),)</f>
        <v>17080</v>
      </c>
      <c r="L51" s="111" cm="1">
        <f t="array" aca="1" ref="L51" ca="1">IFERROR(INDIRECT("'" &amp; $A51 &amp; " " &amp; L$44 &amp; "'!F14"),)</f>
        <v>47616</v>
      </c>
      <c r="M51" s="112">
        <f t="shared" ca="1" si="6"/>
        <v>9660016.3699999992</v>
      </c>
    </row>
    <row r="52" spans="1:13" ht="14.25" customHeight="1">
      <c r="A52" s="20" t="s">
        <v>35</v>
      </c>
      <c r="B52" s="111" cm="1">
        <f t="array" aca="1" ref="B52" ca="1">IFERROR(INDIRECT("'" &amp; $A52 &amp; " " &amp; B$44 &amp; "'!T37"),)</f>
        <v>90575.72</v>
      </c>
      <c r="C52" s="111" cm="1">
        <f t="array" aca="1" ref="C52" ca="1">IFERROR(INDIRECT("'" &amp; $A52 &amp; " " &amp; C$44 &amp; "'!T37"),)</f>
        <v>0</v>
      </c>
      <c r="D52" s="111" cm="1">
        <f t="array" aca="1" ref="D52" ca="1">IFERROR(INDIRECT("'" &amp; $A52 &amp; " " &amp; D$44 &amp; "'!T37"),)</f>
        <v>7709763.4199999999</v>
      </c>
      <c r="E52" s="111" cm="1">
        <f t="array" aca="1" ref="E52" ca="1">IFERROR(INDIRECT("'" &amp; $A52 &amp; " " &amp; E$44 &amp; "'!T37"),)</f>
        <v>0</v>
      </c>
      <c r="F52" s="111" cm="1">
        <f t="array" aca="1" ref="F52" ca="1">IFERROR(INDIRECT("'" &amp; $A52 &amp; " " &amp; F$44 &amp; "'!T37"),)</f>
        <v>0</v>
      </c>
      <c r="G52" s="111" cm="1">
        <f t="array" aca="1" ref="G52" ca="1">IFERROR(INDIRECT("'" &amp; $A52 &amp; " " &amp; G$44 &amp; "'!T37"),)</f>
        <v>824431.68</v>
      </c>
      <c r="H52" s="111" cm="1">
        <f t="array" aca="1" ref="H52" ca="1">IFERROR(INDIRECT("'" &amp; $A52 &amp; " " &amp; H$44 &amp; "'!T37"),)</f>
        <v>0</v>
      </c>
      <c r="I52" s="111" cm="1">
        <f t="array" aca="1" ref="I52" ca="1">IFERROR(INDIRECT("'" &amp; $A52 &amp; " " &amp; I$44 &amp; "'!T37"),)</f>
        <v>0</v>
      </c>
      <c r="J52" s="111" cm="1">
        <f t="array" aca="1" ref="J52" ca="1">IFERROR(INDIRECT("'" &amp; $A52 &amp; " " &amp; J$44 &amp; "'!T37"),)</f>
        <v>0</v>
      </c>
      <c r="K52" s="111" cm="1">
        <f t="array" aca="1" ref="K52" ca="1">IFERROR(INDIRECT("'" &amp; $A52 &amp; " " &amp; K$44 &amp; "'!G12"),)</f>
        <v>39040</v>
      </c>
      <c r="L52" s="111" cm="1">
        <f t="array" aca="1" ref="L52" ca="1">IFERROR(INDIRECT("'" &amp; $A52 &amp; " " &amp; L$44 &amp; "'!F14"),)</f>
        <v>458419.88</v>
      </c>
      <c r="M52" s="112">
        <f t="shared" ca="1" si="6"/>
        <v>9122230.7000000011</v>
      </c>
    </row>
    <row r="53" spans="1:13" ht="14.25" customHeight="1">
      <c r="A53" s="20" t="s">
        <v>36</v>
      </c>
      <c r="B53" s="111" cm="1">
        <f t="array" aca="1" ref="B53" ca="1">IFERROR(INDIRECT("'" &amp; $A53 &amp; " " &amp; B$44 &amp; "'!T37"),)</f>
        <v>0</v>
      </c>
      <c r="C53" s="111" cm="1">
        <f t="array" aca="1" ref="C53" ca="1">IFERROR(INDIRECT("'" &amp; $A53 &amp; " " &amp; C$44 &amp; "'!T37"),)</f>
        <v>0</v>
      </c>
      <c r="D53" s="111" cm="1">
        <f t="array" aca="1" ref="D53" ca="1">IFERROR(INDIRECT("'" &amp; $A53 &amp; " " &amp; D$44 &amp; "'!T37"),)</f>
        <v>0</v>
      </c>
      <c r="E53" s="111" cm="1">
        <f t="array" aca="1" ref="E53" ca="1">IFERROR(INDIRECT("'" &amp; $A53 &amp; " " &amp; E$44 &amp; "'!T37"),)</f>
        <v>0</v>
      </c>
      <c r="F53" s="111" cm="1">
        <f t="array" aca="1" ref="F53" ca="1">IFERROR(INDIRECT("'" &amp; $A53 &amp; " " &amp; F$44 &amp; "'!T37"),)</f>
        <v>3109052.18</v>
      </c>
      <c r="G53" s="111" cm="1">
        <f t="array" aca="1" ref="G53" ca="1">IFERROR(INDIRECT("'" &amp; $A53 &amp; " " &amp; G$44 &amp; "'!T37"),)</f>
        <v>0</v>
      </c>
      <c r="H53" s="111" cm="1">
        <f t="array" aca="1" ref="H53" ca="1">IFERROR(INDIRECT("'" &amp; $A53 &amp; " " &amp; H$44 &amp; "'!T37"),)</f>
        <v>0</v>
      </c>
      <c r="I53" s="111" cm="1">
        <f t="array" aca="1" ref="I53" ca="1">IFERROR(INDIRECT("'" &amp; $A53 &amp; " " &amp; I$44 &amp; "'!T37"),)</f>
        <v>0</v>
      </c>
      <c r="J53" s="111" cm="1">
        <f t="array" aca="1" ref="J53" ca="1">IFERROR(INDIRECT("'" &amp; $A53 &amp; " " &amp; J$44 &amp; "'!T37"),)</f>
        <v>863.71</v>
      </c>
      <c r="K53" s="111" cm="1">
        <f t="array" aca="1" ref="K53" ca="1">IFERROR(INDIRECT("'" &amp; $A53 &amp; " " &amp; K$44 &amp; "'!G12"),)</f>
        <v>90280</v>
      </c>
      <c r="L53" s="111" cm="1">
        <f t="array" aca="1" ref="L53" ca="1">IFERROR(INDIRECT("'" &amp; $A53 &amp; " " &amp; L$44 &amp; "'!F14"),)</f>
        <v>0</v>
      </c>
      <c r="M53" s="112">
        <f t="shared" ca="1" si="6"/>
        <v>3200195.89</v>
      </c>
    </row>
    <row r="54" spans="1:13" ht="14.25" customHeight="1">
      <c r="A54" s="20" t="s">
        <v>39</v>
      </c>
      <c r="B54" s="111" cm="1">
        <f t="array" aca="1" ref="B54" ca="1">IFERROR(INDIRECT("'" &amp; $A54 &amp; "'!F16"),) + IFERROR(INDIRECT("'" &amp; $A54 &amp; "'!F17"),)</f>
        <v>0</v>
      </c>
      <c r="C54" s="111" cm="1">
        <f t="array" aca="1" ref="C54" ca="1">IFERROR(INDIRECT("'" &amp; $A54 &amp; "'!F16"),) + IFERROR(INDIRECT("'" &amp; $A54 &amp; "'!F17"),)</f>
        <v>0</v>
      </c>
      <c r="D54" s="111" cm="1">
        <f t="array" aca="1" ref="D54" ca="1">IFERROR(INDIRECT("'" &amp; $A54 &amp; "'!F16"),) + IFERROR(INDIRECT("'" &amp; $A54 &amp; "'!F17"),)</f>
        <v>0</v>
      </c>
      <c r="E54" s="111" cm="1">
        <f t="array" aca="1" ref="E54" ca="1">IFERROR(INDIRECT("'" &amp; $A54 &amp; "'!F16"),) + IFERROR(INDIRECT("'" &amp; $A54 &amp; "'!F17"),)</f>
        <v>0</v>
      </c>
      <c r="F54" s="111" cm="1">
        <f t="array" aca="1" ref="F54" ca="1">IFERROR(INDIRECT("'" &amp; $A54 &amp; "'!F16"),) + IFERROR(INDIRECT("'" &amp; $A54 &amp; "'!F17"),)</f>
        <v>0</v>
      </c>
      <c r="G54" s="111" cm="1">
        <f t="array" aca="1" ref="G54" ca="1">IFERROR(INDIRECT("'" &amp; $A54 &amp; "'!F16"),) + IFERROR(INDIRECT("'" &amp; $A54 &amp; "'!F17"),)</f>
        <v>0</v>
      </c>
      <c r="H54" s="111" cm="1">
        <f t="array" aca="1" ref="H54" ca="1">IFERROR(INDIRECT("'" &amp; $A54 &amp; "'!F16"),) + IFERROR(INDIRECT("'" &amp; $A54 &amp; "'!F17"),)</f>
        <v>0</v>
      </c>
      <c r="I54" s="111" cm="1">
        <f t="array" aca="1" ref="I54" ca="1">IFERROR(INDIRECT("'" &amp; $A54 &amp; "'!F16"),) + IFERROR(INDIRECT("'" &amp; $A54 &amp; "'!F17"),)</f>
        <v>0</v>
      </c>
      <c r="J54" s="111" cm="1">
        <f t="array" aca="1" ref="J54" ca="1">IFERROR(INDIRECT("'" &amp; $A54 &amp; "'!F16"),) + IFERROR(INDIRECT("'" &amp; $A54 &amp; "'!F17"),)</f>
        <v>0</v>
      </c>
      <c r="K54" s="111" cm="1">
        <f t="array" aca="1" ref="K54" ca="1">IFERROR(INDIRECT("'" &amp; $A54 &amp; " " &amp; K$44 &amp; "'!G12"),)</f>
        <v>0</v>
      </c>
      <c r="L54" s="111" cm="1">
        <f t="array" aca="1" ref="L54" ca="1">IFERROR(INDIRECT("'" &amp; $A54 &amp; " " &amp; L$44 &amp; "'!F14"),)</f>
        <v>0</v>
      </c>
      <c r="M54" s="112">
        <f t="shared" ca="1" si="6"/>
        <v>0</v>
      </c>
    </row>
    <row r="55" spans="1:13" ht="14.25" customHeight="1" thickBot="1">
      <c r="A55" s="102"/>
      <c r="B55" s="113"/>
      <c r="C55" s="113"/>
      <c r="D55" s="113"/>
      <c r="E55" s="113"/>
      <c r="F55" s="113"/>
      <c r="G55" s="113"/>
      <c r="H55" s="113"/>
      <c r="I55" s="113"/>
      <c r="J55" s="114"/>
    </row>
    <row r="56" spans="1:13" ht="14.25" customHeight="1" thickBot="1">
      <c r="A56" s="115" t="s">
        <v>23</v>
      </c>
      <c r="B56" s="97">
        <f ca="1">SUM(B57:B67)</f>
        <v>6142835.5724999979</v>
      </c>
    </row>
    <row r="57" spans="1:13" ht="14.25" customHeight="1">
      <c r="A57" s="110" t="s">
        <v>28</v>
      </c>
      <c r="B57" s="87" cm="1">
        <f t="array" aca="1" ref="B57" ca="1">IFERROR(INDIRECT("'РВ " &amp; A57 &amp; "'!O38"),0)</f>
        <v>256416.39749999999</v>
      </c>
    </row>
    <row r="58" spans="1:13" ht="14.25" customHeight="1">
      <c r="A58" s="20" t="s">
        <v>30</v>
      </c>
      <c r="B58" s="87" cm="1">
        <f t="array" aca="1" ref="B58" ca="1">IFERROR(INDIRECT("'РВ " &amp; A58 &amp; "'!O38"),0)</f>
        <v>209215.29900000006</v>
      </c>
    </row>
    <row r="59" spans="1:13" ht="14.25" customHeight="1">
      <c r="A59" s="20" t="s">
        <v>38</v>
      </c>
      <c r="B59" s="87" cm="1">
        <f t="array" aca="1" ref="B59" ca="1">IFERROR(INDIRECT("'РВ " &amp; A59 &amp; "'!O38"),0)</f>
        <v>0</v>
      </c>
    </row>
    <row r="60" spans="1:13" ht="14.25" customHeight="1">
      <c r="A60" s="20" t="s">
        <v>31</v>
      </c>
      <c r="B60" s="87" cm="1">
        <f t="array" aca="1" ref="B60" ca="1">IFERROR(INDIRECT("'РВ " &amp; A60 &amp; "'!O38"),0)</f>
        <v>0</v>
      </c>
    </row>
    <row r="61" spans="1:13" ht="14.25" customHeight="1">
      <c r="A61" s="20" t="s">
        <v>32</v>
      </c>
      <c r="B61" s="87" cm="1">
        <f t="array" aca="1" ref="B61" ca="1">IFERROR(INDIRECT("'РВ " &amp; A61 &amp; "'!O38"),0)</f>
        <v>0</v>
      </c>
    </row>
    <row r="62" spans="1:13" ht="14.25" customHeight="1">
      <c r="A62" s="20" t="s">
        <v>34</v>
      </c>
      <c r="B62" s="87" cm="1">
        <f t="array" aca="1" ref="B62" ca="1">IFERROR(INDIRECT("'РВ " &amp; A62 &amp; "'!O38"),0)</f>
        <v>0</v>
      </c>
    </row>
    <row r="63" spans="1:13" ht="14.25" customHeight="1">
      <c r="A63" s="20" t="s">
        <v>27</v>
      </c>
      <c r="B63" s="87" cm="1">
        <f t="array" aca="1" ref="B63" ca="1">IFERROR(INDIRECT("'РВ " &amp; A63 &amp; "'!O38"),0)</f>
        <v>0</v>
      </c>
    </row>
    <row r="64" spans="1:13" ht="14.25" customHeight="1">
      <c r="A64" s="20" t="s">
        <v>35</v>
      </c>
      <c r="B64" s="87" cm="1">
        <f t="array" aca="1" ref="B64" ca="1">IFERROR(INDIRECT("'РВ " &amp; A64 &amp; "'!O38"),0)</f>
        <v>0</v>
      </c>
    </row>
    <row r="65" spans="1:2" ht="14.25" customHeight="1">
      <c r="A65" s="20" t="s">
        <v>36</v>
      </c>
      <c r="B65" s="87" cm="1">
        <f t="array" aca="1" ref="B65" ca="1">IFERROR(INDIRECT("'РВ " &amp; A65 &amp; "'!O38"),0)</f>
        <v>0</v>
      </c>
    </row>
    <row r="66" spans="1:2" ht="14.25" customHeight="1">
      <c r="A66" s="20" t="s">
        <v>29</v>
      </c>
      <c r="B66" s="87" cm="1">
        <f t="array" aca="1" ref="B66" ca="1">IFERROR(INDIRECT("'РВ " &amp; A66 &amp; "'!O38"),0)</f>
        <v>0</v>
      </c>
    </row>
    <row r="67" spans="1:2" ht="14.25" customHeight="1">
      <c r="A67" s="20" t="s">
        <v>39</v>
      </c>
      <c r="B67" s="87" cm="1">
        <f t="array" aca="1" ref="B67" ca="1">IFERROR(INDIRECT("'РВ " &amp; A67 &amp; "'!O38"),0)+IFERROR(INDIRECT("Резерв!i38"),0)</f>
        <v>5677203.8759999983</v>
      </c>
    </row>
    <row r="68" spans="1:2" ht="14.25" customHeight="1">
      <c r="A68" s="20" t="s">
        <v>33</v>
      </c>
      <c r="B68" s="87" cm="1">
        <f t="array" aca="1" ref="B68" ca="1">IFERROR(INDIRECT("'РВ " &amp; A68 &amp; "'!O38"),0)</f>
        <v>0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s="4" customFormat="1" ht="14.25" customHeight="1"/>
    <row r="82" s="4" customFormat="1" ht="14.25" customHeight="1"/>
    <row r="83" s="4" customFormat="1" ht="14.25" customHeight="1"/>
    <row r="84" s="4" customFormat="1" ht="14.25" customHeight="1"/>
    <row r="85" s="4" customFormat="1" ht="14.25" customHeight="1"/>
    <row r="86" s="4" customFormat="1" ht="14.25" customHeight="1"/>
    <row r="87" s="4" customFormat="1" ht="14.25" customHeight="1"/>
    <row r="88" s="4" customFormat="1" ht="14.25" customHeight="1"/>
    <row r="89" s="4" customFormat="1" ht="14.25" customHeight="1"/>
    <row r="90" s="4" customFormat="1" ht="14.25" customHeight="1"/>
    <row r="91" s="4" customFormat="1" ht="14.25" customHeight="1"/>
    <row r="92" s="4" customFormat="1" ht="14.25" customHeight="1"/>
    <row r="93" s="4" customFormat="1" ht="14.25" customHeight="1"/>
    <row r="94" s="4" customFormat="1" ht="14.25" customHeight="1"/>
    <row r="95" s="4" customFormat="1" ht="14.25" customHeight="1"/>
    <row r="96" s="4" customFormat="1" ht="14.25" customHeight="1"/>
    <row r="97" s="4" customFormat="1" ht="14.25" customHeight="1"/>
    <row r="98" s="4" customFormat="1" ht="14.25" customHeight="1"/>
    <row r="99" s="4" customFormat="1" ht="14.25" customHeight="1"/>
    <row r="100" s="4" customFormat="1" ht="14.25" customHeight="1"/>
    <row r="101" s="4" customFormat="1" ht="14.25" customHeight="1"/>
    <row r="102" s="4" customFormat="1" ht="14.25" customHeight="1"/>
    <row r="103" s="4" customFormat="1" ht="14.25" customHeight="1"/>
    <row r="104" s="4" customFormat="1" ht="14.25" customHeight="1"/>
    <row r="105" s="4" customFormat="1" ht="14.25" customHeight="1"/>
    <row r="106" s="4" customFormat="1" ht="14.25" customHeight="1"/>
    <row r="107" s="4" customFormat="1" ht="14.25" customHeight="1"/>
    <row r="108" s="4" customFormat="1" ht="14.25" customHeight="1"/>
    <row r="109" s="4" customFormat="1" ht="14.25" customHeight="1"/>
    <row r="110" s="4" customFormat="1" ht="14.25" customHeight="1"/>
    <row r="111" s="4" customFormat="1" ht="14.25" customHeight="1"/>
    <row r="112" s="4" customFormat="1" ht="14.25" customHeight="1"/>
    <row r="113" s="4" customFormat="1" ht="14.25" customHeight="1"/>
    <row r="114" s="4" customFormat="1" ht="14.25" customHeight="1"/>
    <row r="115" s="4" customFormat="1" ht="14.25" customHeight="1"/>
    <row r="116" s="4" customFormat="1" ht="14.25" customHeight="1"/>
    <row r="117" s="4" customFormat="1" ht="14.25" customHeight="1"/>
    <row r="118" s="4" customFormat="1" ht="14.25" customHeight="1"/>
    <row r="119" s="4" customFormat="1" ht="14.25" customHeight="1"/>
    <row r="120" s="4" customFormat="1" ht="14.25" customHeight="1"/>
    <row r="121" s="4" customFormat="1" ht="14.25" customHeight="1"/>
    <row r="122" s="4" customFormat="1" ht="14.25" customHeight="1"/>
    <row r="123" s="4" customFormat="1" ht="14.25" customHeight="1"/>
    <row r="124" s="4" customFormat="1" ht="14.25" customHeight="1"/>
    <row r="125" s="4" customFormat="1" ht="14.25" customHeight="1"/>
  </sheetData>
  <mergeCells count="19">
    <mergeCell ref="K43:M43"/>
    <mergeCell ref="A38:B38"/>
    <mergeCell ref="A39:B39"/>
    <mergeCell ref="A40:B40"/>
    <mergeCell ref="A41:B41"/>
    <mergeCell ref="A42:B42"/>
    <mergeCell ref="A43:J43"/>
    <mergeCell ref="A31:B31"/>
    <mergeCell ref="A32:B32"/>
    <mergeCell ref="A33:B33"/>
    <mergeCell ref="A34:B34"/>
    <mergeCell ref="A35:B35"/>
    <mergeCell ref="A37:B37"/>
    <mergeCell ref="A1:G1"/>
    <mergeCell ref="I2:J2"/>
    <mergeCell ref="A18:B18"/>
    <mergeCell ref="E18:F18"/>
    <mergeCell ref="A29:B29"/>
    <mergeCell ref="A30:B30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7BC5-784D-4A8E-A6D0-74EE9D335C47}">
  <sheetPr codeName="Лист44"/>
  <dimension ref="A1:F9"/>
  <sheetViews>
    <sheetView workbookViewId="0">
      <selection activeCell="A29" sqref="A29"/>
    </sheetView>
  </sheetViews>
  <sheetFormatPr defaultRowHeight="15"/>
  <cols>
    <col min="1" max="1" width="38.28515625" style="47" customWidth="1"/>
    <col min="2" max="2" width="41.28515625" style="47" customWidth="1"/>
    <col min="3" max="3" width="9.140625" style="47"/>
    <col min="4" max="4" width="13.28515625" style="47" customWidth="1"/>
    <col min="5" max="5" width="14.5703125" style="47" bestFit="1" customWidth="1"/>
    <col min="6" max="6" width="16.140625" style="47" customWidth="1"/>
    <col min="7" max="16384" width="9.140625" style="47"/>
  </cols>
  <sheetData>
    <row r="1" spans="1:6">
      <c r="A1" s="46"/>
      <c r="B1" s="121"/>
    </row>
    <row r="3" spans="1:6">
      <c r="A3" s="73"/>
    </row>
    <row r="4" spans="1:6">
      <c r="A4" s="73"/>
      <c r="B4" s="73"/>
      <c r="C4" s="73"/>
    </row>
    <row r="5" spans="1:6">
      <c r="A5" s="73"/>
      <c r="B5" s="73"/>
      <c r="C5" s="73"/>
    </row>
    <row r="7" spans="1:6">
      <c r="A7" s="122"/>
    </row>
    <row r="9" spans="1:6">
      <c r="E9" s="73"/>
      <c r="F9" s="73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3AEC-C3A5-4A0D-9AF8-81F8994EE9F3}">
  <sheetPr codeName="Лист4"/>
  <dimension ref="A3:F24"/>
  <sheetViews>
    <sheetView workbookViewId="0">
      <selection activeCell="F22" sqref="F22"/>
    </sheetView>
  </sheetViews>
  <sheetFormatPr defaultRowHeight="15"/>
  <cols>
    <col min="1" max="1" width="9.140625" style="47"/>
    <col min="2" max="2" width="41.28515625" style="47" customWidth="1"/>
    <col min="3" max="3" width="9.140625" style="47"/>
    <col min="4" max="4" width="13.28515625" style="47" customWidth="1"/>
    <col min="5" max="5" width="17" style="47" customWidth="1"/>
    <col min="6" max="6" width="16.140625" style="47" customWidth="1"/>
    <col min="7" max="16384" width="9.140625" style="47"/>
  </cols>
  <sheetData>
    <row r="3" spans="1:6">
      <c r="A3" s="73"/>
    </row>
    <row r="4" spans="1:6">
      <c r="A4" s="73"/>
      <c r="B4" s="73"/>
      <c r="C4" s="73"/>
    </row>
    <row r="5" spans="1:6">
      <c r="A5" s="73"/>
      <c r="B5" s="73"/>
      <c r="C5" s="73"/>
    </row>
    <row r="7" spans="1:6">
      <c r="A7" s="122"/>
    </row>
    <row r="9" spans="1:6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82</v>
      </c>
    </row>
    <row r="10" spans="1:6" ht="15.75" thickBot="1">
      <c r="A10" s="124"/>
      <c r="B10" s="125"/>
      <c r="C10" s="124"/>
      <c r="D10" s="126"/>
      <c r="E10" s="127"/>
      <c r="F10" s="127"/>
    </row>
    <row r="11" spans="1:6">
      <c r="A11" s="124"/>
      <c r="B11" s="128"/>
      <c r="C11" s="124"/>
      <c r="D11" s="124"/>
      <c r="E11" s="127"/>
      <c r="F11" s="127"/>
    </row>
    <row r="12" spans="1:6">
      <c r="A12" s="124"/>
      <c r="B12" s="129"/>
      <c r="C12" s="124"/>
      <c r="D12" s="124"/>
      <c r="E12" s="127"/>
      <c r="F12" s="127"/>
    </row>
    <row r="13" spans="1:6">
      <c r="A13" s="124"/>
      <c r="B13" s="125"/>
      <c r="C13" s="124"/>
      <c r="D13" s="124"/>
      <c r="E13" s="127"/>
      <c r="F13" s="127"/>
    </row>
    <row r="14" spans="1:6">
      <c r="A14" s="47" t="s">
        <v>83</v>
      </c>
      <c r="E14" s="121"/>
      <c r="F14" s="130">
        <f>SUM(F10:F13)</f>
        <v>0</v>
      </c>
    </row>
    <row r="15" spans="1:6">
      <c r="A15" s="47" t="s">
        <v>84</v>
      </c>
      <c r="E15" s="121"/>
      <c r="F15" s="130">
        <f>SUM(F14)</f>
        <v>0</v>
      </c>
    </row>
    <row r="16" spans="1:6">
      <c r="A16" s="47" t="s">
        <v>85</v>
      </c>
      <c r="E16" s="121"/>
      <c r="F16" s="130">
        <f>SUM(F15)*1.2</f>
        <v>0</v>
      </c>
    </row>
    <row r="17" spans="1:6">
      <c r="A17" s="47" t="s">
        <v>86</v>
      </c>
      <c r="E17" s="131" t="s">
        <v>56</v>
      </c>
      <c r="F17" s="131">
        <v>16167490</v>
      </c>
    </row>
    <row r="18" spans="1:6">
      <c r="A18" s="47" t="s">
        <v>87</v>
      </c>
      <c r="E18" s="73" t="s">
        <v>58</v>
      </c>
      <c r="F18" s="131">
        <v>817400</v>
      </c>
    </row>
    <row r="19" spans="1:6">
      <c r="E19" s="73" t="s">
        <v>88</v>
      </c>
      <c r="F19" s="131">
        <v>2020076</v>
      </c>
    </row>
    <row r="20" spans="1:6">
      <c r="E20" s="47" t="s">
        <v>61</v>
      </c>
      <c r="F20" s="132">
        <f>18518570+191589</f>
        <v>18710159</v>
      </c>
    </row>
    <row r="21" spans="1:6">
      <c r="E21" s="47" t="s">
        <v>62</v>
      </c>
      <c r="F21" s="132">
        <v>6980600</v>
      </c>
    </row>
    <row r="22" spans="1:6">
      <c r="A22" s="47" t="s">
        <v>89</v>
      </c>
      <c r="D22" s="47" t="s">
        <v>90</v>
      </c>
    </row>
    <row r="24" spans="1:6">
      <c r="A24" s="47" t="s">
        <v>91</v>
      </c>
      <c r="B24" s="47" t="s">
        <v>92</v>
      </c>
      <c r="D24" s="47" t="s">
        <v>93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F3BC-CB3B-4F23-8773-412EFF66193F}">
  <sheetPr codeName="Лист56"/>
  <dimension ref="A1:C137"/>
  <sheetViews>
    <sheetView topLeftCell="A93" workbookViewId="0">
      <selection activeCell="C138" sqref="C138"/>
    </sheetView>
  </sheetViews>
  <sheetFormatPr defaultRowHeight="15"/>
  <cols>
    <col min="1" max="2" width="9.140625" style="134"/>
    <col min="3" max="3" width="32" style="134" customWidth="1"/>
    <col min="4" max="16384" width="9.140625" style="134"/>
  </cols>
  <sheetData>
    <row r="1" spans="1:3">
      <c r="A1" s="134" t="s">
        <v>67</v>
      </c>
      <c r="B1" s="134" t="s">
        <v>28</v>
      </c>
      <c r="C1" s="133">
        <f ca="1">INDEX(INDIRECT("ИТОГО!$B$45:$L$54"),MATCH(Сводка!B1,INDIRECT("ИТОГО!$A$45:$A$54"),0),MATCH(Сводка!A1,INDIRECT("ИТОГО!$B$44:$L$44"),0))</f>
        <v>9054.69</v>
      </c>
    </row>
    <row r="2" spans="1:3">
      <c r="A2" s="134" t="s">
        <v>68</v>
      </c>
      <c r="B2" s="134" t="s">
        <v>28</v>
      </c>
      <c r="C2" s="133">
        <f ca="1">INDEX(INDIRECT("ИТОГО!$B$45:$L$54"),MATCH(Сводка!B2,INDIRECT("ИТОГО!$A$45:$A$54"),0),MATCH(Сводка!A2,INDIRECT("ИТОГО!$B$44:$L$44"),0))</f>
        <v>228458.8</v>
      </c>
    </row>
    <row r="3" spans="1:3">
      <c r="A3" s="134" t="s">
        <v>69</v>
      </c>
      <c r="B3" s="134" t="s">
        <v>28</v>
      </c>
      <c r="C3" s="133">
        <f ca="1">INDEX(INDIRECT("ИТОГО!$B$45:$L$54"),MATCH(Сводка!B3,INDIRECT("ИТОГО!$A$45:$A$54"),0),MATCH(Сводка!A3,INDIRECT("ИТОГО!$B$44:$L$44"),0))</f>
        <v>6925025.6299999999</v>
      </c>
    </row>
    <row r="4" spans="1:3">
      <c r="A4" s="134" t="s">
        <v>70</v>
      </c>
      <c r="B4" s="134" t="s">
        <v>28</v>
      </c>
      <c r="C4" s="133">
        <f ca="1">INDEX(INDIRECT("ИТОГО!$B$45:$L$54"),MATCH(Сводка!B4,INDIRECT("ИТОГО!$A$45:$A$54"),0),MATCH(Сводка!A4,INDIRECT("ИТОГО!$B$44:$L$44"),0))</f>
        <v>0</v>
      </c>
    </row>
    <row r="5" spans="1:3">
      <c r="A5" s="134" t="s">
        <v>71</v>
      </c>
      <c r="B5" s="134" t="s">
        <v>28</v>
      </c>
      <c r="C5" s="133">
        <f ca="1">INDEX(INDIRECT("ИТОГО!$B$45:$L$54"),MATCH(Сводка!B5,INDIRECT("ИТОГО!$A$45:$A$54"),0),MATCH(Сводка!A5,INDIRECT("ИТОГО!$B$44:$L$44"),0))</f>
        <v>0</v>
      </c>
    </row>
    <row r="6" spans="1:3">
      <c r="A6" s="134" t="s">
        <v>53</v>
      </c>
      <c r="B6" s="134" t="s">
        <v>28</v>
      </c>
      <c r="C6" s="133">
        <f ca="1">INDEX(INDIRECT("ИТОГО!$B$45:$L$54"),MATCH(Сводка!B6,INDIRECT("ИТОГО!$A$45:$A$54"),0),MATCH(Сводка!A6,INDIRECT("ИТОГО!$B$44:$L$44"),0))</f>
        <v>0</v>
      </c>
    </row>
    <row r="7" spans="1:3">
      <c r="A7" s="134" t="s">
        <v>72</v>
      </c>
      <c r="B7" s="134" t="s">
        <v>28</v>
      </c>
      <c r="C7" s="133">
        <f ca="1">INDEX(INDIRECT("ИТОГО!$B$45:$L$54"),MATCH(Сводка!B7,INDIRECT("ИТОГО!$A$45:$A$54"),0),MATCH(Сводка!A7,INDIRECT("ИТОГО!$B$44:$L$44"),0))</f>
        <v>0</v>
      </c>
    </row>
    <row r="8" spans="1:3">
      <c r="A8" s="134" t="s">
        <v>73</v>
      </c>
      <c r="B8" s="134" t="s">
        <v>28</v>
      </c>
      <c r="C8" s="133">
        <f ca="1">INDEX(INDIRECT("ИТОГО!$B$45:$L$54"),MATCH(Сводка!B8,INDIRECT("ИТОГО!$A$45:$A$54"),0),MATCH(Сводка!A8,INDIRECT("ИТОГО!$B$44:$L$44"),0))</f>
        <v>0</v>
      </c>
    </row>
    <row r="9" spans="1:3">
      <c r="A9" s="134" t="s">
        <v>74</v>
      </c>
      <c r="B9" s="134" t="s">
        <v>28</v>
      </c>
      <c r="C9" s="133">
        <f ca="1">INDEX(INDIRECT("ИТОГО!$B$45:$L$54"),MATCH(Сводка!B9,INDIRECT("ИТОГО!$A$45:$A$54"),0),MATCH(Сводка!A9,INDIRECT("ИТОГО!$B$44:$L$44"),0))</f>
        <v>0</v>
      </c>
    </row>
    <row r="10" spans="1:3">
      <c r="A10" s="134" t="s">
        <v>75</v>
      </c>
      <c r="B10" s="134" t="s">
        <v>28</v>
      </c>
      <c r="C10" s="133">
        <f ca="1">INDEX(INDIRECT("ИТОГО!$B$45:$L$54"),MATCH(Сводка!B10,INDIRECT("ИТОГО!$A$45:$A$54"),0),MATCH(Сводка!A10,INDIRECT("ИТОГО!$B$44:$L$44"),0))</f>
        <v>0</v>
      </c>
    </row>
    <row r="11" spans="1:3">
      <c r="A11" s="134" t="s">
        <v>76</v>
      </c>
      <c r="B11" s="134" t="s">
        <v>28</v>
      </c>
      <c r="C11" s="133">
        <f ca="1">INDEX(INDIRECT("ИТОГО!$B$45:$L$54"),MATCH(Сводка!B11,INDIRECT("ИТОГО!$A$45:$A$54"),0),MATCH(Сводка!A11,INDIRECT("ИТОГО!$B$44:$L$44"),0))</f>
        <v>0</v>
      </c>
    </row>
    <row r="12" spans="1:3">
      <c r="A12" s="134" t="s">
        <v>67</v>
      </c>
      <c r="B12" s="134" t="s">
        <v>30</v>
      </c>
      <c r="C12" s="133">
        <f ca="1">INDEX(INDIRECT("ИТОГО!$B$45:$L$54"),MATCH(Сводка!B12,INDIRECT("ИТОГО!$A$45:$A$54"),0),MATCH(Сводка!A12,INDIRECT("ИТОГО!$B$44:$L$44"),0))</f>
        <v>46250.75</v>
      </c>
    </row>
    <row r="13" spans="1:3">
      <c r="A13" s="134" t="s">
        <v>68</v>
      </c>
      <c r="B13" s="134" t="s">
        <v>30</v>
      </c>
      <c r="C13" s="133">
        <f ca="1">INDEX(INDIRECT("ИТОГО!$B$45:$L$54"),MATCH(Сводка!B13,INDIRECT("ИТОГО!$A$45:$A$54"),0),MATCH(Сводка!A13,INDIRECT("ИТОГО!$B$44:$L$44"),0))</f>
        <v>23199.32</v>
      </c>
    </row>
    <row r="14" spans="1:3">
      <c r="A14" s="134" t="s">
        <v>69</v>
      </c>
      <c r="B14" s="134" t="s">
        <v>30</v>
      </c>
      <c r="C14" s="133">
        <f ca="1">INDEX(INDIRECT("ИТОГО!$B$45:$L$54"),MATCH(Сводка!B14,INDIRECT("ИТОГО!$A$45:$A$54"),0),MATCH(Сводка!A14,INDIRECT("ИТОГО!$B$44:$L$44"),0))</f>
        <v>10502588.029999999</v>
      </c>
    </row>
    <row r="15" spans="1:3">
      <c r="A15" s="134" t="s">
        <v>70</v>
      </c>
      <c r="B15" s="134" t="s">
        <v>30</v>
      </c>
      <c r="C15" s="133">
        <f ca="1">INDEX(INDIRECT("ИТОГО!$B$45:$L$54"),MATCH(Сводка!B15,INDIRECT("ИТОГО!$A$45:$A$54"),0),MATCH(Сводка!A15,INDIRECT("ИТОГО!$B$44:$L$44"),0))</f>
        <v>0</v>
      </c>
    </row>
    <row r="16" spans="1:3">
      <c r="A16" s="134" t="s">
        <v>71</v>
      </c>
      <c r="B16" s="134" t="s">
        <v>30</v>
      </c>
      <c r="C16" s="133">
        <f ca="1">INDEX(INDIRECT("ИТОГО!$B$45:$L$54"),MATCH(Сводка!B16,INDIRECT("ИТОГО!$A$45:$A$54"),0),MATCH(Сводка!A16,INDIRECT("ИТОГО!$B$44:$L$44"),0))</f>
        <v>0</v>
      </c>
    </row>
    <row r="17" spans="1:3">
      <c r="A17" s="134" t="s">
        <v>53</v>
      </c>
      <c r="B17" s="134" t="s">
        <v>30</v>
      </c>
      <c r="C17" s="133">
        <f ca="1">INDEX(INDIRECT("ИТОГО!$B$45:$L$54"),MATCH(Сводка!B17,INDIRECT("ИТОГО!$A$45:$A$54"),0),MATCH(Сводка!A17,INDIRECT("ИТОГО!$B$44:$L$44"),0))</f>
        <v>0</v>
      </c>
    </row>
    <row r="18" spans="1:3">
      <c r="A18" s="134" t="s">
        <v>72</v>
      </c>
      <c r="B18" s="134" t="s">
        <v>30</v>
      </c>
      <c r="C18" s="133">
        <f ca="1">INDEX(INDIRECT("ИТОГО!$B$45:$L$54"),MATCH(Сводка!B18,INDIRECT("ИТОГО!$A$45:$A$54"),0),MATCH(Сводка!A18,INDIRECT("ИТОГО!$B$44:$L$44"),0))</f>
        <v>0</v>
      </c>
    </row>
    <row r="19" spans="1:3">
      <c r="A19" s="134" t="s">
        <v>73</v>
      </c>
      <c r="B19" s="134" t="s">
        <v>30</v>
      </c>
      <c r="C19" s="133">
        <f ca="1">INDEX(INDIRECT("ИТОГО!$B$45:$L$54"),MATCH(Сводка!B19,INDIRECT("ИТОГО!$A$45:$A$54"),0),MATCH(Сводка!A19,INDIRECT("ИТОГО!$B$44:$L$44"),0))</f>
        <v>0</v>
      </c>
    </row>
    <row r="20" spans="1:3">
      <c r="A20" s="134" t="s">
        <v>74</v>
      </c>
      <c r="B20" s="134" t="s">
        <v>30</v>
      </c>
      <c r="C20" s="133">
        <f ca="1">INDEX(INDIRECT("ИТОГО!$B$45:$L$54"),MATCH(Сводка!B20,INDIRECT("ИТОГО!$A$45:$A$54"),0),MATCH(Сводка!A20,INDIRECT("ИТОГО!$B$44:$L$44"),0))</f>
        <v>0</v>
      </c>
    </row>
    <row r="21" spans="1:3">
      <c r="A21" s="134" t="s">
        <v>75</v>
      </c>
      <c r="B21" s="134" t="s">
        <v>30</v>
      </c>
      <c r="C21" s="133">
        <f ca="1">INDEX(INDIRECT("ИТОГО!$B$45:$L$54"),MATCH(Сводка!B21,INDIRECT("ИТОГО!$A$45:$A$54"),0),MATCH(Сводка!A21,INDIRECT("ИТОГО!$B$44:$L$44"),0))</f>
        <v>0</v>
      </c>
    </row>
    <row r="22" spans="1:3">
      <c r="A22" s="134" t="s">
        <v>76</v>
      </c>
      <c r="B22" s="134" t="s">
        <v>30</v>
      </c>
      <c r="C22" s="133">
        <f ca="1">INDEX(INDIRECT("ИТОГО!$B$45:$L$54"),MATCH(Сводка!B22,INDIRECT("ИТОГО!$A$45:$A$54"),0),MATCH(Сводка!A22,INDIRECT("ИТОГО!$B$44:$L$44"),0))</f>
        <v>0</v>
      </c>
    </row>
    <row r="23" spans="1:3">
      <c r="A23" s="134" t="s">
        <v>67</v>
      </c>
      <c r="B23" s="134" t="s">
        <v>36</v>
      </c>
      <c r="C23" s="133">
        <f ca="1">INDEX(INDIRECT("ИТОГО!$B$45:$L$54"),MATCH(Сводка!B23,INDIRECT("ИТОГО!$A$45:$A$54"),0),MATCH(Сводка!A23,INDIRECT("ИТОГО!$B$44:$L$44"),0))</f>
        <v>0</v>
      </c>
    </row>
    <row r="24" spans="1:3">
      <c r="A24" s="134" t="s">
        <v>68</v>
      </c>
      <c r="B24" s="134" t="s">
        <v>36</v>
      </c>
      <c r="C24" s="133">
        <f ca="1">INDEX(INDIRECT("ИТОГО!$B$45:$L$54"),MATCH(Сводка!B24,INDIRECT("ИТОГО!$A$45:$A$54"),0),MATCH(Сводка!A24,INDIRECT("ИТОГО!$B$44:$L$44"),0))</f>
        <v>0</v>
      </c>
    </row>
    <row r="25" spans="1:3">
      <c r="A25" s="134" t="s">
        <v>69</v>
      </c>
      <c r="B25" s="134" t="s">
        <v>36</v>
      </c>
      <c r="C25" s="133">
        <f ca="1">INDEX(INDIRECT("ИТОГО!$B$45:$L$54"),MATCH(Сводка!B25,INDIRECT("ИТОГО!$A$45:$A$54"),0),MATCH(Сводка!A25,INDIRECT("ИТОГО!$B$44:$L$44"),0))</f>
        <v>0</v>
      </c>
    </row>
    <row r="26" spans="1:3">
      <c r="A26" s="134" t="s">
        <v>70</v>
      </c>
      <c r="B26" s="134" t="s">
        <v>36</v>
      </c>
      <c r="C26" s="133">
        <f ca="1">INDEX(INDIRECT("ИТОГО!$B$45:$L$54"),MATCH(Сводка!B26,INDIRECT("ИТОГО!$A$45:$A$54"),0),MATCH(Сводка!A26,INDIRECT("ИТОГО!$B$44:$L$44"),0))</f>
        <v>0</v>
      </c>
    </row>
    <row r="27" spans="1:3">
      <c r="A27" s="134" t="s">
        <v>71</v>
      </c>
      <c r="B27" s="134" t="s">
        <v>36</v>
      </c>
      <c r="C27" s="133">
        <f ca="1">INDEX(INDIRECT("ИТОГО!$B$45:$L$54"),MATCH(Сводка!B27,INDIRECT("ИТОГО!$A$45:$A$54"),0),MATCH(Сводка!A27,INDIRECT("ИТОГО!$B$44:$L$44"),0))</f>
        <v>3109052.18</v>
      </c>
    </row>
    <row r="28" spans="1:3">
      <c r="A28" s="134" t="s">
        <v>53</v>
      </c>
      <c r="B28" s="134" t="s">
        <v>36</v>
      </c>
      <c r="C28" s="133">
        <f ca="1">INDEX(INDIRECT("ИТОГО!$B$45:$L$54"),MATCH(Сводка!B28,INDIRECT("ИТОГО!$A$45:$A$54"),0),MATCH(Сводка!A28,INDIRECT("ИТОГО!$B$44:$L$44"),0))</f>
        <v>0</v>
      </c>
    </row>
    <row r="29" spans="1:3">
      <c r="A29" s="134" t="s">
        <v>72</v>
      </c>
      <c r="B29" s="134" t="s">
        <v>36</v>
      </c>
      <c r="C29" s="133">
        <f ca="1">INDEX(INDIRECT("ИТОГО!$B$45:$L$54"),MATCH(Сводка!B29,INDIRECT("ИТОГО!$A$45:$A$54"),0),MATCH(Сводка!A29,INDIRECT("ИТОГО!$B$44:$L$44"),0))</f>
        <v>0</v>
      </c>
    </row>
    <row r="30" spans="1:3">
      <c r="A30" s="134" t="s">
        <v>73</v>
      </c>
      <c r="B30" s="134" t="s">
        <v>36</v>
      </c>
      <c r="C30" s="133">
        <f ca="1">INDEX(INDIRECT("ИТОГО!$B$45:$L$54"),MATCH(Сводка!B30,INDIRECT("ИТОГО!$A$45:$A$54"),0),MATCH(Сводка!A30,INDIRECT("ИТОГО!$B$44:$L$44"),0))</f>
        <v>0</v>
      </c>
    </row>
    <row r="31" spans="1:3">
      <c r="A31" s="134" t="s">
        <v>74</v>
      </c>
      <c r="B31" s="134" t="s">
        <v>36</v>
      </c>
      <c r="C31" s="133">
        <f ca="1">INDEX(INDIRECT("ИТОГО!$B$45:$L$54"),MATCH(Сводка!B31,INDIRECT("ИТОГО!$A$45:$A$54"),0),MATCH(Сводка!A31,INDIRECT("ИТОГО!$B$44:$L$44"),0))</f>
        <v>863.71</v>
      </c>
    </row>
    <row r="32" spans="1:3">
      <c r="A32" s="134" t="s">
        <v>75</v>
      </c>
      <c r="B32" s="134" t="s">
        <v>36</v>
      </c>
      <c r="C32" s="133">
        <f ca="1">INDEX(INDIRECT("ИТОГО!$B$45:$L$54"),MATCH(Сводка!B32,INDIRECT("ИТОГО!$A$45:$A$54"),0),MATCH(Сводка!A32,INDIRECT("ИТОГО!$B$44:$L$44"),0))</f>
        <v>90280</v>
      </c>
    </row>
    <row r="33" spans="1:3">
      <c r="A33" s="134" t="s">
        <v>76</v>
      </c>
      <c r="B33" s="134" t="s">
        <v>36</v>
      </c>
      <c r="C33" s="133">
        <f ca="1">INDEX(INDIRECT("ИТОГО!$B$45:$L$54"),MATCH(Сводка!B33,INDIRECT("ИТОГО!$A$45:$A$54"),0),MATCH(Сводка!A33,INDIRECT("ИТОГО!$B$44:$L$44"),0))</f>
        <v>0</v>
      </c>
    </row>
    <row r="34" spans="1:3">
      <c r="A34" s="134" t="s">
        <v>67</v>
      </c>
      <c r="B34" s="134" t="s">
        <v>31</v>
      </c>
      <c r="C34" s="133">
        <f ca="1">INDEX(INDIRECT("ИТОГО!$B$45:$L$54"),MATCH(Сводка!B34,INDIRECT("ИТОГО!$A$45:$A$54"),0),MATCH(Сводка!A34,INDIRECT("ИТОГО!$B$44:$L$44"),0))</f>
        <v>2339.9</v>
      </c>
    </row>
    <row r="35" spans="1:3">
      <c r="A35" s="134" t="s">
        <v>68</v>
      </c>
      <c r="B35" s="134" t="s">
        <v>31</v>
      </c>
      <c r="C35" s="133">
        <f ca="1">INDEX(INDIRECT("ИТОГО!$B$45:$L$54"),MATCH(Сводка!B35,INDIRECT("ИТОГО!$A$45:$A$54"),0),MATCH(Сводка!A35,INDIRECT("ИТОГО!$B$44:$L$44"),0))</f>
        <v>544493.36</v>
      </c>
    </row>
    <row r="36" spans="1:3">
      <c r="A36" s="134" t="s">
        <v>69</v>
      </c>
      <c r="B36" s="134" t="s">
        <v>31</v>
      </c>
      <c r="C36" s="133">
        <f ca="1">INDEX(INDIRECT("ИТОГО!$B$45:$L$54"),MATCH(Сводка!B36,INDIRECT("ИТОГО!$A$45:$A$54"),0),MATCH(Сводка!A36,INDIRECT("ИТОГО!$B$44:$L$44"),0))</f>
        <v>10871013.76</v>
      </c>
    </row>
    <row r="37" spans="1:3">
      <c r="A37" s="134" t="s">
        <v>70</v>
      </c>
      <c r="B37" s="134" t="s">
        <v>31</v>
      </c>
      <c r="C37" s="133">
        <f ca="1">INDEX(INDIRECT("ИТОГО!$B$45:$L$54"),MATCH(Сводка!B37,INDIRECT("ИТОГО!$A$45:$A$54"),0),MATCH(Сводка!A37,INDIRECT("ИТОГО!$B$44:$L$44"),0))</f>
        <v>0</v>
      </c>
    </row>
    <row r="38" spans="1:3">
      <c r="A38" s="134" t="s">
        <v>71</v>
      </c>
      <c r="B38" s="134" t="s">
        <v>31</v>
      </c>
      <c r="C38" s="133">
        <f ca="1">INDEX(INDIRECT("ИТОГО!$B$45:$L$54"),MATCH(Сводка!B38,INDIRECT("ИТОГО!$A$45:$A$54"),0),MATCH(Сводка!A38,INDIRECT("ИТОГО!$B$44:$L$44"),0))</f>
        <v>0</v>
      </c>
    </row>
    <row r="39" spans="1:3">
      <c r="A39" s="134" t="s">
        <v>53</v>
      </c>
      <c r="B39" s="134" t="s">
        <v>31</v>
      </c>
      <c r="C39" s="133">
        <f ca="1">INDEX(INDIRECT("ИТОГО!$B$45:$L$54"),MATCH(Сводка!B39,INDIRECT("ИТОГО!$A$45:$A$54"),0),MATCH(Сводка!A39,INDIRECT("ИТОГО!$B$44:$L$44"),0))</f>
        <v>0</v>
      </c>
    </row>
    <row r="40" spans="1:3">
      <c r="A40" s="134" t="s">
        <v>72</v>
      </c>
      <c r="B40" s="134" t="s">
        <v>31</v>
      </c>
      <c r="C40" s="133">
        <f ca="1">INDEX(INDIRECT("ИТОГО!$B$45:$L$54"),MATCH(Сводка!B40,INDIRECT("ИТОГО!$A$45:$A$54"),0),MATCH(Сводка!A40,INDIRECT("ИТОГО!$B$44:$L$44"),0))</f>
        <v>0</v>
      </c>
    </row>
    <row r="41" spans="1:3">
      <c r="A41" s="134" t="s">
        <v>73</v>
      </c>
      <c r="B41" s="134" t="s">
        <v>31</v>
      </c>
      <c r="C41" s="133">
        <f ca="1">INDEX(INDIRECT("ИТОГО!$B$45:$L$54"),MATCH(Сводка!B41,INDIRECT("ИТОГО!$A$45:$A$54"),0),MATCH(Сводка!A41,INDIRECT("ИТОГО!$B$44:$L$44"),0))</f>
        <v>0</v>
      </c>
    </row>
    <row r="42" spans="1:3">
      <c r="A42" s="134" t="s">
        <v>74</v>
      </c>
      <c r="B42" s="134" t="s">
        <v>31</v>
      </c>
      <c r="C42" s="133">
        <f ca="1">INDEX(INDIRECT("ИТОГО!$B$45:$L$54"),MATCH(Сводка!B42,INDIRECT("ИТОГО!$A$45:$A$54"),0),MATCH(Сводка!A42,INDIRECT("ИТОГО!$B$44:$L$44"),0))</f>
        <v>119317.43</v>
      </c>
    </row>
    <row r="43" spans="1:3">
      <c r="A43" s="134" t="s">
        <v>75</v>
      </c>
      <c r="B43" s="134" t="s">
        <v>31</v>
      </c>
      <c r="C43" s="133">
        <f ca="1">INDEX(INDIRECT("ИТОГО!$B$45:$L$54"),MATCH(Сводка!B43,INDIRECT("ИТОГО!$A$45:$A$54"),0),MATCH(Сводка!A43,INDIRECT("ИТОГО!$B$44:$L$44"),0))</f>
        <v>202520</v>
      </c>
    </row>
    <row r="44" spans="1:3">
      <c r="A44" s="134" t="s">
        <v>76</v>
      </c>
      <c r="B44" s="134" t="s">
        <v>31</v>
      </c>
      <c r="C44" s="133">
        <f ca="1">INDEX(INDIRECT("ИТОГО!$B$45:$L$54"),MATCH(Сводка!B44,INDIRECT("ИТОГО!$A$45:$A$54"),0),MATCH(Сводка!A44,INDIRECT("ИТОГО!$B$44:$L$44"),0))</f>
        <v>0</v>
      </c>
    </row>
    <row r="45" spans="1:3">
      <c r="A45" s="134" t="s">
        <v>67</v>
      </c>
      <c r="B45" s="134" t="s">
        <v>35</v>
      </c>
      <c r="C45" s="133">
        <f ca="1">INDEX(INDIRECT("ИТОГО!$B$45:$L$54"),MATCH(Сводка!B45,INDIRECT("ИТОГО!$A$45:$A$54"),0),MATCH(Сводка!A45,INDIRECT("ИТОГО!$B$44:$L$44"),0))</f>
        <v>90575.72</v>
      </c>
    </row>
    <row r="46" spans="1:3">
      <c r="A46" s="134" t="s">
        <v>68</v>
      </c>
      <c r="B46" s="134" t="s">
        <v>35</v>
      </c>
      <c r="C46" s="133">
        <f ca="1">INDEX(INDIRECT("ИТОГО!$B$45:$L$54"),MATCH(Сводка!B46,INDIRECT("ИТОГО!$A$45:$A$54"),0),MATCH(Сводка!A46,INDIRECT("ИТОГО!$B$44:$L$44"),0))</f>
        <v>0</v>
      </c>
    </row>
    <row r="47" spans="1:3">
      <c r="A47" s="134" t="s">
        <v>69</v>
      </c>
      <c r="B47" s="134" t="s">
        <v>35</v>
      </c>
      <c r="C47" s="133">
        <f ca="1">INDEX(INDIRECT("ИТОГО!$B$45:$L$54"),MATCH(Сводка!B47,INDIRECT("ИТОГО!$A$45:$A$54"),0),MATCH(Сводка!A47,INDIRECT("ИТОГО!$B$44:$L$44"),0))</f>
        <v>7709763.4199999999</v>
      </c>
    </row>
    <row r="48" spans="1:3">
      <c r="A48" s="134" t="s">
        <v>70</v>
      </c>
      <c r="B48" s="134" t="s">
        <v>35</v>
      </c>
      <c r="C48" s="133">
        <f ca="1">INDEX(INDIRECT("ИТОГО!$B$45:$L$54"),MATCH(Сводка!B48,INDIRECT("ИТОГО!$A$45:$A$54"),0),MATCH(Сводка!A48,INDIRECT("ИТОГО!$B$44:$L$44"),0))</f>
        <v>0</v>
      </c>
    </row>
    <row r="49" spans="1:3">
      <c r="A49" s="134" t="s">
        <v>71</v>
      </c>
      <c r="B49" s="134" t="s">
        <v>35</v>
      </c>
      <c r="C49" s="133">
        <f ca="1">INDEX(INDIRECT("ИТОГО!$B$45:$L$54"),MATCH(Сводка!B49,INDIRECT("ИТОГО!$A$45:$A$54"),0),MATCH(Сводка!A49,INDIRECT("ИТОГО!$B$44:$L$44"),0))</f>
        <v>0</v>
      </c>
    </row>
    <row r="50" spans="1:3">
      <c r="A50" s="134" t="s">
        <v>53</v>
      </c>
      <c r="B50" s="134" t="s">
        <v>35</v>
      </c>
      <c r="C50" s="133">
        <f ca="1">INDEX(INDIRECT("ИТОГО!$B$45:$L$54"),MATCH(Сводка!B50,INDIRECT("ИТОГО!$A$45:$A$54"),0),MATCH(Сводка!A50,INDIRECT("ИТОГО!$B$44:$L$44"),0))</f>
        <v>824431.68</v>
      </c>
    </row>
    <row r="51" spans="1:3">
      <c r="A51" s="134" t="s">
        <v>72</v>
      </c>
      <c r="B51" s="134" t="s">
        <v>35</v>
      </c>
      <c r="C51" s="133">
        <f ca="1">INDEX(INDIRECT("ИТОГО!$B$45:$L$54"),MATCH(Сводка!B51,INDIRECT("ИТОГО!$A$45:$A$54"),0),MATCH(Сводка!A51,INDIRECT("ИТОГО!$B$44:$L$44"),0))</f>
        <v>0</v>
      </c>
    </row>
    <row r="52" spans="1:3">
      <c r="A52" s="134" t="s">
        <v>73</v>
      </c>
      <c r="B52" s="134" t="s">
        <v>35</v>
      </c>
      <c r="C52" s="133">
        <f ca="1">INDEX(INDIRECT("ИТОГО!$B$45:$L$54"),MATCH(Сводка!B52,INDIRECT("ИТОГО!$A$45:$A$54"),0),MATCH(Сводка!A52,INDIRECT("ИТОГО!$B$44:$L$44"),0))</f>
        <v>0</v>
      </c>
    </row>
    <row r="53" spans="1:3">
      <c r="A53" s="134" t="s">
        <v>74</v>
      </c>
      <c r="B53" s="134" t="s">
        <v>35</v>
      </c>
      <c r="C53" s="133">
        <f ca="1">INDEX(INDIRECT("ИТОГО!$B$45:$L$54"),MATCH(Сводка!B53,INDIRECT("ИТОГО!$A$45:$A$54"),0),MATCH(Сводка!A53,INDIRECT("ИТОГО!$B$44:$L$44"),0))</f>
        <v>0</v>
      </c>
    </row>
    <row r="54" spans="1:3">
      <c r="A54" s="134" t="s">
        <v>75</v>
      </c>
      <c r="B54" s="134" t="s">
        <v>35</v>
      </c>
      <c r="C54" s="133">
        <f ca="1">INDEX(INDIRECT("ИТОГО!$B$45:$L$54"),MATCH(Сводка!B54,INDIRECT("ИТОГО!$A$45:$A$54"),0),MATCH(Сводка!A54,INDIRECT("ИТОГО!$B$44:$L$44"),0))</f>
        <v>39040</v>
      </c>
    </row>
    <row r="55" spans="1:3">
      <c r="A55" s="134" t="s">
        <v>76</v>
      </c>
      <c r="B55" s="134" t="s">
        <v>35</v>
      </c>
      <c r="C55" s="133">
        <f ca="1">INDEX(INDIRECT("ИТОГО!$B$45:$L$54"),MATCH(Сводка!B55,INDIRECT("ИТОГО!$A$45:$A$54"),0),MATCH(Сводка!A55,INDIRECT("ИТОГО!$B$44:$L$44"),0))</f>
        <v>458419.88</v>
      </c>
    </row>
    <row r="56" spans="1:3">
      <c r="A56" s="134" t="s">
        <v>67</v>
      </c>
      <c r="B56" s="134" t="s">
        <v>32</v>
      </c>
      <c r="C56" s="133">
        <f ca="1">INDEX(INDIRECT("ИТОГО!$B$45:$L$54"),MATCH(Сводка!B56,INDIRECT("ИТОГО!$A$45:$A$54"),0),MATCH(Сводка!A56,INDIRECT("ИТОГО!$B$44:$L$44"),0))</f>
        <v>18683.419999999998</v>
      </c>
    </row>
    <row r="57" spans="1:3">
      <c r="A57" s="134" t="s">
        <v>68</v>
      </c>
      <c r="B57" s="134" t="s">
        <v>32</v>
      </c>
      <c r="C57" s="133">
        <f ca="1">INDEX(INDIRECT("ИТОГО!$B$45:$L$54"),MATCH(Сводка!B57,INDIRECT("ИТОГО!$A$45:$A$54"),0),MATCH(Сводка!A57,INDIRECT("ИТОГО!$B$44:$L$44"),0))</f>
        <v>135485.29</v>
      </c>
    </row>
    <row r="58" spans="1:3">
      <c r="A58" s="134" t="s">
        <v>69</v>
      </c>
      <c r="B58" s="134" t="s">
        <v>32</v>
      </c>
      <c r="C58" s="133">
        <f ca="1">INDEX(INDIRECT("ИТОГО!$B$45:$L$54"),MATCH(Сводка!B58,INDIRECT("ИТОГО!$A$45:$A$54"),0),MATCH(Сводка!A58,INDIRECT("ИТОГО!$B$44:$L$44"),0))</f>
        <v>4174708.47</v>
      </c>
    </row>
    <row r="59" spans="1:3">
      <c r="A59" s="134" t="s">
        <v>70</v>
      </c>
      <c r="B59" s="134" t="s">
        <v>32</v>
      </c>
      <c r="C59" s="133">
        <f ca="1">INDEX(INDIRECT("ИТОГО!$B$45:$L$54"),MATCH(Сводка!B59,INDIRECT("ИТОГО!$A$45:$A$54"),0),MATCH(Сводка!A59,INDIRECT("ИТОГО!$B$44:$L$44"),0))</f>
        <v>0</v>
      </c>
    </row>
    <row r="60" spans="1:3">
      <c r="A60" s="134" t="s">
        <v>71</v>
      </c>
      <c r="B60" s="134" t="s">
        <v>32</v>
      </c>
      <c r="C60" s="133">
        <f ca="1">INDEX(INDIRECT("ИТОГО!$B$45:$L$54"),MATCH(Сводка!B60,INDIRECT("ИТОГО!$A$45:$A$54"),0),MATCH(Сводка!A60,INDIRECT("ИТОГО!$B$44:$L$44"),0))</f>
        <v>0</v>
      </c>
    </row>
    <row r="61" spans="1:3">
      <c r="A61" s="134" t="s">
        <v>53</v>
      </c>
      <c r="B61" s="134" t="s">
        <v>32</v>
      </c>
      <c r="C61" s="133">
        <f ca="1">INDEX(INDIRECT("ИТОГО!$B$45:$L$54"),MATCH(Сводка!B61,INDIRECT("ИТОГО!$A$45:$A$54"),0),MATCH(Сводка!A61,INDIRECT("ИТОГО!$B$44:$L$44"),0))</f>
        <v>0</v>
      </c>
    </row>
    <row r="62" spans="1:3">
      <c r="A62" s="134" t="s">
        <v>72</v>
      </c>
      <c r="B62" s="134" t="s">
        <v>32</v>
      </c>
      <c r="C62" s="133">
        <f ca="1">INDEX(INDIRECT("ИТОГО!$B$45:$L$54"),MATCH(Сводка!B62,INDIRECT("ИТОГО!$A$45:$A$54"),0),MATCH(Сводка!A62,INDIRECT("ИТОГО!$B$44:$L$44"),0))</f>
        <v>0</v>
      </c>
    </row>
    <row r="63" spans="1:3">
      <c r="A63" s="134" t="s">
        <v>73</v>
      </c>
      <c r="B63" s="134" t="s">
        <v>32</v>
      </c>
      <c r="C63" s="133">
        <f ca="1">INDEX(INDIRECT("ИТОГО!$B$45:$L$54"),MATCH(Сводка!B63,INDIRECT("ИТОГО!$A$45:$A$54"),0),MATCH(Сводка!A63,INDIRECT("ИТОГО!$B$44:$L$44"),0))</f>
        <v>2280916.4500000002</v>
      </c>
    </row>
    <row r="64" spans="1:3">
      <c r="A64" s="134" t="s">
        <v>74</v>
      </c>
      <c r="B64" s="134" t="s">
        <v>32</v>
      </c>
      <c r="C64" s="133">
        <f ca="1">INDEX(INDIRECT("ИТОГО!$B$45:$L$54"),MATCH(Сводка!B64,INDIRECT("ИТОГО!$A$45:$A$54"),0),MATCH(Сводка!A64,INDIRECT("ИТОГО!$B$44:$L$44"),0))</f>
        <v>0</v>
      </c>
    </row>
    <row r="65" spans="1:3">
      <c r="A65" s="134" t="s">
        <v>75</v>
      </c>
      <c r="B65" s="134" t="s">
        <v>32</v>
      </c>
      <c r="C65" s="133">
        <f ca="1">INDEX(INDIRECT("ИТОГО!$B$45:$L$54"),MATCH(Сводка!B65,INDIRECT("ИТОГО!$A$45:$A$54"),0),MATCH(Сводка!A65,INDIRECT("ИТОГО!$B$44:$L$44"),0))</f>
        <v>0</v>
      </c>
    </row>
    <row r="66" spans="1:3">
      <c r="A66" s="134" t="s">
        <v>76</v>
      </c>
      <c r="B66" s="134" t="s">
        <v>32</v>
      </c>
      <c r="C66" s="133">
        <f ca="1">INDEX(INDIRECT("ИТОГО!$B$45:$L$54"),MATCH(Сводка!B66,INDIRECT("ИТОГО!$A$45:$A$54"),0),MATCH(Сводка!A66,INDIRECT("ИТОГО!$B$44:$L$44"),0))</f>
        <v>0</v>
      </c>
    </row>
    <row r="67" spans="1:3">
      <c r="A67" s="134" t="s">
        <v>67</v>
      </c>
      <c r="B67" s="134" t="s">
        <v>33</v>
      </c>
      <c r="C67" s="133">
        <f ca="1">INDEX(INDIRECT("ИТОГО!$B$45:$L$54"),MATCH(Сводка!B67,INDIRECT("ИТОГО!$A$45:$A$54"),0),MATCH(Сводка!A67,INDIRECT("ИТОГО!$B$44:$L$44"),0))</f>
        <v>0</v>
      </c>
    </row>
    <row r="68" spans="1:3">
      <c r="A68" s="134" t="s">
        <v>68</v>
      </c>
      <c r="B68" s="134" t="s">
        <v>33</v>
      </c>
      <c r="C68" s="133">
        <f ca="1">INDEX(INDIRECT("ИТОГО!$B$45:$L$54"),MATCH(Сводка!B68,INDIRECT("ИТОГО!$A$45:$A$54"),0),MATCH(Сводка!A68,INDIRECT("ИТОГО!$B$44:$L$44"),0))</f>
        <v>0</v>
      </c>
    </row>
    <row r="69" spans="1:3">
      <c r="A69" s="134" t="s">
        <v>69</v>
      </c>
      <c r="B69" s="134" t="s">
        <v>33</v>
      </c>
      <c r="C69" s="133">
        <f ca="1">INDEX(INDIRECT("ИТОГО!$B$45:$L$54"),MATCH(Сводка!B69,INDIRECT("ИТОГО!$A$45:$A$54"),0),MATCH(Сводка!A69,INDIRECT("ИТОГО!$B$44:$L$44"),0))</f>
        <v>0</v>
      </c>
    </row>
    <row r="70" spans="1:3">
      <c r="A70" s="134" t="s">
        <v>70</v>
      </c>
      <c r="B70" s="134" t="s">
        <v>33</v>
      </c>
      <c r="C70" s="133">
        <f ca="1">INDEX(INDIRECT("ИТОГО!$B$45:$L$54"),MATCH(Сводка!B70,INDIRECT("ИТОГО!$A$45:$A$54"),0),MATCH(Сводка!A70,INDIRECT("ИТОГО!$B$44:$L$44"),0))</f>
        <v>0</v>
      </c>
    </row>
    <row r="71" spans="1:3">
      <c r="A71" s="134" t="s">
        <v>71</v>
      </c>
      <c r="B71" s="134" t="s">
        <v>33</v>
      </c>
      <c r="C71" s="133">
        <f ca="1">INDEX(INDIRECT("ИТОГО!$B$45:$L$54"),MATCH(Сводка!B71,INDIRECT("ИТОГО!$A$45:$A$54"),0),MATCH(Сводка!A71,INDIRECT("ИТОГО!$B$44:$L$44"),0))</f>
        <v>0</v>
      </c>
    </row>
    <row r="72" spans="1:3">
      <c r="A72" s="134" t="s">
        <v>53</v>
      </c>
      <c r="B72" s="134" t="s">
        <v>33</v>
      </c>
      <c r="C72" s="133">
        <f ca="1">INDEX(INDIRECT("ИТОГО!$B$45:$L$54"),MATCH(Сводка!B72,INDIRECT("ИТОГО!$A$45:$A$54"),0),MATCH(Сводка!A72,INDIRECT("ИТОГО!$B$44:$L$44"),0))</f>
        <v>0</v>
      </c>
    </row>
    <row r="73" spans="1:3">
      <c r="A73" s="134" t="s">
        <v>72</v>
      </c>
      <c r="B73" s="134" t="s">
        <v>33</v>
      </c>
      <c r="C73" s="133">
        <f ca="1">INDEX(INDIRECT("ИТОГО!$B$45:$L$54"),MATCH(Сводка!B73,INDIRECT("ИТОГО!$A$45:$A$54"),0),MATCH(Сводка!A73,INDIRECT("ИТОГО!$B$44:$L$44"),0))</f>
        <v>0</v>
      </c>
    </row>
    <row r="74" spans="1:3">
      <c r="A74" s="134" t="s">
        <v>73</v>
      </c>
      <c r="B74" s="134" t="s">
        <v>33</v>
      </c>
      <c r="C74" s="133">
        <f ca="1">INDEX(INDIRECT("ИТОГО!$B$45:$L$54"),MATCH(Сводка!B74,INDIRECT("ИТОГО!$A$45:$A$54"),0),MATCH(Сводка!A74,INDIRECT("ИТОГО!$B$44:$L$44"),0))</f>
        <v>5803487.8200000003</v>
      </c>
    </row>
    <row r="75" spans="1:3">
      <c r="A75" s="134" t="s">
        <v>74</v>
      </c>
      <c r="B75" s="134" t="s">
        <v>33</v>
      </c>
      <c r="C75" s="133">
        <f ca="1">INDEX(INDIRECT("ИТОГО!$B$45:$L$54"),MATCH(Сводка!B75,INDIRECT("ИТОГО!$A$45:$A$54"),0),MATCH(Сводка!A75,INDIRECT("ИТОГО!$B$44:$L$44"),0))</f>
        <v>0</v>
      </c>
    </row>
    <row r="76" spans="1:3">
      <c r="A76" s="134" t="s">
        <v>75</v>
      </c>
      <c r="B76" s="134" t="s">
        <v>33</v>
      </c>
      <c r="C76" s="133">
        <f ca="1">INDEX(INDIRECT("ИТОГО!$B$45:$L$54"),MATCH(Сводка!B76,INDIRECT("ИТОГО!$A$45:$A$54"),0),MATCH(Сводка!A76,INDIRECT("ИТОГО!$B$44:$L$44"),0))</f>
        <v>0</v>
      </c>
    </row>
    <row r="77" spans="1:3">
      <c r="A77" s="134" t="s">
        <v>76</v>
      </c>
      <c r="B77" s="134" t="s">
        <v>33</v>
      </c>
      <c r="C77" s="133">
        <f ca="1">INDEX(INDIRECT("ИТОГО!$B$45:$L$54"),MATCH(Сводка!B77,INDIRECT("ИТОГО!$A$45:$A$54"),0),MATCH(Сводка!A77,INDIRECT("ИТОГО!$B$44:$L$44"),0))</f>
        <v>0</v>
      </c>
    </row>
    <row r="78" spans="1:3">
      <c r="A78" s="134" t="s">
        <v>67</v>
      </c>
      <c r="B78" s="134" t="s">
        <v>27</v>
      </c>
      <c r="C78" s="133">
        <f ca="1">INDEX(INDIRECT("ИТОГО!$B$45:$L$54"),MATCH(Сводка!B78,INDIRECT("ИТОГО!$A$45:$A$54"),0),MATCH(Сводка!A78,INDIRECT("ИТОГО!$B$44:$L$44"),0))</f>
        <v>0</v>
      </c>
    </row>
    <row r="79" spans="1:3">
      <c r="A79" s="134" t="s">
        <v>68</v>
      </c>
      <c r="B79" s="134" t="s">
        <v>27</v>
      </c>
      <c r="C79" s="133">
        <f ca="1">INDEX(INDIRECT("ИТОГО!$B$45:$L$54"),MATCH(Сводка!B79,INDIRECT("ИТОГО!$A$45:$A$54"),0),MATCH(Сводка!A79,INDIRECT("ИТОГО!$B$44:$L$44"),0))</f>
        <v>11689.14</v>
      </c>
    </row>
    <row r="80" spans="1:3">
      <c r="A80" s="134" t="s">
        <v>69</v>
      </c>
      <c r="B80" s="134" t="s">
        <v>27</v>
      </c>
      <c r="C80" s="133">
        <f ca="1">INDEX(INDIRECT("ИТОГО!$B$45:$L$54"),MATCH(Сводка!B80,INDIRECT("ИТОГО!$A$45:$A$54"),0),MATCH(Сводка!A80,INDIRECT("ИТОГО!$B$44:$L$44"),0))</f>
        <v>18442557.899999999</v>
      </c>
    </row>
    <row r="81" spans="1:3">
      <c r="A81" s="134" t="s">
        <v>70</v>
      </c>
      <c r="B81" s="134" t="s">
        <v>27</v>
      </c>
      <c r="C81" s="133">
        <f ca="1">INDEX(INDIRECT("ИТОГО!$B$45:$L$54"),MATCH(Сводка!B81,INDIRECT("ИТОГО!$A$45:$A$54"),0),MATCH(Сводка!A81,INDIRECT("ИТОГО!$B$44:$L$44"),0))</f>
        <v>0</v>
      </c>
    </row>
    <row r="82" spans="1:3">
      <c r="A82" s="134" t="s">
        <v>71</v>
      </c>
      <c r="B82" s="134" t="s">
        <v>27</v>
      </c>
      <c r="C82" s="133">
        <f ca="1">INDEX(INDIRECT("ИТОГО!$B$45:$L$54"),MATCH(Сводка!B82,INDIRECT("ИТОГО!$A$45:$A$54"),0),MATCH(Сводка!A82,INDIRECT("ИТОГО!$B$44:$L$44"),0))</f>
        <v>0</v>
      </c>
    </row>
    <row r="83" spans="1:3">
      <c r="A83" s="134" t="s">
        <v>53</v>
      </c>
      <c r="B83" s="134" t="s">
        <v>27</v>
      </c>
      <c r="C83" s="133">
        <f ca="1">INDEX(INDIRECT("ИТОГО!$B$45:$L$54"),MATCH(Сводка!B83,INDIRECT("ИТОГО!$A$45:$A$54"),0),MATCH(Сводка!A83,INDIRECT("ИТОГО!$B$44:$L$44"),0))</f>
        <v>0</v>
      </c>
    </row>
    <row r="84" spans="1:3">
      <c r="A84" s="134" t="s">
        <v>72</v>
      </c>
      <c r="B84" s="134" t="s">
        <v>27</v>
      </c>
      <c r="C84" s="133">
        <f ca="1">INDEX(INDIRECT("ИТОГО!$B$45:$L$54"),MATCH(Сводка!B84,INDIRECT("ИТОГО!$A$45:$A$54"),0),MATCH(Сводка!A84,INDIRECT("ИТОГО!$B$44:$L$44"),0))</f>
        <v>0</v>
      </c>
    </row>
    <row r="85" spans="1:3">
      <c r="A85" s="134" t="s">
        <v>73</v>
      </c>
      <c r="B85" s="134" t="s">
        <v>27</v>
      </c>
      <c r="C85" s="133">
        <f ca="1">INDEX(INDIRECT("ИТОГО!$B$45:$L$54"),MATCH(Сводка!B85,INDIRECT("ИТОГО!$A$45:$A$54"),0),MATCH(Сводка!A85,INDIRECT("ИТОГО!$B$44:$L$44"),0))</f>
        <v>0</v>
      </c>
    </row>
    <row r="86" spans="1:3">
      <c r="A86" s="134" t="s">
        <v>74</v>
      </c>
      <c r="B86" s="134" t="s">
        <v>27</v>
      </c>
      <c r="C86" s="133">
        <f ca="1">INDEX(INDIRECT("ИТОГО!$B$45:$L$54"),MATCH(Сводка!B86,INDIRECT("ИТОГО!$A$45:$A$54"),0),MATCH(Сводка!A86,INDIRECT("ИТОГО!$B$44:$L$44"),0))</f>
        <v>0</v>
      </c>
    </row>
    <row r="87" spans="1:3">
      <c r="A87" s="134" t="s">
        <v>75</v>
      </c>
      <c r="B87" s="134" t="s">
        <v>27</v>
      </c>
      <c r="C87" s="133">
        <f ca="1">INDEX(INDIRECT("ИТОГО!$B$45:$L$54"),MATCH(Сводка!B87,INDIRECT("ИТОГО!$A$45:$A$54"),0),MATCH(Сводка!A87,INDIRECT("ИТОГО!$B$44:$L$44"),0))</f>
        <v>43920</v>
      </c>
    </row>
    <row r="88" spans="1:3">
      <c r="A88" s="134" t="s">
        <v>76</v>
      </c>
      <c r="B88" s="134" t="s">
        <v>27</v>
      </c>
      <c r="C88" s="133">
        <f ca="1">INDEX(INDIRECT("ИТОГО!$B$45:$L$54"),MATCH(Сводка!B88,INDIRECT("ИТОГО!$A$45:$A$54"),0),MATCH(Сводка!A88,INDIRECT("ИТОГО!$B$44:$L$44"),0))</f>
        <v>0</v>
      </c>
    </row>
    <row r="89" spans="1:3">
      <c r="A89" s="134" t="s">
        <v>67</v>
      </c>
      <c r="B89" s="134" t="s">
        <v>34</v>
      </c>
      <c r="C89" s="133">
        <f ca="1">INDEX(INDIRECT("ИТОГО!$B$45:$L$54"),MATCH(Сводка!B89,INDIRECT("ИТОГО!$A$45:$A$54"),0),MATCH(Сводка!A89,INDIRECT("ИТОГО!$B$44:$L$44"),0))</f>
        <v>0</v>
      </c>
    </row>
    <row r="90" spans="1:3">
      <c r="A90" s="134" t="s">
        <v>68</v>
      </c>
      <c r="B90" s="134" t="s">
        <v>34</v>
      </c>
      <c r="C90" s="133">
        <f ca="1">INDEX(INDIRECT("ИТОГО!$B$45:$L$54"),MATCH(Сводка!B90,INDIRECT("ИТОГО!$A$45:$A$54"),0),MATCH(Сводка!A90,INDIRECT("ИТОГО!$B$44:$L$44"),0))</f>
        <v>0</v>
      </c>
    </row>
    <row r="91" spans="1:3">
      <c r="A91" s="134" t="s">
        <v>69</v>
      </c>
      <c r="B91" s="134" t="s">
        <v>34</v>
      </c>
      <c r="C91" s="133">
        <f ca="1">INDEX(INDIRECT("ИТОГО!$B$45:$L$54"),MATCH(Сводка!B91,INDIRECT("ИТОГО!$A$45:$A$54"),0),MATCH(Сводка!A91,INDIRECT("ИТОГО!$B$44:$L$44"),0))</f>
        <v>9595320.3699999992</v>
      </c>
    </row>
    <row r="92" spans="1:3">
      <c r="A92" s="134" t="s">
        <v>70</v>
      </c>
      <c r="B92" s="134" t="s">
        <v>34</v>
      </c>
      <c r="C92" s="133">
        <f ca="1">INDEX(INDIRECT("ИТОГО!$B$45:$L$54"),MATCH(Сводка!B92,INDIRECT("ИТОГО!$A$45:$A$54"),0),MATCH(Сводка!A92,INDIRECT("ИТОГО!$B$44:$L$44"),0))</f>
        <v>0</v>
      </c>
    </row>
    <row r="93" spans="1:3">
      <c r="A93" s="134" t="s">
        <v>71</v>
      </c>
      <c r="B93" s="134" t="s">
        <v>34</v>
      </c>
      <c r="C93" s="133">
        <f ca="1">INDEX(INDIRECT("ИТОГО!$B$45:$L$54"),MATCH(Сводка!B93,INDIRECT("ИТОГО!$A$45:$A$54"),0),MATCH(Сводка!A93,INDIRECT("ИТОГО!$B$44:$L$44"),0))</f>
        <v>0</v>
      </c>
    </row>
    <row r="94" spans="1:3">
      <c r="A94" s="134" t="s">
        <v>53</v>
      </c>
      <c r="B94" s="134" t="s">
        <v>34</v>
      </c>
      <c r="C94" s="133">
        <f ca="1">INDEX(INDIRECT("ИТОГО!$B$45:$L$54"),MATCH(Сводка!B94,INDIRECT("ИТОГО!$A$45:$A$54"),0),MATCH(Сводка!A94,INDIRECT("ИТОГО!$B$44:$L$44"),0))</f>
        <v>0</v>
      </c>
    </row>
    <row r="95" spans="1:3">
      <c r="A95" s="134" t="s">
        <v>72</v>
      </c>
      <c r="B95" s="134" t="s">
        <v>34</v>
      </c>
      <c r="C95" s="133">
        <f ca="1">INDEX(INDIRECT("ИТОГО!$B$45:$L$54"),MATCH(Сводка!B95,INDIRECT("ИТОГО!$A$45:$A$54"),0),MATCH(Сводка!A95,INDIRECT("ИТОГО!$B$44:$L$44"),0))</f>
        <v>0</v>
      </c>
    </row>
    <row r="96" spans="1:3">
      <c r="A96" s="134" t="s">
        <v>73</v>
      </c>
      <c r="B96" s="134" t="s">
        <v>34</v>
      </c>
      <c r="C96" s="133">
        <f ca="1">INDEX(INDIRECT("ИТОГО!$B$45:$L$54"),MATCH(Сводка!B96,INDIRECT("ИТОГО!$A$45:$A$54"),0),MATCH(Сводка!A96,INDIRECT("ИТОГО!$B$44:$L$44"),0))</f>
        <v>0</v>
      </c>
    </row>
    <row r="97" spans="1:3">
      <c r="A97" s="134" t="s">
        <v>74</v>
      </c>
      <c r="B97" s="134" t="s">
        <v>34</v>
      </c>
      <c r="C97" s="133">
        <f ca="1">INDEX(INDIRECT("ИТОГО!$B$45:$L$54"),MATCH(Сводка!B97,INDIRECT("ИТОГО!$A$45:$A$54"),0),MATCH(Сводка!A97,INDIRECT("ИТОГО!$B$44:$L$44"),0))</f>
        <v>0</v>
      </c>
    </row>
    <row r="98" spans="1:3">
      <c r="A98" s="134" t="s">
        <v>75</v>
      </c>
      <c r="B98" s="134" t="s">
        <v>34</v>
      </c>
      <c r="C98" s="133">
        <f ca="1">INDEX(INDIRECT("ИТОГО!$B$45:$L$54"),MATCH(Сводка!B98,INDIRECT("ИТОГО!$A$45:$A$54"),0),MATCH(Сводка!A98,INDIRECT("ИТОГО!$B$44:$L$44"),0))</f>
        <v>17080</v>
      </c>
    </row>
    <row r="99" spans="1:3">
      <c r="A99" s="134" t="s">
        <v>76</v>
      </c>
      <c r="B99" s="134" t="s">
        <v>34</v>
      </c>
      <c r="C99" s="133">
        <f ca="1">INDEX(INDIRECT("ИТОГО!$B$45:$L$54"),MATCH(Сводка!B99,INDIRECT("ИТОГО!$A$45:$A$54"),0),MATCH(Сводка!A99,INDIRECT("ИТОГО!$B$44:$L$44"),0))</f>
        <v>47616</v>
      </c>
    </row>
    <row r="100" spans="1:3">
      <c r="A100" s="134" t="s">
        <v>23</v>
      </c>
      <c r="B100" s="134" t="s">
        <v>28</v>
      </c>
      <c r="C100" s="133" cm="1">
        <f t="array" aca="1" ref="C100" ca="1">INDIRECT("ИТОГО!B57")</f>
        <v>256416.39749999999</v>
      </c>
    </row>
    <row r="101" spans="1:3">
      <c r="A101" s="134" t="s">
        <v>23</v>
      </c>
      <c r="B101" s="134" t="s">
        <v>30</v>
      </c>
      <c r="C101" s="133" cm="1">
        <f t="array" aca="1" ref="C101" ca="1">INDIRECT("ИТОГО!B58")</f>
        <v>209215.29900000006</v>
      </c>
    </row>
    <row r="102" spans="1:3">
      <c r="A102" s="134" t="s">
        <v>23</v>
      </c>
      <c r="B102" s="134" t="s">
        <v>39</v>
      </c>
      <c r="C102" s="133" cm="1">
        <f t="array" aca="1" ref="C102" ca="1">INDIRECT("ИТОГО!B67")</f>
        <v>5677203.8759999983</v>
      </c>
    </row>
    <row r="103" spans="1:3">
      <c r="A103" s="134" t="s">
        <v>56</v>
      </c>
      <c r="B103" s="134" t="s">
        <v>29</v>
      </c>
      <c r="C103" s="133" cm="1">
        <f t="array" aca="1" ref="C103" ca="1">INDIRECT("ИТОГО!C30")</f>
        <v>16167490</v>
      </c>
    </row>
    <row r="104" spans="1:3">
      <c r="A104" s="134" t="s">
        <v>57</v>
      </c>
      <c r="B104" s="134" t="s">
        <v>29</v>
      </c>
      <c r="C104" s="133" cm="1">
        <f t="array" aca="1" ref="C104" ca="1">INDIRECT("ИТОГО!C31")</f>
        <v>0</v>
      </c>
    </row>
    <row r="105" spans="1:3">
      <c r="A105" s="134" t="s">
        <v>58</v>
      </c>
      <c r="B105" s="134" t="s">
        <v>29</v>
      </c>
      <c r="C105" s="133" cm="1">
        <f t="array" aca="1" ref="C105" ca="1">INDIRECT("ИТОГО!C32")</f>
        <v>817400</v>
      </c>
    </row>
    <row r="106" spans="1:3">
      <c r="A106" s="134" t="s">
        <v>60</v>
      </c>
      <c r="B106" s="134" t="s">
        <v>29</v>
      </c>
      <c r="C106" s="133" cm="1">
        <f t="array" aca="1" ref="C106" ca="1">INDIRECT("ИТОГО!C33")</f>
        <v>2020076</v>
      </c>
    </row>
    <row r="107" spans="1:3">
      <c r="A107" s="134" t="s">
        <v>61</v>
      </c>
      <c r="B107" s="134" t="s">
        <v>29</v>
      </c>
      <c r="C107" s="133" cm="1">
        <f t="array" aca="1" ref="C107" ca="1">INDIRECT("ИТОГО!C34")</f>
        <v>18710159</v>
      </c>
    </row>
    <row r="108" spans="1:3">
      <c r="A108" s="134" t="s">
        <v>62</v>
      </c>
      <c r="B108" s="134" t="s">
        <v>29</v>
      </c>
      <c r="C108" s="133" cm="1">
        <f t="array" aca="1" ref="C108" ca="1">INDIRECT("ИТОГО!C35")</f>
        <v>6980600</v>
      </c>
    </row>
    <row r="109" spans="1:3">
      <c r="A109" s="134" t="s">
        <v>94</v>
      </c>
      <c r="B109" s="134" t="s">
        <v>29</v>
      </c>
      <c r="C109" s="133" cm="1">
        <f t="array" aca="1" ref="C109" ca="1">INDIRECT("ИТОГО!C38")</f>
        <v>2910816</v>
      </c>
    </row>
    <row r="110" spans="1:3">
      <c r="A110" s="134" t="s">
        <v>95</v>
      </c>
      <c r="B110" s="134" t="s">
        <v>29</v>
      </c>
      <c r="C110" s="133" cm="1">
        <f t="array" aca="1" ref="C110" ca="1">INDIRECT("ИТОГО!C39")</f>
        <v>7064220</v>
      </c>
    </row>
    <row r="111" spans="1:3">
      <c r="A111" s="134" t="s">
        <v>41</v>
      </c>
      <c r="B111" s="134" t="s">
        <v>28</v>
      </c>
      <c r="C111" s="133" cm="1">
        <f t="array" aca="1" ref="C111" ca="1">INDIRECT("ИТОГО!C19")</f>
        <v>24355</v>
      </c>
    </row>
    <row r="112" spans="1:3">
      <c r="A112" s="134" t="s">
        <v>43</v>
      </c>
      <c r="B112" s="134" t="s">
        <v>28</v>
      </c>
      <c r="C112" s="133" cm="1">
        <f t="array" aca="1" ref="C112" ca="1">INDIRECT("ИТОГО!C20")</f>
        <v>8928</v>
      </c>
    </row>
    <row r="113" spans="1:3">
      <c r="A113" s="134" t="s">
        <v>45</v>
      </c>
      <c r="B113" s="134" t="s">
        <v>28</v>
      </c>
      <c r="C113" s="133" cm="1">
        <f t="array" aca="1" ref="C113" ca="1">INDIRECT("ИТОГО!C21")</f>
        <v>20803</v>
      </c>
    </row>
    <row r="114" spans="1:3">
      <c r="A114" s="134" t="s">
        <v>47</v>
      </c>
      <c r="B114" s="134" t="s">
        <v>28</v>
      </c>
      <c r="C114" s="133" cm="1">
        <f t="array" aca="1" ref="C114" ca="1">INDIRECT("ИТОГО!C22")</f>
        <v>24151.199999999993</v>
      </c>
    </row>
    <row r="115" spans="1:3">
      <c r="A115" s="134" t="s">
        <v>49</v>
      </c>
      <c r="B115" s="134" t="s">
        <v>28</v>
      </c>
      <c r="C115" s="133" cm="1">
        <f t="array" aca="1" ref="C115" ca="1">INDIRECT("ИТОГО!C23")</f>
        <v>8608.8000000000011</v>
      </c>
    </row>
    <row r="116" spans="1:3">
      <c r="A116" s="134" t="s">
        <v>42</v>
      </c>
      <c r="B116" s="134" t="s">
        <v>28</v>
      </c>
      <c r="C116" s="133" cm="1">
        <f t="array" aca="1" ref="C116" ca="1">INDIRECT("ИТОГО!G19")</f>
        <v>0</v>
      </c>
    </row>
    <row r="117" spans="1:3">
      <c r="A117" s="134" t="s">
        <v>44</v>
      </c>
      <c r="B117" s="134" t="s">
        <v>28</v>
      </c>
      <c r="C117" s="133" cm="1">
        <f t="array" aca="1" ref="C117" ca="1">INDIRECT("ИТОГО!G20")</f>
        <v>0</v>
      </c>
    </row>
    <row r="118" spans="1:3">
      <c r="A118" s="134" t="s">
        <v>46</v>
      </c>
      <c r="B118" s="134" t="s">
        <v>28</v>
      </c>
      <c r="C118" s="133" cm="1">
        <f t="array" aca="1" ref="C118" ca="1">INDIRECT("ИТОГО!G21")</f>
        <v>0</v>
      </c>
    </row>
    <row r="119" spans="1:3">
      <c r="A119" s="134" t="s">
        <v>48</v>
      </c>
      <c r="B119" s="134" t="s">
        <v>31</v>
      </c>
      <c r="C119" s="133" cm="1">
        <f t="array" aca="1" ref="C119" ca="1">INDIRECT("ИТОГО!G22")</f>
        <v>0</v>
      </c>
    </row>
    <row r="120" spans="1:3">
      <c r="A120" s="134" t="s">
        <v>42</v>
      </c>
      <c r="B120" s="134" t="s">
        <v>31</v>
      </c>
      <c r="C120" s="133" cm="1">
        <f t="array" aca="1" ref="C120" ca="1">INDIRECT("ИТОГО!G23")</f>
        <v>0</v>
      </c>
    </row>
    <row r="121" spans="1:3">
      <c r="A121" s="134" t="s">
        <v>44</v>
      </c>
      <c r="B121" s="134" t="s">
        <v>31</v>
      </c>
      <c r="C121" s="133" cm="1">
        <f t="array" aca="1" ref="C121" ca="1">INDIRECT("ИТОГО!G24")</f>
        <v>0</v>
      </c>
    </row>
    <row r="122" spans="1:3">
      <c r="A122" s="134" t="s">
        <v>42</v>
      </c>
      <c r="B122" s="134" t="s">
        <v>35</v>
      </c>
      <c r="C122" s="133" cm="1">
        <f t="array" aca="1" ref="C122" ca="1">INDIRECT("ИТОГО!G25")</f>
        <v>0</v>
      </c>
    </row>
    <row r="123" spans="1:3">
      <c r="A123" s="134" t="s">
        <v>53</v>
      </c>
      <c r="B123" s="134" t="s">
        <v>35</v>
      </c>
      <c r="C123" s="133" cm="1">
        <f t="array" aca="1" ref="C123" ca="1">INDIRECT("ИТОГО!G26")</f>
        <v>0</v>
      </c>
    </row>
    <row r="124" spans="1:3">
      <c r="A124" s="134" t="s">
        <v>55</v>
      </c>
      <c r="B124" s="134" t="s">
        <v>36</v>
      </c>
      <c r="C124" s="133" cm="1">
        <f t="array" aca="1" ref="C124" ca="1">INDIRECT("ИТОГО!G27")</f>
        <v>0</v>
      </c>
    </row>
    <row r="125" spans="1:3">
      <c r="A125" s="134" t="s">
        <v>44</v>
      </c>
      <c r="B125" s="134" t="s">
        <v>30</v>
      </c>
      <c r="C125" s="133" cm="1">
        <f t="array" aca="1" ref="C125" ca="1">INDIRECT("ИТОГО!G28")</f>
        <v>0</v>
      </c>
    </row>
    <row r="126" spans="1:3">
      <c r="A126" s="134" t="s">
        <v>48</v>
      </c>
      <c r="B126" s="134" t="s">
        <v>30</v>
      </c>
      <c r="C126" s="133" cm="1">
        <f t="array" aca="1" ref="C126" ca="1">INDIRECT("ИТОГО!G29")</f>
        <v>0</v>
      </c>
    </row>
    <row r="127" spans="1:3">
      <c r="A127" s="134" t="s">
        <v>46</v>
      </c>
      <c r="B127" s="134" t="s">
        <v>30</v>
      </c>
      <c r="C127" s="133" cm="1">
        <f t="array" aca="1" ref="C127" ca="1">INDIRECT("ИТОГО!G30")</f>
        <v>0</v>
      </c>
    </row>
    <row r="128" spans="1:3">
      <c r="A128" s="134" t="s">
        <v>42</v>
      </c>
      <c r="B128" s="134" t="s">
        <v>30</v>
      </c>
      <c r="C128" s="133" cm="1">
        <f t="array" aca="1" ref="C128" ca="1">INDIRECT("ИТОГО!G31")</f>
        <v>0</v>
      </c>
    </row>
    <row r="129" spans="1:3">
      <c r="A129" s="134" t="s">
        <v>59</v>
      </c>
      <c r="B129" s="134" t="s">
        <v>32</v>
      </c>
      <c r="C129" s="133" cm="1">
        <f t="array" aca="1" ref="C129" ca="1">INDIRECT("ИТОГО!G32")</f>
        <v>174135.17695199998</v>
      </c>
    </row>
    <row r="130" spans="1:3">
      <c r="A130" s="134" t="s">
        <v>48</v>
      </c>
      <c r="B130" s="134" t="s">
        <v>32</v>
      </c>
      <c r="C130" s="133" cm="1">
        <f t="array" aca="1" ref="C130" ca="1">INDIRECT("ИТОГО!G33")</f>
        <v>0</v>
      </c>
    </row>
    <row r="131" spans="1:3">
      <c r="A131" s="134" t="s">
        <v>44</v>
      </c>
      <c r="B131" s="134" t="s">
        <v>32</v>
      </c>
      <c r="C131" s="133" cm="1">
        <f t="array" aca="1" ref="C131" ca="1">INDIRECT("ИТОГО!G34")</f>
        <v>0</v>
      </c>
    </row>
    <row r="132" spans="1:3">
      <c r="A132" s="134" t="s">
        <v>46</v>
      </c>
      <c r="B132" s="134" t="s">
        <v>35</v>
      </c>
      <c r="C132" s="133" cm="1">
        <f t="array" aca="1" ref="C132" ca="1">INDIRECT("ИТОГО!G36")</f>
        <v>0</v>
      </c>
    </row>
    <row r="133" spans="1:3">
      <c r="A133" s="134" t="s">
        <v>44</v>
      </c>
      <c r="B133" s="134" t="s">
        <v>27</v>
      </c>
      <c r="C133" s="133" cm="1">
        <f t="array" aca="1" ref="C133" ca="1">INDIRECT("ИТОГО!G37")</f>
        <v>0</v>
      </c>
    </row>
    <row r="134" spans="1:3">
      <c r="A134" s="134" t="s">
        <v>42</v>
      </c>
      <c r="B134" s="134" t="s">
        <v>34</v>
      </c>
      <c r="C134" s="133" cm="1">
        <f t="array" aca="1" ref="C134" ca="1">INDIRECT("ИТОГО!G38")</f>
        <v>0</v>
      </c>
    </row>
    <row r="135" spans="1:3">
      <c r="A135" s="134" t="s">
        <v>48</v>
      </c>
      <c r="B135" s="134" t="s">
        <v>28</v>
      </c>
      <c r="C135" s="133" cm="1">
        <f t="array" aca="1" ref="C135" ca="1">INDIRECT("ИТОГО!G39")</f>
        <v>0</v>
      </c>
    </row>
    <row r="136" spans="1:3">
      <c r="A136" s="134" t="s">
        <v>42</v>
      </c>
      <c r="B136" s="134" t="s">
        <v>27</v>
      </c>
      <c r="C136" s="133" cm="1">
        <f t="array" aca="1" ref="C136" ca="1">INDIRECT("ИТОГО!G40")</f>
        <v>0</v>
      </c>
    </row>
    <row r="137" spans="1:3">
      <c r="A137" s="134" t="s">
        <v>65</v>
      </c>
      <c r="B137" s="134" t="s">
        <v>36</v>
      </c>
      <c r="C137" s="133" cm="1">
        <f t="array" aca="1" ref="C137" ca="1">INDIRECT("ИТОГО!G41")</f>
        <v>1747.2839999999997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D136-F309-4225-812D-62BFBBCB7A87}">
  <sheetPr codeName="Лист5">
    <pageSetUpPr fitToPage="1"/>
  </sheetPr>
  <dimension ref="A1:M40"/>
  <sheetViews>
    <sheetView topLeftCell="A11" workbookViewId="0">
      <selection activeCell="I23" sqref="I23"/>
    </sheetView>
  </sheetViews>
  <sheetFormatPr defaultRowHeight="15"/>
  <cols>
    <col min="1" max="2" width="9.140625" style="47"/>
    <col min="3" max="3" width="9.85546875" style="47" bestFit="1" customWidth="1"/>
    <col min="4" max="4" width="12" style="47" customWidth="1"/>
    <col min="5" max="6" width="11.42578125" style="47" customWidth="1"/>
    <col min="7" max="7" width="11.5703125" style="47" customWidth="1"/>
    <col min="8" max="8" width="16.28515625" style="47" customWidth="1"/>
    <col min="9" max="9" width="16" style="47" customWidth="1"/>
    <col min="10" max="10" width="9.140625" style="47"/>
    <col min="11" max="11" width="18.28515625" style="47" customWidth="1"/>
    <col min="12" max="16384" width="9.140625" style="47"/>
  </cols>
  <sheetData>
    <row r="1" spans="1:13">
      <c r="H1" s="135"/>
      <c r="K1" s="123"/>
      <c r="L1" s="123"/>
      <c r="M1" s="123"/>
    </row>
    <row r="2" spans="1:13">
      <c r="H2" s="135"/>
      <c r="K2" s="123"/>
      <c r="L2" s="123"/>
      <c r="M2" s="123"/>
    </row>
    <row r="3" spans="1:13">
      <c r="A3" s="73" t="str">
        <f>"Отчет по резерву хранению  товара  РВ " &amp; TEXT(A6,"ММММ ") &amp; YEAR(A6) &amp; ""</f>
        <v>Отчет по резерву хранению  товара  РВ Март 2026</v>
      </c>
      <c r="H3" s="135"/>
      <c r="K3" s="123"/>
      <c r="L3" s="123"/>
      <c r="M3" s="123"/>
    </row>
    <row r="4" spans="1:13">
      <c r="A4" s="50" t="s">
        <v>1</v>
      </c>
      <c r="B4" s="51"/>
      <c r="C4" s="49" t="s">
        <v>103</v>
      </c>
      <c r="D4" s="49" t="s">
        <v>104</v>
      </c>
      <c r="E4" s="49" t="s">
        <v>105</v>
      </c>
      <c r="F4" s="49" t="s">
        <v>106</v>
      </c>
      <c r="G4" s="49" t="s">
        <v>96</v>
      </c>
      <c r="H4" s="136" t="s">
        <v>107</v>
      </c>
      <c r="I4" s="49" t="s">
        <v>18</v>
      </c>
    </row>
    <row r="5" spans="1:13">
      <c r="A5" s="54"/>
      <c r="B5" s="55"/>
      <c r="C5" s="53"/>
      <c r="D5" s="53"/>
      <c r="E5" s="53"/>
      <c r="F5" s="53"/>
      <c r="G5" s="53"/>
      <c r="H5" s="137"/>
      <c r="I5" s="53"/>
    </row>
    <row r="6" spans="1:13">
      <c r="A6" s="146">
        <v>46082</v>
      </c>
      <c r="B6" s="147"/>
      <c r="C6" s="148">
        <f>'[1]РВ Баумана'!G6</f>
        <v>600.27499999999998</v>
      </c>
      <c r="D6" s="138">
        <f>'[1]РВ Новикова-Прибоя'!G6</f>
        <v>419.02500000000003</v>
      </c>
      <c r="E6" s="138">
        <f>'[1]РВ Березовая Пойма'!G6</f>
        <v>4011.2249999999999</v>
      </c>
      <c r="F6" s="138">
        <f>SUM(C6:E6)</f>
        <v>5030.5249999999996</v>
      </c>
      <c r="G6" s="139">
        <f>IF(A6&lt;&gt;"",IF(8000-F6&lt;0,0,8000-F6),0)</f>
        <v>2969.4750000000004</v>
      </c>
      <c r="H6" s="140">
        <f>G6*15</f>
        <v>44542.125000000007</v>
      </c>
      <c r="I6" s="140">
        <f t="shared" ref="I6:I36" si="0">SUM(H6:H6)</f>
        <v>44542.125000000007</v>
      </c>
      <c r="J6" s="47" t="str">
        <f>IF(OR(WEEKDAY(A6)=1,WEEKDAY(A6)=7,NOT(ISERROR(MATCH(A6,[1]Праздники!A:A,0)))),"Выходной","Рабочий")</f>
        <v>Выходной</v>
      </c>
    </row>
    <row r="7" spans="1:13">
      <c r="A7" s="146">
        <v>46083</v>
      </c>
      <c r="B7" s="147"/>
      <c r="C7" s="148">
        <f>'[1]РВ Баумана'!G7</f>
        <v>556.27499999999998</v>
      </c>
      <c r="D7" s="138">
        <f>'[1]РВ Новикова-Прибоя'!G7</f>
        <v>374.79500000000002</v>
      </c>
      <c r="E7" s="138">
        <f>'[1]РВ Березовая Пойма'!G7</f>
        <v>3944.9949999999999</v>
      </c>
      <c r="F7" s="138">
        <f t="shared" ref="F7:F36" si="1">SUM(C7:E7)</f>
        <v>4876.0649999999996</v>
      </c>
      <c r="G7" s="139">
        <f t="shared" ref="G7:G36" si="2">IF(A7&lt;&gt;"",IF(8000-F7&lt;0,0,8000-F7),0)</f>
        <v>3123.9350000000004</v>
      </c>
      <c r="H7" s="140">
        <f t="shared" ref="H7:H36" si="3">G7*15</f>
        <v>46859.025000000009</v>
      </c>
      <c r="I7" s="140">
        <f t="shared" si="0"/>
        <v>46859.025000000009</v>
      </c>
      <c r="J7" s="47" t="str">
        <f>IF(OR(WEEKDAY(A7)=1,WEEKDAY(A7)=7,NOT(ISERROR(MATCH(A7,[1]Праздники!A:A,0)))),"Выходной","Рабочий")</f>
        <v>Рабочий</v>
      </c>
    </row>
    <row r="8" spans="1:13">
      <c r="A8" s="146">
        <v>46084</v>
      </c>
      <c r="B8" s="147"/>
      <c r="C8" s="148">
        <f>'[1]РВ Баумана'!G8</f>
        <v>556.27499999999998</v>
      </c>
      <c r="D8" s="138">
        <f>'[1]РВ Новикова-Прибоя'!G8</f>
        <v>330.565</v>
      </c>
      <c r="E8" s="138">
        <f>'[1]РВ Березовая Пойма'!G8</f>
        <v>3789.8449999999998</v>
      </c>
      <c r="F8" s="138">
        <f t="shared" si="1"/>
        <v>4676.6849999999995</v>
      </c>
      <c r="G8" s="139">
        <f t="shared" si="2"/>
        <v>3323.3150000000005</v>
      </c>
      <c r="H8" s="140">
        <f t="shared" si="3"/>
        <v>49849.725000000006</v>
      </c>
      <c r="I8" s="140">
        <f t="shared" si="0"/>
        <v>49849.725000000006</v>
      </c>
      <c r="J8" s="47" t="str">
        <f>IF(OR(WEEKDAY(A8)=1,WEEKDAY(A8)=7,NOT(ISERROR(MATCH(A8,[1]Праздники!A:A,0)))),"Выходной","Рабочий")</f>
        <v>Рабочий</v>
      </c>
    </row>
    <row r="9" spans="1:13">
      <c r="A9" s="146">
        <v>46085</v>
      </c>
      <c r="B9" s="147"/>
      <c r="C9" s="148">
        <f>'[1]РВ Баумана'!G9</f>
        <v>512.32499999999993</v>
      </c>
      <c r="D9" s="138">
        <f>'[1]РВ Новикова-Прибоя'!G9</f>
        <v>308.565</v>
      </c>
      <c r="E9" s="138">
        <f>'[1]РВ Березовая Пойма'!G9</f>
        <v>3612.4649999999997</v>
      </c>
      <c r="F9" s="138">
        <f t="shared" si="1"/>
        <v>4433.3549999999996</v>
      </c>
      <c r="G9" s="139">
        <f t="shared" si="2"/>
        <v>3566.6450000000004</v>
      </c>
      <c r="H9" s="140">
        <f t="shared" si="3"/>
        <v>53499.675000000003</v>
      </c>
      <c r="I9" s="140">
        <f t="shared" si="0"/>
        <v>53499.675000000003</v>
      </c>
      <c r="J9" s="47" t="str">
        <f>IF(OR(WEEKDAY(A9)=1,WEEKDAY(A9)=7,NOT(ISERROR(MATCH(A9,[1]Праздники!A:A,0)))),"Выходной","Рабочий")</f>
        <v>Рабочий</v>
      </c>
    </row>
    <row r="10" spans="1:13">
      <c r="A10" s="146">
        <v>46086</v>
      </c>
      <c r="B10" s="147"/>
      <c r="C10" s="148">
        <f>'[1]РВ Баумана'!G10</f>
        <v>468.32499999999993</v>
      </c>
      <c r="D10" s="138">
        <f>'[1]РВ Новикова-Прибоя'!G10</f>
        <v>286.565</v>
      </c>
      <c r="E10" s="138">
        <f>'[1]РВ Березовая Пойма'!G10</f>
        <v>3546.0049999999997</v>
      </c>
      <c r="F10" s="138">
        <f t="shared" si="1"/>
        <v>4300.8949999999995</v>
      </c>
      <c r="G10" s="139">
        <f t="shared" si="2"/>
        <v>3699.1050000000005</v>
      </c>
      <c r="H10" s="140">
        <f t="shared" si="3"/>
        <v>55486.575000000004</v>
      </c>
      <c r="I10" s="140">
        <f t="shared" si="0"/>
        <v>55486.575000000004</v>
      </c>
      <c r="J10" s="47" t="str">
        <f>IF(OR(WEEKDAY(A10)=1,WEEKDAY(A10)=7,NOT(ISERROR(MATCH(A10,[1]Праздники!A:A,0)))),"Выходной","Рабочий")</f>
        <v>Рабочий</v>
      </c>
    </row>
    <row r="11" spans="1:13">
      <c r="A11" s="146">
        <v>46087</v>
      </c>
      <c r="B11" s="147"/>
      <c r="C11" s="148">
        <f>'[1]РВ Баумана'!G11</f>
        <v>468.32499999999993</v>
      </c>
      <c r="D11" s="138">
        <f>'[1]РВ Новикова-Прибоя'!G11</f>
        <v>286.565</v>
      </c>
      <c r="E11" s="138">
        <f>'[1]РВ Березовая Пойма'!G11</f>
        <v>3546.0049999999997</v>
      </c>
      <c r="F11" s="138">
        <f t="shared" si="1"/>
        <v>4300.8949999999995</v>
      </c>
      <c r="G11" s="139">
        <f t="shared" si="2"/>
        <v>3699.1050000000005</v>
      </c>
      <c r="H11" s="140">
        <f t="shared" si="3"/>
        <v>55486.575000000004</v>
      </c>
      <c r="I11" s="140">
        <f t="shared" si="0"/>
        <v>55486.575000000004</v>
      </c>
      <c r="J11" s="47" t="str">
        <f>IF(OR(WEEKDAY(A11)=1,WEEKDAY(A11)=7,NOT(ISERROR(MATCH(A11,[1]Праздники!A:A,0)))),"Выходной","Рабочий")</f>
        <v>Рабочий</v>
      </c>
    </row>
    <row r="12" spans="1:13">
      <c r="A12" s="146">
        <v>46088</v>
      </c>
      <c r="B12" s="147"/>
      <c r="C12" s="148">
        <f>'[1]РВ Баумана'!G12</f>
        <v>468.32499999999993</v>
      </c>
      <c r="D12" s="138">
        <f>'[1]РВ Новикова-Прибоя'!G12</f>
        <v>286.565</v>
      </c>
      <c r="E12" s="138">
        <f>'[1]РВ Березовая Пойма'!G12</f>
        <v>3744.0049999999997</v>
      </c>
      <c r="F12" s="138">
        <f t="shared" si="1"/>
        <v>4498.8949999999995</v>
      </c>
      <c r="G12" s="139">
        <f t="shared" si="2"/>
        <v>3501.1050000000005</v>
      </c>
      <c r="H12" s="140">
        <f t="shared" si="3"/>
        <v>52516.575000000004</v>
      </c>
      <c r="I12" s="140">
        <f t="shared" si="0"/>
        <v>52516.575000000004</v>
      </c>
      <c r="J12" s="47" t="str">
        <f>IF(OR(WEEKDAY(A12)=1,WEEKDAY(A12)=7,NOT(ISERROR(MATCH(A12,[1]Праздники!A:A,0)))),"Выходной","Рабочий")</f>
        <v>Выходной</v>
      </c>
    </row>
    <row r="13" spans="1:13">
      <c r="A13" s="146">
        <v>46089</v>
      </c>
      <c r="B13" s="147"/>
      <c r="C13" s="148">
        <f>'[1]РВ Баумана'!G13</f>
        <v>424.32499999999993</v>
      </c>
      <c r="D13" s="138">
        <f>'[1]РВ Новикова-Прибоя'!G13</f>
        <v>286.565</v>
      </c>
      <c r="E13" s="138">
        <f>'[1]РВ Березовая Пойма'!G13</f>
        <v>3722.0049999999997</v>
      </c>
      <c r="F13" s="138">
        <f t="shared" si="1"/>
        <v>4432.8949999999995</v>
      </c>
      <c r="G13" s="139">
        <f t="shared" si="2"/>
        <v>3567.1050000000005</v>
      </c>
      <c r="H13" s="140">
        <f t="shared" si="3"/>
        <v>53506.575000000004</v>
      </c>
      <c r="I13" s="140">
        <f t="shared" si="0"/>
        <v>53506.575000000004</v>
      </c>
      <c r="J13" s="47" t="str">
        <f>IF(OR(WEEKDAY(A13)=1,WEEKDAY(A13)=7,NOT(ISERROR(MATCH(A13,[1]Праздники!A:A,0)))),"Выходной","Рабочий")</f>
        <v>Выходной</v>
      </c>
    </row>
    <row r="14" spans="1:13">
      <c r="A14" s="146">
        <v>46090</v>
      </c>
      <c r="B14" s="147"/>
      <c r="C14" s="148">
        <f>'[1]РВ Баумана'!G14</f>
        <v>380.32499999999993</v>
      </c>
      <c r="D14" s="138">
        <f>'[1]РВ Новикова-Прибоя'!G14</f>
        <v>286.565</v>
      </c>
      <c r="E14" s="138">
        <f>'[1]РВ Березовая Пойма'!G14</f>
        <v>3919.5049999999997</v>
      </c>
      <c r="F14" s="138">
        <f t="shared" si="1"/>
        <v>4586.3949999999995</v>
      </c>
      <c r="G14" s="139">
        <f t="shared" si="2"/>
        <v>3413.6050000000005</v>
      </c>
      <c r="H14" s="140">
        <f t="shared" si="3"/>
        <v>51204.075000000004</v>
      </c>
      <c r="I14" s="140">
        <f t="shared" si="0"/>
        <v>51204.075000000004</v>
      </c>
      <c r="J14" s="47" t="str">
        <f>IF(OR(WEEKDAY(A14)=1,WEEKDAY(A14)=7,NOT(ISERROR(MATCH(A14,[1]Праздники!A:A,0)))),"Выходной","Рабочий")</f>
        <v>Выходной</v>
      </c>
    </row>
    <row r="15" spans="1:13">
      <c r="A15" s="146">
        <v>46091</v>
      </c>
      <c r="B15" s="147"/>
      <c r="C15" s="148">
        <f>'[1]РВ Баумана'!G15</f>
        <v>358.32499999999993</v>
      </c>
      <c r="D15" s="138">
        <f>'[1]РВ Новикова-Прибоя'!G15</f>
        <v>286.565</v>
      </c>
      <c r="E15" s="138">
        <f>'[1]РВ Березовая Пойма'!G15</f>
        <v>4117.5049999999992</v>
      </c>
      <c r="F15" s="138">
        <f t="shared" si="1"/>
        <v>4762.3949999999986</v>
      </c>
      <c r="G15" s="139">
        <f t="shared" si="2"/>
        <v>3237.6050000000014</v>
      </c>
      <c r="H15" s="140">
        <f t="shared" si="3"/>
        <v>48564.075000000019</v>
      </c>
      <c r="I15" s="140">
        <f t="shared" si="0"/>
        <v>48564.075000000019</v>
      </c>
      <c r="J15" s="47" t="str">
        <f>IF(OR(WEEKDAY(A15)=1,WEEKDAY(A15)=7,NOT(ISERROR(MATCH(A15,[1]Праздники!A:A,0)))),"Выходной","Рабочий")</f>
        <v>Рабочий</v>
      </c>
    </row>
    <row r="16" spans="1:13">
      <c r="A16" s="146">
        <v>46092</v>
      </c>
      <c r="B16" s="147"/>
      <c r="C16" s="148">
        <f>'[1]РВ Баумана'!G16</f>
        <v>299.19999999999993</v>
      </c>
      <c r="D16" s="138">
        <f>'[1]РВ Новикова-Прибоя'!G16</f>
        <v>279.69</v>
      </c>
      <c r="E16" s="138">
        <f>'[1]РВ Березовая Пойма'!G16</f>
        <v>4117.5049999999992</v>
      </c>
      <c r="F16" s="138">
        <f t="shared" si="1"/>
        <v>4696.3949999999986</v>
      </c>
      <c r="G16" s="139">
        <f t="shared" si="2"/>
        <v>3303.6050000000014</v>
      </c>
      <c r="H16" s="140">
        <f t="shared" si="3"/>
        <v>49554.075000000019</v>
      </c>
      <c r="I16" s="140">
        <f t="shared" si="0"/>
        <v>49554.075000000019</v>
      </c>
      <c r="J16" s="47" t="str">
        <f>IF(OR(WEEKDAY(A16)=1,WEEKDAY(A16)=7,NOT(ISERROR(MATCH(A16,[1]Праздники!A:A,0)))),"Выходной","Рабочий")</f>
        <v>Рабочий</v>
      </c>
    </row>
    <row r="17" spans="1:10">
      <c r="A17" s="146">
        <v>46093</v>
      </c>
      <c r="B17" s="147"/>
      <c r="C17" s="148">
        <f>'[1]РВ Баумана'!G17</f>
        <v>255.19999999999993</v>
      </c>
      <c r="D17" s="138">
        <f>'[1]РВ Новикова-Прибоя'!G17</f>
        <v>279.69</v>
      </c>
      <c r="E17" s="138">
        <f>'[1]РВ Березовая Пойма'!G17</f>
        <v>4022.4849999999992</v>
      </c>
      <c r="F17" s="138">
        <f t="shared" si="1"/>
        <v>4557.3749999999991</v>
      </c>
      <c r="G17" s="139">
        <f t="shared" si="2"/>
        <v>3442.6250000000009</v>
      </c>
      <c r="H17" s="140">
        <f t="shared" si="3"/>
        <v>51639.375000000015</v>
      </c>
      <c r="I17" s="140">
        <f t="shared" si="0"/>
        <v>51639.375000000015</v>
      </c>
      <c r="J17" s="47" t="str">
        <f>IF(OR(WEEKDAY(A17)=1,WEEKDAY(A17)=7,NOT(ISERROR(MATCH(A17,[1]Праздники!A:A,0)))),"Выходной","Рабочий")</f>
        <v>Рабочий</v>
      </c>
    </row>
    <row r="18" spans="1:10">
      <c r="A18" s="146">
        <v>46094</v>
      </c>
      <c r="B18" s="147"/>
      <c r="C18" s="148">
        <f>'[1]РВ Баумана'!G18</f>
        <v>211.19999999999993</v>
      </c>
      <c r="D18" s="138">
        <f>'[1]РВ Новикова-Прибоя'!G18</f>
        <v>279.69</v>
      </c>
      <c r="E18" s="138">
        <f>'[1]РВ Березовая Пойма'!G18</f>
        <v>4189.0349999999989</v>
      </c>
      <c r="F18" s="138">
        <f t="shared" si="1"/>
        <v>4679.9249999999993</v>
      </c>
      <c r="G18" s="139">
        <f t="shared" si="2"/>
        <v>3320.0750000000007</v>
      </c>
      <c r="H18" s="140">
        <f t="shared" si="3"/>
        <v>49801.125000000015</v>
      </c>
      <c r="I18" s="140">
        <f t="shared" si="0"/>
        <v>49801.125000000015</v>
      </c>
      <c r="J18" s="47" t="str">
        <f>IF(OR(WEEKDAY(A18)=1,WEEKDAY(A18)=7,NOT(ISERROR(MATCH(A18,[1]Праздники!A:A,0)))),"Выходной","Рабочий")</f>
        <v>Рабочий</v>
      </c>
    </row>
    <row r="19" spans="1:10">
      <c r="A19" s="146">
        <v>46095</v>
      </c>
      <c r="B19" s="147"/>
      <c r="C19" s="148">
        <f>'[1]РВ Баумана'!G19</f>
        <v>189.19999999999993</v>
      </c>
      <c r="D19" s="138">
        <f>'[1]РВ Новикова-Прибоя'!G19</f>
        <v>279.69</v>
      </c>
      <c r="E19" s="138">
        <f>'[1]РВ Березовая Пойма'!G19</f>
        <v>4369.9349999999986</v>
      </c>
      <c r="F19" s="138">
        <f t="shared" si="1"/>
        <v>4838.8249999999989</v>
      </c>
      <c r="G19" s="139">
        <f t="shared" si="2"/>
        <v>3161.1750000000011</v>
      </c>
      <c r="H19" s="140">
        <f t="shared" si="3"/>
        <v>47417.625000000015</v>
      </c>
      <c r="I19" s="140">
        <f t="shared" si="0"/>
        <v>47417.625000000015</v>
      </c>
      <c r="J19" s="47" t="str">
        <f>IF(OR(WEEKDAY(A19)=1,WEEKDAY(A19)=7,NOT(ISERROR(MATCH(A19,[1]Праздники!A:A,0)))),"Выходной","Рабочий")</f>
        <v>Выходной</v>
      </c>
    </row>
    <row r="20" spans="1:10">
      <c r="A20" s="146">
        <v>46096</v>
      </c>
      <c r="B20" s="147"/>
      <c r="C20" s="148">
        <f>'[1]РВ Баумана'!G20</f>
        <v>123.19999999999993</v>
      </c>
      <c r="D20" s="138">
        <f>'[1]РВ Новикова-Прибоя'!G20</f>
        <v>279.69</v>
      </c>
      <c r="E20" s="138">
        <f>'[1]РВ Березовая Пойма'!G20</f>
        <v>4347.704999999999</v>
      </c>
      <c r="F20" s="138">
        <f t="shared" si="1"/>
        <v>4750.5949999999993</v>
      </c>
      <c r="G20" s="139">
        <f t="shared" si="2"/>
        <v>3249.4050000000007</v>
      </c>
      <c r="H20" s="140">
        <f t="shared" si="3"/>
        <v>48741.075000000012</v>
      </c>
      <c r="I20" s="140">
        <f t="shared" si="0"/>
        <v>48741.075000000012</v>
      </c>
      <c r="J20" s="47" t="str">
        <f>IF(OR(WEEKDAY(A20)=1,WEEKDAY(A20)=7,NOT(ISERROR(MATCH(A20,[1]Праздники!A:A,0)))),"Выходной","Рабочий")</f>
        <v>Выходной</v>
      </c>
    </row>
    <row r="21" spans="1:10">
      <c r="A21" s="146">
        <v>46097</v>
      </c>
      <c r="B21" s="147"/>
      <c r="C21" s="148">
        <f>'[1]РВ Баумана'!G21</f>
        <v>112.19999999999993</v>
      </c>
      <c r="D21" s="138">
        <f>'[1]РВ Новикова-Прибоя'!G21</f>
        <v>276.94</v>
      </c>
      <c r="E21" s="138">
        <f>'[1]РВ Березовая Пойма'!G21</f>
        <v>4537.454999999999</v>
      </c>
      <c r="F21" s="138">
        <f t="shared" si="1"/>
        <v>4926.5949999999993</v>
      </c>
      <c r="G21" s="139">
        <f t="shared" si="2"/>
        <v>3073.4050000000007</v>
      </c>
      <c r="H21" s="140">
        <f t="shared" si="3"/>
        <v>46101.075000000012</v>
      </c>
      <c r="I21" s="140">
        <f t="shared" si="0"/>
        <v>46101.075000000012</v>
      </c>
      <c r="J21" s="47" t="str">
        <f>IF(OR(WEEKDAY(A21)=1,WEEKDAY(A21)=7,NOT(ISERROR(MATCH(A21,[1]Праздники!A:A,0)))),"Выходной","Рабочий")</f>
        <v>Рабочий</v>
      </c>
    </row>
    <row r="22" spans="1:10">
      <c r="A22" s="146">
        <v>46098</v>
      </c>
      <c r="B22" s="147"/>
      <c r="C22" s="148">
        <f>'[1]РВ Баумана'!G22</f>
        <v>112.19999999999993</v>
      </c>
      <c r="D22" s="138">
        <f>'[1]РВ Новикова-Прибоя'!G22</f>
        <v>276.94</v>
      </c>
      <c r="E22" s="138">
        <f>'[1]РВ Березовая Пойма'!G22</f>
        <v>4505.829999999999</v>
      </c>
      <c r="F22" s="138">
        <f t="shared" si="1"/>
        <v>4894.9699999999993</v>
      </c>
      <c r="G22" s="139">
        <f t="shared" si="2"/>
        <v>3105.0300000000007</v>
      </c>
      <c r="H22" s="140">
        <f t="shared" si="3"/>
        <v>46575.450000000012</v>
      </c>
      <c r="I22" s="140">
        <f t="shared" si="0"/>
        <v>46575.450000000012</v>
      </c>
      <c r="J22" s="47" t="str">
        <f>IF(OR(WEEKDAY(A22)=1,WEEKDAY(A22)=7,NOT(ISERROR(MATCH(A22,[1]Праздники!A:A,0)))),"Выходной","Рабочий")</f>
        <v>Рабочий</v>
      </c>
    </row>
    <row r="23" spans="1:10">
      <c r="A23" s="146">
        <v>46099</v>
      </c>
      <c r="B23" s="147"/>
      <c r="C23" s="148">
        <f>'[1]РВ Баумана'!G23</f>
        <v>112.19999999999993</v>
      </c>
      <c r="D23" s="138">
        <f>'[1]РВ Новикова-Прибоя'!G23</f>
        <v>276.94</v>
      </c>
      <c r="E23" s="138">
        <f>'[1]РВ Березовая Пойма'!G23</f>
        <v>4418.744999999999</v>
      </c>
      <c r="F23" s="138">
        <f t="shared" si="1"/>
        <v>4807.8849999999993</v>
      </c>
      <c r="G23" s="139">
        <f t="shared" si="2"/>
        <v>3192.1150000000007</v>
      </c>
      <c r="H23" s="140">
        <f t="shared" si="3"/>
        <v>47881.725000000013</v>
      </c>
      <c r="I23" s="140">
        <f t="shared" si="0"/>
        <v>47881.725000000013</v>
      </c>
      <c r="J23" s="47" t="str">
        <f>IF(OR(WEEKDAY(A23)=1,WEEKDAY(A23)=7,NOT(ISERROR(MATCH(A23,[1]Праздники!A:A,0)))),"Выходной","Рабочий")</f>
        <v>Рабочий</v>
      </c>
    </row>
    <row r="24" spans="1:10">
      <c r="A24" s="146">
        <v>46100</v>
      </c>
      <c r="B24" s="147"/>
      <c r="C24" s="148">
        <f>'[1]РВ Баумана'!G24</f>
        <v>112.19999999999993</v>
      </c>
      <c r="D24" s="138">
        <f>'[1]РВ Новикова-Прибоя'!G24</f>
        <v>276.94</v>
      </c>
      <c r="E24" s="138">
        <f>'[1]РВ Березовая Пойма'!G24</f>
        <v>4130.2149999999992</v>
      </c>
      <c r="F24" s="138">
        <f t="shared" si="1"/>
        <v>4519.3549999999996</v>
      </c>
      <c r="G24" s="139">
        <f t="shared" si="2"/>
        <v>3480.6450000000004</v>
      </c>
      <c r="H24" s="140">
        <f t="shared" si="3"/>
        <v>52209.675000000003</v>
      </c>
      <c r="I24" s="140">
        <f t="shared" si="0"/>
        <v>52209.675000000003</v>
      </c>
      <c r="J24" s="47" t="str">
        <f>IF(OR(WEEKDAY(A24)=1,WEEKDAY(A24)=7,NOT(ISERROR(MATCH(A24,[1]Праздники!A:A,0)))),"Выходной","Рабочий")</f>
        <v>Рабочий</v>
      </c>
    </row>
    <row r="25" spans="1:10">
      <c r="A25" s="146">
        <v>46101</v>
      </c>
      <c r="B25" s="147"/>
      <c r="C25" s="148">
        <f>'[1]РВ Баумана'!G25</f>
        <v>112.19999999999993</v>
      </c>
      <c r="D25" s="138">
        <f>'[1]РВ Новикова-Прибоя'!G25</f>
        <v>276.94</v>
      </c>
      <c r="E25" s="138">
        <f>'[1]РВ Березовая Пойма'!G25</f>
        <v>3645.9849999999992</v>
      </c>
      <c r="F25" s="138">
        <f t="shared" si="1"/>
        <v>4035.1249999999991</v>
      </c>
      <c r="G25" s="139">
        <f t="shared" si="2"/>
        <v>3964.8750000000009</v>
      </c>
      <c r="H25" s="140">
        <f t="shared" si="3"/>
        <v>59473.125000000015</v>
      </c>
      <c r="I25" s="140">
        <f t="shared" si="0"/>
        <v>59473.125000000015</v>
      </c>
      <c r="J25" s="47" t="str">
        <f>IF(OR(WEEKDAY(A25)=1,WEEKDAY(A25)=7,NOT(ISERROR(MATCH(A25,[1]Праздники!A:A,0)))),"Выходной","Рабочий")</f>
        <v>Рабочий</v>
      </c>
    </row>
    <row r="26" spans="1:10">
      <c r="A26" s="146">
        <v>46102</v>
      </c>
      <c r="B26" s="147"/>
      <c r="C26" s="148">
        <f>'[1]РВ Баумана'!G26</f>
        <v>112.19999999999993</v>
      </c>
      <c r="D26" s="138">
        <f>'[1]РВ Новикова-Прибоя'!G26</f>
        <v>261.815</v>
      </c>
      <c r="E26" s="138">
        <f>'[1]РВ Березовая Пойма'!G26</f>
        <v>3139.5249999999992</v>
      </c>
      <c r="F26" s="138">
        <f t="shared" si="1"/>
        <v>3513.5399999999991</v>
      </c>
      <c r="G26" s="139">
        <f t="shared" si="2"/>
        <v>4486.4600000000009</v>
      </c>
      <c r="H26" s="140">
        <f t="shared" si="3"/>
        <v>67296.900000000009</v>
      </c>
      <c r="I26" s="140">
        <f t="shared" si="0"/>
        <v>67296.900000000009</v>
      </c>
      <c r="J26" s="47" t="str">
        <f>IF(OR(WEEKDAY(A26)=1,WEEKDAY(A26)=7,NOT(ISERROR(MATCH(A26,[1]Праздники!A:A,0)))),"Выходной","Рабочий")</f>
        <v>Выходной</v>
      </c>
    </row>
    <row r="27" spans="1:10" ht="15" customHeight="1">
      <c r="A27" s="146">
        <v>46103</v>
      </c>
      <c r="B27" s="147"/>
      <c r="C27" s="148">
        <f>'[1]РВ Баумана'!G27</f>
        <v>112.19999999999993</v>
      </c>
      <c r="D27" s="138">
        <f>'[1]РВ Новикова-Прибоя'!G27</f>
        <v>261.815</v>
      </c>
      <c r="E27" s="138">
        <f>'[1]РВ Березовая Пойма'!G27</f>
        <v>2699.5249999999992</v>
      </c>
      <c r="F27" s="138">
        <f t="shared" si="1"/>
        <v>3073.5399999999991</v>
      </c>
      <c r="G27" s="139">
        <f t="shared" si="2"/>
        <v>4926.4600000000009</v>
      </c>
      <c r="H27" s="140">
        <f t="shared" si="3"/>
        <v>73896.900000000009</v>
      </c>
      <c r="I27" s="140">
        <f t="shared" si="0"/>
        <v>73896.900000000009</v>
      </c>
      <c r="J27" s="47" t="str">
        <f>IF(OR(WEEKDAY(A27)=1,WEEKDAY(A27)=7,NOT(ISERROR(MATCH(A27,[1]Праздники!A:A,0)))),"Выходной","Рабочий")</f>
        <v>Выходной</v>
      </c>
    </row>
    <row r="28" spans="1:10">
      <c r="A28" s="146">
        <v>46104</v>
      </c>
      <c r="B28" s="147"/>
      <c r="C28" s="148">
        <f>'[1]РВ Баумана'!G28</f>
        <v>112.19999999999993</v>
      </c>
      <c r="D28" s="138">
        <f>'[1]РВ Новикова-Прибоя'!G28</f>
        <v>261.815</v>
      </c>
      <c r="E28" s="138">
        <f>'[1]РВ Березовая Пойма'!G28</f>
        <v>2237.5249999999992</v>
      </c>
      <c r="F28" s="138">
        <f t="shared" si="1"/>
        <v>2611.5399999999991</v>
      </c>
      <c r="G28" s="139">
        <f t="shared" si="2"/>
        <v>5388.4600000000009</v>
      </c>
      <c r="H28" s="140">
        <f t="shared" si="3"/>
        <v>80826.900000000009</v>
      </c>
      <c r="I28" s="140">
        <f t="shared" si="0"/>
        <v>80826.900000000009</v>
      </c>
      <c r="J28" s="47" t="str">
        <f>IF(OR(WEEKDAY(A28)=1,WEEKDAY(A28)=7,NOT(ISERROR(MATCH(A28,[1]Праздники!A:A,0)))),"Выходной","Рабочий")</f>
        <v>Рабочий</v>
      </c>
    </row>
    <row r="29" spans="1:10">
      <c r="A29" s="146">
        <v>46105</v>
      </c>
      <c r="B29" s="147"/>
      <c r="C29" s="148">
        <f>'[1]РВ Баумана'!G29</f>
        <v>68.199999999999932</v>
      </c>
      <c r="D29" s="138">
        <f>'[1]РВ Новикова-Прибоя'!G29</f>
        <v>150.785</v>
      </c>
      <c r="E29" s="138">
        <f>'[1]РВ Березовая Пойма'!G29</f>
        <v>1820.8599999999992</v>
      </c>
      <c r="F29" s="138">
        <f t="shared" si="1"/>
        <v>2039.8449999999991</v>
      </c>
      <c r="G29" s="139">
        <f t="shared" si="2"/>
        <v>5960.1550000000007</v>
      </c>
      <c r="H29" s="140">
        <f t="shared" si="3"/>
        <v>89402.325000000012</v>
      </c>
      <c r="I29" s="140">
        <f t="shared" si="0"/>
        <v>89402.325000000012</v>
      </c>
      <c r="J29" s="47" t="str">
        <f>IF(OR(WEEKDAY(A29)=1,WEEKDAY(A29)=7,NOT(ISERROR(MATCH(A29,[1]Праздники!A:A,0)))),"Выходной","Рабочий")</f>
        <v>Рабочий</v>
      </c>
    </row>
    <row r="30" spans="1:10">
      <c r="A30" s="146">
        <v>46106</v>
      </c>
      <c r="B30" s="147"/>
      <c r="C30" s="148">
        <f>'[1]РВ Баумана'!G30</f>
        <v>2.1999999999999318</v>
      </c>
      <c r="D30" s="138">
        <f>'[1]РВ Новикова-Прибоя'!G30</f>
        <v>106.81</v>
      </c>
      <c r="E30" s="138">
        <f>'[1]РВ Березовая Пойма'!G30</f>
        <v>1316.6849999999993</v>
      </c>
      <c r="F30" s="138">
        <f t="shared" si="1"/>
        <v>1425.6949999999993</v>
      </c>
      <c r="G30" s="139">
        <f t="shared" si="2"/>
        <v>6574.3050000000003</v>
      </c>
      <c r="H30" s="140">
        <f t="shared" si="3"/>
        <v>98614.575000000012</v>
      </c>
      <c r="I30" s="140">
        <f t="shared" si="0"/>
        <v>98614.575000000012</v>
      </c>
      <c r="J30" s="47" t="str">
        <f>IF(OR(WEEKDAY(A30)=1,WEEKDAY(A30)=7,NOT(ISERROR(MATCH(A30,[1]Праздники!A:A,0)))),"Выходной","Рабочий")</f>
        <v>Рабочий</v>
      </c>
    </row>
    <row r="31" spans="1:10">
      <c r="A31" s="146">
        <v>46107</v>
      </c>
      <c r="B31" s="147"/>
      <c r="C31" s="148">
        <f>'[1]РВ Баумана'!G31</f>
        <v>2.1999999999999318</v>
      </c>
      <c r="D31" s="138">
        <f>'[1]РВ Новикова-Прибоя'!G31</f>
        <v>4.960000000000008</v>
      </c>
      <c r="E31" s="138">
        <f>'[1]РВ Березовая Пойма'!G31</f>
        <v>921.77499999999918</v>
      </c>
      <c r="F31" s="138">
        <f t="shared" si="1"/>
        <v>928.93499999999915</v>
      </c>
      <c r="G31" s="139">
        <f t="shared" si="2"/>
        <v>7071.0650000000005</v>
      </c>
      <c r="H31" s="140">
        <f t="shared" si="3"/>
        <v>106065.97500000001</v>
      </c>
      <c r="I31" s="140">
        <f t="shared" si="0"/>
        <v>106065.97500000001</v>
      </c>
      <c r="J31" s="47" t="str">
        <f>IF(OR(WEEKDAY(A31)=1,WEEKDAY(A31)=7,NOT(ISERROR(MATCH(A31,[1]Праздники!A:A,0)))),"Выходной","Рабочий")</f>
        <v>Рабочий</v>
      </c>
    </row>
    <row r="32" spans="1:10">
      <c r="A32" s="146">
        <v>46108</v>
      </c>
      <c r="B32" s="147"/>
      <c r="C32" s="148">
        <f>'[1]РВ Баумана'!G32</f>
        <v>2.1999999999999318</v>
      </c>
      <c r="D32" s="138">
        <f>'[1]РВ Новикова-Прибоя'!G32</f>
        <v>4.960000000000008</v>
      </c>
      <c r="E32" s="138">
        <f>'[1]РВ Березовая Пойма'!G32</f>
        <v>700.59499999999912</v>
      </c>
      <c r="F32" s="138">
        <f t="shared" si="1"/>
        <v>707.75499999999909</v>
      </c>
      <c r="G32" s="139">
        <f t="shared" si="2"/>
        <v>7292.2450000000008</v>
      </c>
      <c r="H32" s="140">
        <f t="shared" si="3"/>
        <v>109383.67500000002</v>
      </c>
      <c r="I32" s="140">
        <f t="shared" si="0"/>
        <v>109383.67500000002</v>
      </c>
      <c r="J32" s="47" t="str">
        <f>IF(OR(WEEKDAY(A32)=1,WEEKDAY(A32)=7,NOT(ISERROR(MATCH(A32,[1]Праздники!A:A,0)))),"Выходной","Рабочий")</f>
        <v>Рабочий</v>
      </c>
    </row>
    <row r="33" spans="1:11">
      <c r="A33" s="146">
        <v>46109</v>
      </c>
      <c r="B33" s="147"/>
      <c r="C33" s="148">
        <f>'[1]РВ Баумана'!G33</f>
        <v>2.1999999999999318</v>
      </c>
      <c r="D33" s="138">
        <f>'[1]РВ Новикова-Прибоя'!G33</f>
        <v>4.960000000000008</v>
      </c>
      <c r="E33" s="138">
        <f>'[1]РВ Березовая Пойма'!G33</f>
        <v>447.7449999999991</v>
      </c>
      <c r="F33" s="138">
        <f t="shared" si="1"/>
        <v>454.90499999999906</v>
      </c>
      <c r="G33" s="139">
        <f t="shared" si="2"/>
        <v>7545.0950000000012</v>
      </c>
      <c r="H33" s="140">
        <f t="shared" si="3"/>
        <v>113176.42500000002</v>
      </c>
      <c r="I33" s="140">
        <f t="shared" si="0"/>
        <v>113176.42500000002</v>
      </c>
      <c r="J33" s="47" t="str">
        <f>IF(OR(WEEKDAY(A33)=1,WEEKDAY(A33)=7,NOT(ISERROR(MATCH(A33,[1]Праздники!A:A,0)))),"Выходной","Рабочий")</f>
        <v>Выходной</v>
      </c>
    </row>
    <row r="34" spans="1:11">
      <c r="A34" s="146">
        <v>46110</v>
      </c>
      <c r="B34" s="147"/>
      <c r="C34" s="148">
        <f>'[1]РВ Баумана'!G34</f>
        <v>0.87499999999993183</v>
      </c>
      <c r="D34" s="138">
        <f>'[1]РВ Новикова-Прибоя'!G34</f>
        <v>3.6100000000000079</v>
      </c>
      <c r="E34" s="138">
        <f>'[1]РВ Березовая Пойма'!G34</f>
        <v>360.65999999999912</v>
      </c>
      <c r="F34" s="138">
        <f t="shared" si="1"/>
        <v>365.14499999999907</v>
      </c>
      <c r="G34" s="139">
        <f t="shared" si="2"/>
        <v>7634.8550000000014</v>
      </c>
      <c r="H34" s="140">
        <f t="shared" si="3"/>
        <v>114522.82500000003</v>
      </c>
      <c r="I34" s="140">
        <f t="shared" si="0"/>
        <v>114522.82500000003</v>
      </c>
      <c r="J34" s="47" t="str">
        <f>IF(OR(WEEKDAY(A34)=1,WEEKDAY(A34)=7,NOT(ISERROR(MATCH(A34,[1]Праздники!A:A,0)))),"Выходной","Рабочий")</f>
        <v>Выходной</v>
      </c>
    </row>
    <row r="35" spans="1:11">
      <c r="A35" s="146">
        <v>46111</v>
      </c>
      <c r="B35" s="147"/>
      <c r="C35" s="148">
        <f>'[1]РВ Баумана'!G35</f>
        <v>0.87499999999993183</v>
      </c>
      <c r="D35" s="138">
        <f>'[1]РВ Новикова-Прибоя'!G35</f>
        <v>3.6100000000000079</v>
      </c>
      <c r="E35" s="138">
        <f>'[1]РВ Березовая Пойма'!G35</f>
        <v>271.96999999999912</v>
      </c>
      <c r="F35" s="138">
        <f t="shared" si="1"/>
        <v>276.45499999999907</v>
      </c>
      <c r="G35" s="139">
        <f t="shared" si="2"/>
        <v>7723.545000000001</v>
      </c>
      <c r="H35" s="140">
        <f t="shared" si="3"/>
        <v>115853.17500000002</v>
      </c>
      <c r="I35" s="140">
        <f t="shared" si="0"/>
        <v>115853.17500000002</v>
      </c>
      <c r="J35" s="47" t="str">
        <f>IF(OR(WEEKDAY(A35)=1,WEEKDAY(A35)=7,NOT(ISERROR(MATCH(A35,[1]Праздники!A:A,0)))),"Выходной","Рабочий")</f>
        <v>Рабочий</v>
      </c>
    </row>
    <row r="36" spans="1:11" ht="15.75" thickBot="1">
      <c r="A36" s="146">
        <v>46112</v>
      </c>
      <c r="B36" s="147"/>
      <c r="C36" s="148">
        <f>'[1]РВ Баумана'!G36</f>
        <v>-6.8167693711984612E-14</v>
      </c>
      <c r="D36" s="138">
        <f>'[1]РВ Новикова-Прибоя'!G36</f>
        <v>7.9936057773011271E-15</v>
      </c>
      <c r="E36" s="138">
        <f>'[1]РВ Березовая Пойма'!G36</f>
        <v>80.209999999999127</v>
      </c>
      <c r="F36" s="138">
        <f t="shared" si="1"/>
        <v>80.20999999999907</v>
      </c>
      <c r="G36" s="139">
        <f t="shared" si="2"/>
        <v>7919.7900000000009</v>
      </c>
      <c r="H36" s="140">
        <f t="shared" si="3"/>
        <v>118796.85</v>
      </c>
      <c r="I36" s="140">
        <f t="shared" si="0"/>
        <v>118796.85</v>
      </c>
      <c r="J36" s="47" t="str">
        <f>IF(OR(WEEKDAY(A36)=1,WEEKDAY(A36)=7,NOT(ISERROR(MATCH(A36,[1]Праздники!A:A,0)))),"Выходной","Рабочий")</f>
        <v>Рабочий</v>
      </c>
    </row>
    <row r="37" spans="1:11" ht="15.75" thickBot="1">
      <c r="C37" s="141">
        <f>SUM(C6:C36)</f>
        <v>6847.4499999999953</v>
      </c>
      <c r="D37" s="141">
        <f t="shared" ref="D37:I37" si="4">SUM(D6:D36)</f>
        <v>7000.6299999999965</v>
      </c>
      <c r="E37" s="141">
        <f t="shared" si="4"/>
        <v>94235.52999999997</v>
      </c>
      <c r="F37" s="141"/>
      <c r="G37" s="141">
        <f t="shared" si="4"/>
        <v>139916.39000000001</v>
      </c>
      <c r="H37" s="142">
        <f t="shared" si="4"/>
        <v>2098745.85</v>
      </c>
      <c r="I37" s="143">
        <f t="shared" si="4"/>
        <v>2098745.85</v>
      </c>
    </row>
    <row r="38" spans="1:11" ht="15.75" thickBot="1">
      <c r="H38" s="135"/>
      <c r="I38" s="144">
        <f>I37*1.22</f>
        <v>2560469.9369999999</v>
      </c>
      <c r="K38" s="145"/>
    </row>
    <row r="39" spans="1:11">
      <c r="H39" s="135"/>
    </row>
    <row r="40" spans="1:11">
      <c r="H40" s="135"/>
    </row>
  </sheetData>
  <mergeCells count="39">
    <mergeCell ref="A34:B34"/>
    <mergeCell ref="A35:B35"/>
    <mergeCell ref="A36:B36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H4:H5"/>
    <mergeCell ref="I4:I5"/>
    <mergeCell ref="A6:B6"/>
    <mergeCell ref="A7:B7"/>
    <mergeCell ref="A8:B8"/>
    <mergeCell ref="A9:B9"/>
    <mergeCell ref="A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scale="8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40B2-E1AB-46F5-B10D-A6ECA3BB1835}">
  <sheetPr codeName="Лист6">
    <pageSetUpPr fitToPage="1"/>
  </sheetPr>
  <dimension ref="A1:S40"/>
  <sheetViews>
    <sheetView workbookViewId="0">
      <selection activeCell="G6" sqref="G6"/>
    </sheetView>
  </sheetViews>
  <sheetFormatPr defaultRowHeight="15"/>
  <cols>
    <col min="1" max="2" width="9.140625" style="47"/>
    <col min="3" max="3" width="9.85546875" style="47" bestFit="1" customWidth="1"/>
    <col min="4" max="6" width="9.140625" style="47"/>
    <col min="7" max="7" width="10.5703125" style="47" bestFit="1" customWidth="1"/>
    <col min="8" max="8" width="9.140625" style="47"/>
    <col min="9" max="9" width="12.7109375" style="47" customWidth="1"/>
    <col min="10" max="10" width="13.140625" style="47" bestFit="1" customWidth="1"/>
    <col min="11" max="12" width="9.28515625" style="47" bestFit="1" customWidth="1"/>
    <col min="13" max="13" width="13.85546875" style="47" customWidth="1"/>
    <col min="14" max="14" width="9.28515625" style="47" bestFit="1" customWidth="1"/>
    <col min="15" max="15" width="16" style="47" customWidth="1"/>
    <col min="16" max="16" width="9.140625" style="47"/>
    <col min="17" max="17" width="18.28515625" style="47" customWidth="1"/>
    <col min="18" max="16384" width="9.140625" style="47"/>
  </cols>
  <sheetData>
    <row r="1" spans="1:19">
      <c r="M1" s="135"/>
      <c r="Q1" s="123"/>
      <c r="R1" s="123" t="s">
        <v>108</v>
      </c>
      <c r="S1" s="123" t="s">
        <v>109</v>
      </c>
    </row>
    <row r="2" spans="1:19">
      <c r="M2" s="135"/>
      <c r="Q2" s="123" t="s">
        <v>110</v>
      </c>
      <c r="R2" s="123">
        <f>SUMIF($P$6:$P$36,R$1,$C6:$C36)</f>
        <v>0</v>
      </c>
      <c r="S2" s="123">
        <f>SUMIF($P$6:$P$36,S$1,$C6:$C36)</f>
        <v>0</v>
      </c>
    </row>
    <row r="3" spans="1:19">
      <c r="A3" s="73" t="str">
        <f>"Отчет по хранению  товара  РВ " &amp; TEXT(A6,"ММММ ") &amp; YEAR(A6) &amp; " Баумана"</f>
        <v>Отчет по хранению  товара  РВ Март 2026 Баумана</v>
      </c>
      <c r="G3" s="135"/>
      <c r="M3" s="135"/>
      <c r="Q3" s="123" t="s">
        <v>98</v>
      </c>
      <c r="R3" s="123">
        <f>SUMIF($P$6:$P$36,R$1,$D6:$D36)</f>
        <v>232.32499999999999</v>
      </c>
      <c r="S3" s="123">
        <f>SUMIF($P$6:$P$36,S$1,$D6:$D36)</f>
        <v>367.95</v>
      </c>
    </row>
    <row r="4" spans="1:19">
      <c r="A4" s="50" t="s">
        <v>1</v>
      </c>
      <c r="B4" s="51"/>
      <c r="C4" s="49" t="s">
        <v>111</v>
      </c>
      <c r="D4" s="49" t="s">
        <v>112</v>
      </c>
      <c r="E4" s="49" t="s">
        <v>113</v>
      </c>
      <c r="F4" s="49" t="s">
        <v>114</v>
      </c>
      <c r="G4" s="149" t="s">
        <v>4</v>
      </c>
      <c r="H4" s="49" t="s">
        <v>7</v>
      </c>
      <c r="I4" s="49" t="s">
        <v>11</v>
      </c>
      <c r="J4" s="49" t="s">
        <v>12</v>
      </c>
      <c r="K4" s="49" t="s">
        <v>115</v>
      </c>
      <c r="L4" s="49" t="s">
        <v>116</v>
      </c>
      <c r="M4" s="136" t="s">
        <v>13</v>
      </c>
      <c r="N4" s="49" t="s">
        <v>16</v>
      </c>
      <c r="O4" s="49" t="s">
        <v>18</v>
      </c>
    </row>
    <row r="5" spans="1:19" ht="30">
      <c r="A5" s="54"/>
      <c r="B5" s="55"/>
      <c r="C5" s="53"/>
      <c r="D5" s="53"/>
      <c r="E5" s="53"/>
      <c r="F5" s="53"/>
      <c r="G5" s="150" t="s">
        <v>117</v>
      </c>
      <c r="H5" s="53"/>
      <c r="I5" s="53"/>
      <c r="J5" s="53"/>
      <c r="K5" s="53"/>
      <c r="L5" s="53"/>
      <c r="M5" s="137"/>
      <c r="N5" s="53"/>
      <c r="O5" s="53"/>
    </row>
    <row r="6" spans="1:19">
      <c r="A6" s="146">
        <v>46082</v>
      </c>
      <c r="B6" s="147"/>
      <c r="C6" s="148">
        <v>0</v>
      </c>
      <c r="D6" s="138">
        <v>44</v>
      </c>
      <c r="E6" s="138"/>
      <c r="F6" s="139"/>
      <c r="G6" s="151">
        <v>600.27499999999998</v>
      </c>
      <c r="H6" s="152"/>
      <c r="I6" s="140">
        <f>IF(P6="Выходной",SUM(C6*150)*1.5,SUM(C6*150))</f>
        <v>0</v>
      </c>
      <c r="J6" s="140">
        <f>IF(P6="Выходной",SUM(D6*150)*1.5,SUM(D6*150))</f>
        <v>9900</v>
      </c>
      <c r="K6" s="140">
        <f>IF(OR(WEEKDAY(A6)=1,WEEKDAY(A6)=7,NOT(ISERROR(MATCH(A6,[1]Праздники!A:A,0)))),SUM(E6*225)*1.5,SUM(E6*225))</f>
        <v>0</v>
      </c>
      <c r="L6" s="140">
        <f>IF(OR(WEEKDAY(A6)=1,WEEKDAY(A6)=7,NOT(ISERROR(MATCH(A6,[1]Праздники!A:A,0)))),SUM(F6*225)*1.5,SUM(F6*225))</f>
        <v>0</v>
      </c>
      <c r="M6" s="140">
        <f>SUM(G6*15)</f>
        <v>9004.125</v>
      </c>
      <c r="N6" s="140">
        <f>SUM(H6)*750</f>
        <v>0</v>
      </c>
      <c r="O6" s="140">
        <f>SUM(I6:N6)</f>
        <v>18904.125</v>
      </c>
      <c r="P6" s="47" t="str">
        <f>IF(OR(WEEKDAY(A6)=1,WEEKDAY(A6)=7,NOT(ISERROR(MATCH(A6,[1]Праздники!A:A,0)))),"Выходной","Рабочий")</f>
        <v>Выходной</v>
      </c>
    </row>
    <row r="7" spans="1:19">
      <c r="A7" s="146">
        <v>46083</v>
      </c>
      <c r="B7" s="147"/>
      <c r="C7" s="148">
        <v>0</v>
      </c>
      <c r="D7" s="138">
        <v>0</v>
      </c>
      <c r="E7" s="138"/>
      <c r="F7" s="139"/>
      <c r="G7" s="151">
        <f>IF(A7 ="",0,G6+C7+E7-D6-F6)</f>
        <v>556.27499999999998</v>
      </c>
      <c r="H7" s="152"/>
      <c r="I7" s="140">
        <f t="shared" ref="I7:I36" si="0">IF(P7="Выходной",SUM(C7*150)*1.5,SUM(C7*150))</f>
        <v>0</v>
      </c>
      <c r="J7" s="140">
        <f t="shared" ref="J7:J36" si="1">IF(P7="Выходной",SUM(D7*150)*1.5,SUM(D7*150))</f>
        <v>0</v>
      </c>
      <c r="K7" s="140">
        <f>IF(OR(WEEKDAY(A7)=1,WEEKDAY(A7)=7,NOT(ISERROR(MATCH(A7,[1]Праздники!A:A,0)))),SUM(E7*225)*1.5,SUM(E7*225))</f>
        <v>0</v>
      </c>
      <c r="L7" s="140">
        <f>IF(OR(WEEKDAY(A7)=1,WEEKDAY(A7)=7,NOT(ISERROR(MATCH(A7,[1]Праздники!A:A,0)))),SUM(F7*225)*1.5,SUM(F7*225))</f>
        <v>0</v>
      </c>
      <c r="M7" s="140">
        <f t="shared" ref="M7:M36" si="2">SUM(G7*15)</f>
        <v>8344.125</v>
      </c>
      <c r="N7" s="140">
        <f t="shared" ref="N7:N36" si="3">SUM(H7)*750</f>
        <v>0</v>
      </c>
      <c r="O7" s="140">
        <f t="shared" ref="O7:O35" si="4">SUM(I7:N7)</f>
        <v>8344.125</v>
      </c>
      <c r="P7" s="47" t="str">
        <f>IF(OR(WEEKDAY(A7)=1,WEEKDAY(A7)=7,NOT(ISERROR(MATCH(A7,[1]Праздники!A:A,0)))),"Выходной","Рабочий")</f>
        <v>Рабочий</v>
      </c>
    </row>
    <row r="8" spans="1:19">
      <c r="A8" s="146">
        <v>46084</v>
      </c>
      <c r="B8" s="147"/>
      <c r="C8" s="148">
        <v>0</v>
      </c>
      <c r="D8" s="138">
        <v>43.95</v>
      </c>
      <c r="E8" s="138"/>
      <c r="F8" s="139"/>
      <c r="G8" s="151">
        <f t="shared" ref="G8:G36" si="5">IF(A8 ="",0,G7+C8+E8-D7-F7)</f>
        <v>556.27499999999998</v>
      </c>
      <c r="H8" s="152"/>
      <c r="I8" s="140">
        <f t="shared" si="0"/>
        <v>0</v>
      </c>
      <c r="J8" s="140">
        <f t="shared" si="1"/>
        <v>6592.5</v>
      </c>
      <c r="K8" s="140">
        <f>IF(OR(WEEKDAY(A8)=1,WEEKDAY(A8)=7,NOT(ISERROR(MATCH(A8,[1]Праздники!A:A,0)))),SUM(E8*225)*1.5,SUM(E8*225))</f>
        <v>0</v>
      </c>
      <c r="L8" s="140">
        <f>IF(OR(WEEKDAY(A8)=1,WEEKDAY(A8)=7,NOT(ISERROR(MATCH(A8,[1]Праздники!A:A,0)))),SUM(F8*225)*1.5,SUM(F8*225))</f>
        <v>0</v>
      </c>
      <c r="M8" s="140">
        <f t="shared" si="2"/>
        <v>8344.125</v>
      </c>
      <c r="N8" s="140">
        <f t="shared" si="3"/>
        <v>0</v>
      </c>
      <c r="O8" s="140">
        <f t="shared" si="4"/>
        <v>14936.625</v>
      </c>
      <c r="P8" s="47" t="str">
        <f>IF(OR(WEEKDAY(A8)=1,WEEKDAY(A8)=7,NOT(ISERROR(MATCH(A8,[1]Праздники!A:A,0)))),"Выходной","Рабочий")</f>
        <v>Рабочий</v>
      </c>
    </row>
    <row r="9" spans="1:19">
      <c r="A9" s="146">
        <v>46085</v>
      </c>
      <c r="B9" s="147"/>
      <c r="C9" s="148">
        <v>0</v>
      </c>
      <c r="D9" s="138">
        <v>44</v>
      </c>
      <c r="E9" s="138"/>
      <c r="F9" s="139"/>
      <c r="G9" s="151">
        <f t="shared" si="5"/>
        <v>512.32499999999993</v>
      </c>
      <c r="H9" s="152"/>
      <c r="I9" s="140">
        <f t="shared" si="0"/>
        <v>0</v>
      </c>
      <c r="J9" s="140">
        <f t="shared" si="1"/>
        <v>6600</v>
      </c>
      <c r="K9" s="140">
        <f>IF(OR(WEEKDAY(A9)=1,WEEKDAY(A9)=7,NOT(ISERROR(MATCH(A9,[1]Праздники!A:A,0)))),SUM(E9*225)*1.5,SUM(E9*225))</f>
        <v>0</v>
      </c>
      <c r="L9" s="140">
        <f>IF(OR(WEEKDAY(A9)=1,WEEKDAY(A9)=7,NOT(ISERROR(MATCH(A9,[1]Праздники!A:A,0)))),SUM(F9*225)*1.5,SUM(F9*225))</f>
        <v>0</v>
      </c>
      <c r="M9" s="140">
        <f t="shared" si="2"/>
        <v>7684.8749999999991</v>
      </c>
      <c r="N9" s="140">
        <f t="shared" si="3"/>
        <v>0</v>
      </c>
      <c r="O9" s="140">
        <f t="shared" si="4"/>
        <v>14284.875</v>
      </c>
      <c r="P9" s="47" t="str">
        <f>IF(OR(WEEKDAY(A9)=1,WEEKDAY(A9)=7,NOT(ISERROR(MATCH(A9,[1]Праздники!A:A,0)))),"Выходной","Рабочий")</f>
        <v>Рабочий</v>
      </c>
    </row>
    <row r="10" spans="1:19">
      <c r="A10" s="146">
        <v>46086</v>
      </c>
      <c r="B10" s="147"/>
      <c r="C10" s="148">
        <v>0</v>
      </c>
      <c r="D10" s="138">
        <v>0</v>
      </c>
      <c r="E10" s="138"/>
      <c r="F10" s="139"/>
      <c r="G10" s="151">
        <f t="shared" si="5"/>
        <v>468.32499999999993</v>
      </c>
      <c r="H10" s="152"/>
      <c r="I10" s="140">
        <f t="shared" si="0"/>
        <v>0</v>
      </c>
      <c r="J10" s="140">
        <f t="shared" si="1"/>
        <v>0</v>
      </c>
      <c r="K10" s="140">
        <f>IF(OR(WEEKDAY(A10)=1,WEEKDAY(A10)=7,NOT(ISERROR(MATCH(A10,[1]Праздники!A:A,0)))),SUM(E10*225)*1.5,SUM(E10*225))</f>
        <v>0</v>
      </c>
      <c r="L10" s="140">
        <f>IF(OR(WEEKDAY(A10)=1,WEEKDAY(A10)=7,NOT(ISERROR(MATCH(A10,[1]Праздники!A:A,0)))),SUM(F10*225)*1.5,SUM(F10*225))</f>
        <v>0</v>
      </c>
      <c r="M10" s="140">
        <f t="shared" si="2"/>
        <v>7024.8749999999991</v>
      </c>
      <c r="N10" s="140">
        <f t="shared" si="3"/>
        <v>0</v>
      </c>
      <c r="O10" s="140">
        <f t="shared" si="4"/>
        <v>7024.8749999999991</v>
      </c>
      <c r="P10" s="47" t="str">
        <f>IF(OR(WEEKDAY(A10)=1,WEEKDAY(A10)=7,NOT(ISERROR(MATCH(A10,[1]Праздники!A:A,0)))),"Выходной","Рабочий")</f>
        <v>Рабочий</v>
      </c>
    </row>
    <row r="11" spans="1:19">
      <c r="A11" s="146">
        <v>46087</v>
      </c>
      <c r="B11" s="147"/>
      <c r="C11" s="148">
        <v>0</v>
      </c>
      <c r="D11" s="138">
        <v>0</v>
      </c>
      <c r="E11" s="138"/>
      <c r="F11" s="139"/>
      <c r="G11" s="151">
        <f t="shared" si="5"/>
        <v>468.32499999999993</v>
      </c>
      <c r="H11" s="152"/>
      <c r="I11" s="140">
        <f t="shared" si="0"/>
        <v>0</v>
      </c>
      <c r="J11" s="140">
        <f t="shared" si="1"/>
        <v>0</v>
      </c>
      <c r="K11" s="140">
        <f>IF(OR(WEEKDAY(A11)=1,WEEKDAY(A11)=7,NOT(ISERROR(MATCH(A11,[1]Праздники!A:A,0)))),SUM(E11*225)*1.5,SUM(E11*225))</f>
        <v>0</v>
      </c>
      <c r="L11" s="140">
        <f>IF(OR(WEEKDAY(A11)=1,WEEKDAY(A11)=7,NOT(ISERROR(MATCH(A11,[1]Праздники!A:A,0)))),SUM(F11*225)*1.5,SUM(F11*225))</f>
        <v>0</v>
      </c>
      <c r="M11" s="140">
        <f t="shared" si="2"/>
        <v>7024.8749999999991</v>
      </c>
      <c r="N11" s="140">
        <f t="shared" si="3"/>
        <v>0</v>
      </c>
      <c r="O11" s="140">
        <f t="shared" si="4"/>
        <v>7024.8749999999991</v>
      </c>
      <c r="P11" s="47" t="str">
        <f>IF(OR(WEEKDAY(A11)=1,WEEKDAY(A11)=7,NOT(ISERROR(MATCH(A11,[1]Праздники!A:A,0)))),"Выходной","Рабочий")</f>
        <v>Рабочий</v>
      </c>
    </row>
    <row r="12" spans="1:19">
      <c r="A12" s="146">
        <v>46088</v>
      </c>
      <c r="B12" s="147"/>
      <c r="C12" s="148">
        <v>0</v>
      </c>
      <c r="D12" s="138">
        <v>44</v>
      </c>
      <c r="E12" s="138"/>
      <c r="F12" s="139"/>
      <c r="G12" s="151">
        <f t="shared" si="5"/>
        <v>468.32499999999993</v>
      </c>
      <c r="H12" s="152"/>
      <c r="I12" s="140">
        <f t="shared" si="0"/>
        <v>0</v>
      </c>
      <c r="J12" s="140">
        <f t="shared" si="1"/>
        <v>9900</v>
      </c>
      <c r="K12" s="140">
        <f>IF(OR(WEEKDAY(A12)=1,WEEKDAY(A12)=7,NOT(ISERROR(MATCH(A12,[1]Праздники!A:A,0)))),SUM(E12*225)*1.5,SUM(E12*225))</f>
        <v>0</v>
      </c>
      <c r="L12" s="140">
        <f>IF(OR(WEEKDAY(A12)=1,WEEKDAY(A12)=7,NOT(ISERROR(MATCH(A12,[1]Праздники!A:A,0)))),SUM(F12*225)*1.5,SUM(F12*225))</f>
        <v>0</v>
      </c>
      <c r="M12" s="140">
        <f t="shared" si="2"/>
        <v>7024.8749999999991</v>
      </c>
      <c r="N12" s="140">
        <f t="shared" si="3"/>
        <v>0</v>
      </c>
      <c r="O12" s="140">
        <f t="shared" si="4"/>
        <v>16924.875</v>
      </c>
      <c r="P12" s="47" t="str">
        <f>IF(OR(WEEKDAY(A12)=1,WEEKDAY(A12)=7,NOT(ISERROR(MATCH(A12,[1]Праздники!A:A,0)))),"Выходной","Рабочий")</f>
        <v>Выходной</v>
      </c>
    </row>
    <row r="13" spans="1:19">
      <c r="A13" s="146">
        <v>46089</v>
      </c>
      <c r="B13" s="147"/>
      <c r="C13" s="148">
        <v>0</v>
      </c>
      <c r="D13" s="138">
        <v>44</v>
      </c>
      <c r="E13" s="138"/>
      <c r="F13" s="138"/>
      <c r="G13" s="151">
        <f t="shared" si="5"/>
        <v>424.32499999999993</v>
      </c>
      <c r="H13" s="152"/>
      <c r="I13" s="140">
        <f t="shared" si="0"/>
        <v>0</v>
      </c>
      <c r="J13" s="140">
        <f t="shared" si="1"/>
        <v>9900</v>
      </c>
      <c r="K13" s="140">
        <f>IF(OR(WEEKDAY(A13)=1,WEEKDAY(A13)=7,NOT(ISERROR(MATCH(A13,[1]Праздники!A:A,0)))),SUM(E13*225)*1.5,SUM(E13*225))</f>
        <v>0</v>
      </c>
      <c r="L13" s="140">
        <f>IF(OR(WEEKDAY(A13)=1,WEEKDAY(A13)=7,NOT(ISERROR(MATCH(A13,[1]Праздники!A:A,0)))),SUM(F13*225)*1.5,SUM(F13*225))</f>
        <v>0</v>
      </c>
      <c r="M13" s="140">
        <f t="shared" si="2"/>
        <v>6364.8749999999991</v>
      </c>
      <c r="N13" s="140">
        <f t="shared" si="3"/>
        <v>0</v>
      </c>
      <c r="O13" s="140">
        <f t="shared" si="4"/>
        <v>16264.875</v>
      </c>
      <c r="P13" s="47" t="str">
        <f>IF(OR(WEEKDAY(A13)=1,WEEKDAY(A13)=7,NOT(ISERROR(MATCH(A13,[1]Праздники!A:A,0)))),"Выходной","Рабочий")</f>
        <v>Выходной</v>
      </c>
    </row>
    <row r="14" spans="1:19">
      <c r="A14" s="146">
        <v>46090</v>
      </c>
      <c r="B14" s="147"/>
      <c r="C14" s="148">
        <v>0</v>
      </c>
      <c r="D14" s="138">
        <v>22</v>
      </c>
      <c r="E14" s="138"/>
      <c r="F14" s="138"/>
      <c r="G14" s="151">
        <f t="shared" si="5"/>
        <v>380.32499999999993</v>
      </c>
      <c r="H14" s="152"/>
      <c r="I14" s="140">
        <f t="shared" si="0"/>
        <v>0</v>
      </c>
      <c r="J14" s="140">
        <f t="shared" si="1"/>
        <v>4950</v>
      </c>
      <c r="K14" s="140">
        <f>IF(OR(WEEKDAY(A14)=1,WEEKDAY(A14)=7,NOT(ISERROR(MATCH(A14,[1]Праздники!A:A,0)))),SUM(E14*225)*1.5,SUM(E14*225))</f>
        <v>0</v>
      </c>
      <c r="L14" s="140">
        <f>IF(OR(WEEKDAY(A14)=1,WEEKDAY(A14)=7,NOT(ISERROR(MATCH(A14,[1]Праздники!A:A,0)))),SUM(F14*225)*1.5,SUM(F14*225))</f>
        <v>0</v>
      </c>
      <c r="M14" s="140">
        <f t="shared" si="2"/>
        <v>5704.8749999999991</v>
      </c>
      <c r="N14" s="140">
        <f t="shared" si="3"/>
        <v>0</v>
      </c>
      <c r="O14" s="140">
        <f t="shared" si="4"/>
        <v>10654.875</v>
      </c>
      <c r="P14" s="47" t="str">
        <f>IF(OR(WEEKDAY(A14)=1,WEEKDAY(A14)=7,NOT(ISERROR(MATCH(A14,[1]Праздники!A:A,0)))),"Выходной","Рабочий")</f>
        <v>Выходной</v>
      </c>
    </row>
    <row r="15" spans="1:19">
      <c r="A15" s="146">
        <v>46091</v>
      </c>
      <c r="B15" s="147"/>
      <c r="C15" s="148">
        <v>0</v>
      </c>
      <c r="D15" s="138">
        <v>59.125</v>
      </c>
      <c r="E15" s="138"/>
      <c r="F15" s="139"/>
      <c r="G15" s="151">
        <f t="shared" si="5"/>
        <v>358.32499999999993</v>
      </c>
      <c r="H15" s="152"/>
      <c r="I15" s="140">
        <f t="shared" si="0"/>
        <v>0</v>
      </c>
      <c r="J15" s="140">
        <f t="shared" si="1"/>
        <v>8868.75</v>
      </c>
      <c r="K15" s="140">
        <f>IF(OR(WEEKDAY(A15)=1,WEEKDAY(A15)=7,NOT(ISERROR(MATCH(A15,[1]Праздники!A:A,0)))),SUM(E15*225)*1.5,SUM(E15*225))</f>
        <v>0</v>
      </c>
      <c r="L15" s="140">
        <f>IF(OR(WEEKDAY(A15)=1,WEEKDAY(A15)=7,NOT(ISERROR(MATCH(A15,[1]Праздники!A:A,0)))),SUM(F15*225)*1.5,SUM(F15*225))</f>
        <v>0</v>
      </c>
      <c r="M15" s="140">
        <f t="shared" si="2"/>
        <v>5374.8749999999991</v>
      </c>
      <c r="N15" s="140">
        <f t="shared" si="3"/>
        <v>0</v>
      </c>
      <c r="O15" s="140">
        <f t="shared" si="4"/>
        <v>14243.625</v>
      </c>
      <c r="P15" s="47" t="str">
        <f>IF(OR(WEEKDAY(A15)=1,WEEKDAY(A15)=7,NOT(ISERROR(MATCH(A15,[1]Праздники!A:A,0)))),"Выходной","Рабочий")</f>
        <v>Рабочий</v>
      </c>
    </row>
    <row r="16" spans="1:19">
      <c r="A16" s="146">
        <v>46092</v>
      </c>
      <c r="B16" s="147"/>
      <c r="C16" s="148">
        <v>0</v>
      </c>
      <c r="D16" s="138">
        <v>44</v>
      </c>
      <c r="E16" s="138"/>
      <c r="F16" s="139"/>
      <c r="G16" s="151">
        <f t="shared" si="5"/>
        <v>299.19999999999993</v>
      </c>
      <c r="H16" s="152"/>
      <c r="I16" s="140">
        <f t="shared" si="0"/>
        <v>0</v>
      </c>
      <c r="J16" s="140">
        <f t="shared" si="1"/>
        <v>6600</v>
      </c>
      <c r="K16" s="140">
        <f>IF(OR(WEEKDAY(A16)=1,WEEKDAY(A16)=7,NOT(ISERROR(MATCH(A16,[1]Праздники!A:A,0)))),SUM(E16*225)*1.5,SUM(E16*225))</f>
        <v>0</v>
      </c>
      <c r="L16" s="140">
        <f>IF(OR(WEEKDAY(A16)=1,WEEKDAY(A16)=7,NOT(ISERROR(MATCH(A16,[1]Праздники!A:A,0)))),SUM(F16*225)*1.5,SUM(F16*225))</f>
        <v>0</v>
      </c>
      <c r="M16" s="140">
        <f t="shared" si="2"/>
        <v>4487.9999999999991</v>
      </c>
      <c r="N16" s="140">
        <f t="shared" si="3"/>
        <v>0</v>
      </c>
      <c r="O16" s="140">
        <f t="shared" si="4"/>
        <v>11088</v>
      </c>
      <c r="P16" s="47" t="str">
        <f>IF(OR(WEEKDAY(A16)=1,WEEKDAY(A16)=7,NOT(ISERROR(MATCH(A16,[1]Праздники!A:A,0)))),"Выходной","Рабочий")</f>
        <v>Рабочий</v>
      </c>
    </row>
    <row r="17" spans="1:16">
      <c r="A17" s="146">
        <v>46093</v>
      </c>
      <c r="B17" s="147"/>
      <c r="C17" s="148">
        <v>0</v>
      </c>
      <c r="D17" s="138">
        <v>44</v>
      </c>
      <c r="E17" s="138"/>
      <c r="F17" s="139"/>
      <c r="G17" s="151">
        <f t="shared" si="5"/>
        <v>255.19999999999993</v>
      </c>
      <c r="H17" s="152"/>
      <c r="I17" s="140">
        <f t="shared" si="0"/>
        <v>0</v>
      </c>
      <c r="J17" s="140">
        <f t="shared" si="1"/>
        <v>6600</v>
      </c>
      <c r="K17" s="140">
        <f>IF(OR(WEEKDAY(A17)=1,WEEKDAY(A17)=7,NOT(ISERROR(MATCH(A17,[1]Праздники!A:A,0)))),SUM(E17*225)*1.5,SUM(E17*225))</f>
        <v>0</v>
      </c>
      <c r="L17" s="140">
        <f>IF(OR(WEEKDAY(A17)=1,WEEKDAY(A17)=7,NOT(ISERROR(MATCH(A17,[1]Праздники!A:A,0)))),SUM(F17*225)*1.5,SUM(F17*225))</f>
        <v>0</v>
      </c>
      <c r="M17" s="140">
        <f t="shared" si="2"/>
        <v>3827.9999999999991</v>
      </c>
      <c r="N17" s="140">
        <f t="shared" si="3"/>
        <v>0</v>
      </c>
      <c r="O17" s="140">
        <f t="shared" si="4"/>
        <v>10428</v>
      </c>
      <c r="P17" s="47" t="str">
        <f>IF(OR(WEEKDAY(A17)=1,WEEKDAY(A17)=7,NOT(ISERROR(MATCH(A17,[1]Праздники!A:A,0)))),"Выходной","Рабочий")</f>
        <v>Рабочий</v>
      </c>
    </row>
    <row r="18" spans="1:16">
      <c r="A18" s="146">
        <v>46094</v>
      </c>
      <c r="B18" s="147"/>
      <c r="C18" s="148">
        <v>0</v>
      </c>
      <c r="D18" s="138">
        <v>22</v>
      </c>
      <c r="E18" s="138"/>
      <c r="F18" s="139"/>
      <c r="G18" s="151">
        <f t="shared" si="5"/>
        <v>211.19999999999993</v>
      </c>
      <c r="H18" s="152"/>
      <c r="I18" s="140">
        <f t="shared" si="0"/>
        <v>0</v>
      </c>
      <c r="J18" s="140">
        <f t="shared" si="1"/>
        <v>3300</v>
      </c>
      <c r="K18" s="140">
        <f>IF(OR(WEEKDAY(A18)=1,WEEKDAY(A18)=7,NOT(ISERROR(MATCH(A18,[1]Праздники!A:A,0)))),SUM(E18*225)*1.5,SUM(E18*225))</f>
        <v>0</v>
      </c>
      <c r="L18" s="140">
        <f>IF(OR(WEEKDAY(A18)=1,WEEKDAY(A18)=7,NOT(ISERROR(MATCH(A18,[1]Праздники!A:A,0)))),SUM(F18*225)*1.5,SUM(F18*225))</f>
        <v>0</v>
      </c>
      <c r="M18" s="140">
        <f t="shared" si="2"/>
        <v>3167.9999999999991</v>
      </c>
      <c r="N18" s="140">
        <f t="shared" si="3"/>
        <v>0</v>
      </c>
      <c r="O18" s="140">
        <f t="shared" si="4"/>
        <v>6467.9999999999991</v>
      </c>
      <c r="P18" s="47" t="str">
        <f>IF(OR(WEEKDAY(A18)=1,WEEKDAY(A18)=7,NOT(ISERROR(MATCH(A18,[1]Праздники!A:A,0)))),"Выходной","Рабочий")</f>
        <v>Рабочий</v>
      </c>
    </row>
    <row r="19" spans="1:16">
      <c r="A19" s="146">
        <v>46095</v>
      </c>
      <c r="B19" s="147"/>
      <c r="C19" s="148">
        <v>0</v>
      </c>
      <c r="D19" s="138">
        <v>66</v>
      </c>
      <c r="E19" s="138"/>
      <c r="F19" s="139"/>
      <c r="G19" s="151">
        <f t="shared" si="5"/>
        <v>189.19999999999993</v>
      </c>
      <c r="H19" s="152"/>
      <c r="I19" s="140">
        <f t="shared" si="0"/>
        <v>0</v>
      </c>
      <c r="J19" s="140">
        <f t="shared" si="1"/>
        <v>14850</v>
      </c>
      <c r="K19" s="140">
        <f>IF(OR(WEEKDAY(A19)=1,WEEKDAY(A19)=7,NOT(ISERROR(MATCH(A19,[1]Праздники!A:A,0)))),SUM(E19*225)*1.5,SUM(E19*225))</f>
        <v>0</v>
      </c>
      <c r="L19" s="140">
        <f>IF(OR(WEEKDAY(A19)=1,WEEKDAY(A19)=7,NOT(ISERROR(MATCH(A19,[1]Праздники!A:A,0)))),SUM(F19*225)*1.5,SUM(F19*225))</f>
        <v>0</v>
      </c>
      <c r="M19" s="140">
        <f t="shared" si="2"/>
        <v>2837.9999999999991</v>
      </c>
      <c r="N19" s="140">
        <f t="shared" si="3"/>
        <v>0</v>
      </c>
      <c r="O19" s="140">
        <f t="shared" si="4"/>
        <v>17688</v>
      </c>
      <c r="P19" s="47" t="str">
        <f>IF(OR(WEEKDAY(A19)=1,WEEKDAY(A19)=7,NOT(ISERROR(MATCH(A19,[1]Праздники!A:A,0)))),"Выходной","Рабочий")</f>
        <v>Выходной</v>
      </c>
    </row>
    <row r="20" spans="1:16">
      <c r="A20" s="146">
        <v>46096</v>
      </c>
      <c r="B20" s="147"/>
      <c r="C20" s="148">
        <v>0</v>
      </c>
      <c r="D20" s="138">
        <v>11</v>
      </c>
      <c r="E20" s="138"/>
      <c r="F20" s="139"/>
      <c r="G20" s="151">
        <f t="shared" si="5"/>
        <v>123.19999999999993</v>
      </c>
      <c r="H20" s="152"/>
      <c r="I20" s="140">
        <f t="shared" si="0"/>
        <v>0</v>
      </c>
      <c r="J20" s="140">
        <f t="shared" si="1"/>
        <v>2475</v>
      </c>
      <c r="K20" s="140">
        <f>IF(OR(WEEKDAY(A20)=1,WEEKDAY(A20)=7,NOT(ISERROR(MATCH(A20,[1]Праздники!A:A,0)))),SUM(E20*225)*1.5,SUM(E20*225))</f>
        <v>0</v>
      </c>
      <c r="L20" s="140">
        <f>IF(OR(WEEKDAY(A20)=1,WEEKDAY(A20)=7,NOT(ISERROR(MATCH(A20,[1]Праздники!A:A,0)))),SUM(F20*225)*1.5,SUM(F20*225))</f>
        <v>0</v>
      </c>
      <c r="M20" s="140">
        <f t="shared" si="2"/>
        <v>1847.9999999999991</v>
      </c>
      <c r="N20" s="140">
        <f t="shared" si="3"/>
        <v>0</v>
      </c>
      <c r="O20" s="140">
        <f t="shared" si="4"/>
        <v>4322.9999999999991</v>
      </c>
      <c r="P20" s="47" t="str">
        <f>IF(OR(WEEKDAY(A20)=1,WEEKDAY(A20)=7,NOT(ISERROR(MATCH(A20,[1]Праздники!A:A,0)))),"Выходной","Рабочий")</f>
        <v>Выходной</v>
      </c>
    </row>
    <row r="21" spans="1:16">
      <c r="A21" s="146">
        <v>46097</v>
      </c>
      <c r="B21" s="147"/>
      <c r="C21" s="148">
        <v>0</v>
      </c>
      <c r="D21" s="138">
        <v>0</v>
      </c>
      <c r="E21" s="138"/>
      <c r="F21" s="139"/>
      <c r="G21" s="151">
        <f t="shared" si="5"/>
        <v>112.19999999999993</v>
      </c>
      <c r="H21" s="152"/>
      <c r="I21" s="140">
        <f t="shared" si="0"/>
        <v>0</v>
      </c>
      <c r="J21" s="140">
        <f t="shared" si="1"/>
        <v>0</v>
      </c>
      <c r="K21" s="140">
        <f>IF(OR(WEEKDAY(A21)=1,WEEKDAY(A21)=7,NOT(ISERROR(MATCH(A21,[1]Праздники!A:A,0)))),SUM(E21*225)*1.5,SUM(E21*225))</f>
        <v>0</v>
      </c>
      <c r="L21" s="140">
        <f>IF(OR(WEEKDAY(A21)=1,WEEKDAY(A21)=7,NOT(ISERROR(MATCH(A21,[1]Праздники!A:A,0)))),SUM(F21*225)*1.5,SUM(F21*225))</f>
        <v>0</v>
      </c>
      <c r="M21" s="140">
        <f t="shared" si="2"/>
        <v>1682.9999999999991</v>
      </c>
      <c r="N21" s="140">
        <f t="shared" si="3"/>
        <v>0</v>
      </c>
      <c r="O21" s="140">
        <f t="shared" si="4"/>
        <v>1682.9999999999991</v>
      </c>
      <c r="P21" s="47" t="str">
        <f>IF(OR(WEEKDAY(A21)=1,WEEKDAY(A21)=7,NOT(ISERROR(MATCH(A21,[1]Праздники!A:A,0)))),"Выходной","Рабочий")</f>
        <v>Рабочий</v>
      </c>
    </row>
    <row r="22" spans="1:16">
      <c r="A22" s="146">
        <v>46098</v>
      </c>
      <c r="B22" s="147"/>
      <c r="C22" s="148">
        <v>0</v>
      </c>
      <c r="D22" s="138">
        <v>0</v>
      </c>
      <c r="E22" s="138"/>
      <c r="F22" s="139"/>
      <c r="G22" s="151">
        <f t="shared" si="5"/>
        <v>112.19999999999993</v>
      </c>
      <c r="H22" s="152"/>
      <c r="I22" s="140">
        <f t="shared" si="0"/>
        <v>0</v>
      </c>
      <c r="J22" s="140">
        <f t="shared" si="1"/>
        <v>0</v>
      </c>
      <c r="K22" s="140">
        <f>IF(OR(WEEKDAY(A22)=1,WEEKDAY(A22)=7,NOT(ISERROR(MATCH(A22,[1]Праздники!A:A,0)))),SUM(E22*225)*1.5,SUM(E22*225))</f>
        <v>0</v>
      </c>
      <c r="L22" s="140">
        <f>IF(OR(WEEKDAY(A22)=1,WEEKDAY(A22)=7,NOT(ISERROR(MATCH(A22,[1]Праздники!A:A,0)))),SUM(F22*225)*1.5,SUM(F22*225))</f>
        <v>0</v>
      </c>
      <c r="M22" s="140">
        <f t="shared" si="2"/>
        <v>1682.9999999999991</v>
      </c>
      <c r="N22" s="140">
        <f t="shared" si="3"/>
        <v>0</v>
      </c>
      <c r="O22" s="140">
        <f t="shared" si="4"/>
        <v>1682.9999999999991</v>
      </c>
      <c r="P22" s="47" t="str">
        <f>IF(OR(WEEKDAY(A22)=1,WEEKDAY(A22)=7,NOT(ISERROR(MATCH(A22,[1]Праздники!A:A,0)))),"Выходной","Рабочий")</f>
        <v>Рабочий</v>
      </c>
    </row>
    <row r="23" spans="1:16">
      <c r="A23" s="146">
        <v>46099</v>
      </c>
      <c r="B23" s="147"/>
      <c r="C23" s="148">
        <v>0</v>
      </c>
      <c r="D23" s="138">
        <v>0</v>
      </c>
      <c r="E23" s="138"/>
      <c r="F23" s="139"/>
      <c r="G23" s="151">
        <f t="shared" si="5"/>
        <v>112.19999999999993</v>
      </c>
      <c r="H23" s="152"/>
      <c r="I23" s="140">
        <f t="shared" si="0"/>
        <v>0</v>
      </c>
      <c r="J23" s="140">
        <f t="shared" si="1"/>
        <v>0</v>
      </c>
      <c r="K23" s="140">
        <f>IF(OR(WEEKDAY(A23)=1,WEEKDAY(A23)=7,NOT(ISERROR(MATCH(A23,[1]Праздники!A:A,0)))),SUM(E23*225)*1.5,SUM(E23*225))</f>
        <v>0</v>
      </c>
      <c r="L23" s="140">
        <f>IF(OR(WEEKDAY(A23)=1,WEEKDAY(A23)=7,NOT(ISERROR(MATCH(A23,[1]Праздники!A:A,0)))),SUM(F23*225)*1.5,SUM(F23*225))</f>
        <v>0</v>
      </c>
      <c r="M23" s="140">
        <f t="shared" si="2"/>
        <v>1682.9999999999991</v>
      </c>
      <c r="N23" s="140">
        <f t="shared" si="3"/>
        <v>0</v>
      </c>
      <c r="O23" s="140">
        <f t="shared" si="4"/>
        <v>1682.9999999999991</v>
      </c>
      <c r="P23" s="47" t="str">
        <f>IF(OR(WEEKDAY(A23)=1,WEEKDAY(A23)=7,NOT(ISERROR(MATCH(A23,[1]Праздники!A:A,0)))),"Выходной","Рабочий")</f>
        <v>Рабочий</v>
      </c>
    </row>
    <row r="24" spans="1:16">
      <c r="A24" s="146">
        <v>46100</v>
      </c>
      <c r="B24" s="147"/>
      <c r="C24" s="148">
        <v>0</v>
      </c>
      <c r="D24" s="138">
        <v>0</v>
      </c>
      <c r="E24" s="138"/>
      <c r="F24" s="139"/>
      <c r="G24" s="151">
        <f t="shared" si="5"/>
        <v>112.19999999999993</v>
      </c>
      <c r="H24" s="152"/>
      <c r="I24" s="140">
        <f t="shared" si="0"/>
        <v>0</v>
      </c>
      <c r="J24" s="140">
        <f t="shared" si="1"/>
        <v>0</v>
      </c>
      <c r="K24" s="140">
        <f>IF(OR(WEEKDAY(A24)=1,WEEKDAY(A24)=7,NOT(ISERROR(MATCH(A24,[1]Праздники!A:A,0)))),SUM(E24*225)*1.5,SUM(E24*225))</f>
        <v>0</v>
      </c>
      <c r="L24" s="140">
        <f>IF(OR(WEEKDAY(A24)=1,WEEKDAY(A24)=7,NOT(ISERROR(MATCH(A24,[1]Праздники!A:A,0)))),SUM(F24*225)*1.5,SUM(F24*225))</f>
        <v>0</v>
      </c>
      <c r="M24" s="140">
        <f t="shared" si="2"/>
        <v>1682.9999999999991</v>
      </c>
      <c r="N24" s="140">
        <f t="shared" si="3"/>
        <v>0</v>
      </c>
      <c r="O24" s="140">
        <f t="shared" si="4"/>
        <v>1682.9999999999991</v>
      </c>
      <c r="P24" s="47" t="str">
        <f>IF(OR(WEEKDAY(A24)=1,WEEKDAY(A24)=7,NOT(ISERROR(MATCH(A24,[1]Праздники!A:A,0)))),"Выходной","Рабочий")</f>
        <v>Рабочий</v>
      </c>
    </row>
    <row r="25" spans="1:16">
      <c r="A25" s="146">
        <v>46101</v>
      </c>
      <c r="B25" s="147"/>
      <c r="C25" s="148">
        <v>0</v>
      </c>
      <c r="D25" s="138">
        <v>0</v>
      </c>
      <c r="E25" s="138"/>
      <c r="F25" s="139"/>
      <c r="G25" s="151">
        <f t="shared" si="5"/>
        <v>112.19999999999993</v>
      </c>
      <c r="H25" s="152"/>
      <c r="I25" s="140">
        <f t="shared" si="0"/>
        <v>0</v>
      </c>
      <c r="J25" s="140">
        <f t="shared" si="1"/>
        <v>0</v>
      </c>
      <c r="K25" s="140">
        <f>IF(OR(WEEKDAY(A25)=1,WEEKDAY(A25)=7,NOT(ISERROR(MATCH(A25,[1]Праздники!A:A,0)))),SUM(E25*225)*1.5,SUM(E25*225))</f>
        <v>0</v>
      </c>
      <c r="L25" s="140">
        <f>IF(OR(WEEKDAY(A25)=1,WEEKDAY(A25)=7,NOT(ISERROR(MATCH(A25,[1]Праздники!A:A,0)))),SUM(F25*225)*1.5,SUM(F25*225))</f>
        <v>0</v>
      </c>
      <c r="M25" s="140">
        <f t="shared" si="2"/>
        <v>1682.9999999999991</v>
      </c>
      <c r="N25" s="140">
        <f t="shared" si="3"/>
        <v>0</v>
      </c>
      <c r="O25" s="140">
        <f t="shared" si="4"/>
        <v>1682.9999999999991</v>
      </c>
      <c r="P25" s="47" t="str">
        <f>IF(OR(WEEKDAY(A25)=1,WEEKDAY(A25)=7,NOT(ISERROR(MATCH(A25,[1]Праздники!A:A,0)))),"Выходной","Рабочий")</f>
        <v>Рабочий</v>
      </c>
    </row>
    <row r="26" spans="1:16">
      <c r="A26" s="146">
        <v>46102</v>
      </c>
      <c r="B26" s="147"/>
      <c r="C26" s="148">
        <v>0</v>
      </c>
      <c r="D26" s="138">
        <v>0</v>
      </c>
      <c r="E26" s="153"/>
      <c r="F26" s="139"/>
      <c r="G26" s="151">
        <f t="shared" si="5"/>
        <v>112.19999999999993</v>
      </c>
      <c r="H26" s="152"/>
      <c r="I26" s="140">
        <f t="shared" si="0"/>
        <v>0</v>
      </c>
      <c r="J26" s="140">
        <f t="shared" si="1"/>
        <v>0</v>
      </c>
      <c r="K26" s="140">
        <f>IF(OR(WEEKDAY(A26)=1,WEEKDAY(A26)=7,NOT(ISERROR(MATCH(A26,[1]Праздники!A:A,0)))),SUM(E26*225)*1.5,SUM(E26*225))</f>
        <v>0</v>
      </c>
      <c r="L26" s="140">
        <f>IF(OR(WEEKDAY(A26)=1,WEEKDAY(A26)=7,NOT(ISERROR(MATCH(A26,[1]Праздники!A:A,0)))),SUM(F26*225)*1.5,SUM(F26*225))</f>
        <v>0</v>
      </c>
      <c r="M26" s="140">
        <f t="shared" si="2"/>
        <v>1682.9999999999991</v>
      </c>
      <c r="N26" s="140">
        <f t="shared" si="3"/>
        <v>0</v>
      </c>
      <c r="O26" s="140">
        <f t="shared" si="4"/>
        <v>1682.9999999999991</v>
      </c>
      <c r="P26" s="47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146">
        <v>46103</v>
      </c>
      <c r="B27" s="147"/>
      <c r="C27" s="148">
        <v>0</v>
      </c>
      <c r="D27" s="138">
        <v>0</v>
      </c>
      <c r="E27" s="138"/>
      <c r="F27" s="138"/>
      <c r="G27" s="151">
        <f t="shared" si="5"/>
        <v>112.19999999999993</v>
      </c>
      <c r="H27" s="152"/>
      <c r="I27" s="140">
        <f t="shared" si="0"/>
        <v>0</v>
      </c>
      <c r="J27" s="140">
        <f t="shared" si="1"/>
        <v>0</v>
      </c>
      <c r="K27" s="140">
        <f>IF(OR(WEEKDAY(A27)=1,WEEKDAY(A27)=7,NOT(ISERROR(MATCH(A27,[1]Праздники!A:A,0)))),SUM(E27*225)*1.5,SUM(E27*225))</f>
        <v>0</v>
      </c>
      <c r="L27" s="140">
        <f>IF(OR(WEEKDAY(A27)=1,WEEKDAY(A27)=7,NOT(ISERROR(MATCH(A27,[1]Праздники!A:A,0)))),SUM(F27*225)*1.5,SUM(F27*225))</f>
        <v>0</v>
      </c>
      <c r="M27" s="140">
        <f t="shared" si="2"/>
        <v>1682.9999999999991</v>
      </c>
      <c r="N27" s="140">
        <f t="shared" si="3"/>
        <v>0</v>
      </c>
      <c r="O27" s="140">
        <f t="shared" si="4"/>
        <v>1682.9999999999991</v>
      </c>
      <c r="P27" s="47" t="str">
        <f>IF(OR(WEEKDAY(A27)=1,WEEKDAY(A27)=7,NOT(ISERROR(MATCH(A27,[1]Праздники!A:A,0)))),"Выходной","Рабочий")</f>
        <v>Выходной</v>
      </c>
    </row>
    <row r="28" spans="1:16">
      <c r="A28" s="146">
        <v>46104</v>
      </c>
      <c r="B28" s="147"/>
      <c r="C28" s="148">
        <v>0</v>
      </c>
      <c r="D28" s="138">
        <v>44</v>
      </c>
      <c r="E28" s="138"/>
      <c r="F28" s="139"/>
      <c r="G28" s="151">
        <f t="shared" si="5"/>
        <v>112.19999999999993</v>
      </c>
      <c r="H28" s="152"/>
      <c r="I28" s="140">
        <f t="shared" si="0"/>
        <v>0</v>
      </c>
      <c r="J28" s="140">
        <f t="shared" si="1"/>
        <v>6600</v>
      </c>
      <c r="K28" s="140">
        <f>IF(OR(WEEKDAY(A28)=1,WEEKDAY(A28)=7,NOT(ISERROR(MATCH(A28,[1]Праздники!A:A,0)))),SUM(E28*225)*1.5,SUM(E28*225))</f>
        <v>0</v>
      </c>
      <c r="L28" s="140">
        <f>IF(OR(WEEKDAY(A28)=1,WEEKDAY(A28)=7,NOT(ISERROR(MATCH(A28,[1]Праздники!A:A,0)))),SUM(F28*225)*1.5,SUM(F28*225))</f>
        <v>0</v>
      </c>
      <c r="M28" s="140">
        <f t="shared" si="2"/>
        <v>1682.9999999999991</v>
      </c>
      <c r="N28" s="140">
        <f t="shared" si="3"/>
        <v>0</v>
      </c>
      <c r="O28" s="140">
        <f t="shared" si="4"/>
        <v>8283</v>
      </c>
      <c r="P28" s="47" t="str">
        <f>IF(OR(WEEKDAY(A28)=1,WEEKDAY(A28)=7,NOT(ISERROR(MATCH(A28,[1]Праздники!A:A,0)))),"Выходной","Рабочий")</f>
        <v>Рабочий</v>
      </c>
    </row>
    <row r="29" spans="1:16">
      <c r="A29" s="146">
        <v>46105</v>
      </c>
      <c r="B29" s="147"/>
      <c r="C29" s="148">
        <v>0</v>
      </c>
      <c r="D29" s="138">
        <v>66</v>
      </c>
      <c r="E29" s="138"/>
      <c r="F29" s="139"/>
      <c r="G29" s="151">
        <f t="shared" si="5"/>
        <v>68.199999999999932</v>
      </c>
      <c r="H29" s="152"/>
      <c r="I29" s="140">
        <f t="shared" si="0"/>
        <v>0</v>
      </c>
      <c r="J29" s="140">
        <f t="shared" si="1"/>
        <v>9900</v>
      </c>
      <c r="K29" s="140">
        <f>IF(OR(WEEKDAY(A29)=1,WEEKDAY(A29)=7,NOT(ISERROR(MATCH(A29,[1]Праздники!A:A,0)))),SUM(E29*225)*1.5,SUM(E29*225))</f>
        <v>0</v>
      </c>
      <c r="L29" s="140">
        <f>IF(OR(WEEKDAY(A29)=1,WEEKDAY(A29)=7,NOT(ISERROR(MATCH(A29,[1]Праздники!A:A,0)))),SUM(F29*225)*1.5,SUM(F29*225))</f>
        <v>0</v>
      </c>
      <c r="M29" s="140">
        <f t="shared" si="2"/>
        <v>1022.999999999999</v>
      </c>
      <c r="N29" s="140">
        <f t="shared" si="3"/>
        <v>0</v>
      </c>
      <c r="O29" s="140">
        <f t="shared" si="4"/>
        <v>10922.999999999998</v>
      </c>
      <c r="P29" s="47" t="str">
        <f>IF(OR(WEEKDAY(A29)=1,WEEKDAY(A29)=7,NOT(ISERROR(MATCH(A29,[1]Праздники!A:A,0)))),"Выходной","Рабочий")</f>
        <v>Рабочий</v>
      </c>
    </row>
    <row r="30" spans="1:16">
      <c r="A30" s="146">
        <v>46106</v>
      </c>
      <c r="B30" s="147"/>
      <c r="C30" s="148">
        <v>0</v>
      </c>
      <c r="D30" s="138">
        <v>0</v>
      </c>
      <c r="E30" s="138"/>
      <c r="F30" s="139"/>
      <c r="G30" s="151">
        <f t="shared" si="5"/>
        <v>2.1999999999999318</v>
      </c>
      <c r="H30" s="152"/>
      <c r="I30" s="140">
        <f t="shared" si="0"/>
        <v>0</v>
      </c>
      <c r="J30" s="140">
        <f t="shared" si="1"/>
        <v>0</v>
      </c>
      <c r="K30" s="140">
        <f>IF(OR(WEEKDAY(A30)=1,WEEKDAY(A30)=7,NOT(ISERROR(MATCH(A30,[1]Праздники!A:A,0)))),SUM(E30*225)*1.5,SUM(E30*225))</f>
        <v>0</v>
      </c>
      <c r="L30" s="140">
        <f>IF(OR(WEEKDAY(A30)=1,WEEKDAY(A30)=7,NOT(ISERROR(MATCH(A30,[1]Праздники!A:A,0)))),SUM(F30*225)*1.5,SUM(F30*225))</f>
        <v>0</v>
      </c>
      <c r="M30" s="140">
        <f t="shared" si="2"/>
        <v>32.999999999998977</v>
      </c>
      <c r="N30" s="140">
        <f t="shared" si="3"/>
        <v>0</v>
      </c>
      <c r="O30" s="140">
        <f t="shared" si="4"/>
        <v>32.999999999998977</v>
      </c>
      <c r="P30" s="47" t="str">
        <f>IF(OR(WEEKDAY(A30)=1,WEEKDAY(A30)=7,NOT(ISERROR(MATCH(A30,[1]Праздники!A:A,0)))),"Выходной","Рабочий")</f>
        <v>Рабочий</v>
      </c>
    </row>
    <row r="31" spans="1:16">
      <c r="A31" s="146">
        <v>46107</v>
      </c>
      <c r="B31" s="147"/>
      <c r="C31" s="148">
        <v>0</v>
      </c>
      <c r="D31" s="138">
        <v>0</v>
      </c>
      <c r="E31" s="138"/>
      <c r="F31" s="139"/>
      <c r="G31" s="151">
        <f t="shared" si="5"/>
        <v>2.1999999999999318</v>
      </c>
      <c r="H31" s="152"/>
      <c r="I31" s="140">
        <f t="shared" si="0"/>
        <v>0</v>
      </c>
      <c r="J31" s="140">
        <f t="shared" si="1"/>
        <v>0</v>
      </c>
      <c r="K31" s="140">
        <f>IF(OR(WEEKDAY(A31)=1,WEEKDAY(A31)=7,NOT(ISERROR(MATCH(A31,[1]Праздники!A:A,0)))),SUM(E31*225)*1.5,SUM(E31*225))</f>
        <v>0</v>
      </c>
      <c r="L31" s="140">
        <f>IF(OR(WEEKDAY(A31)=1,WEEKDAY(A31)=7,NOT(ISERROR(MATCH(A31,[1]Праздники!A:A,0)))),SUM(F31*225)*1.5,SUM(F31*225))</f>
        <v>0</v>
      </c>
      <c r="M31" s="140">
        <f t="shared" si="2"/>
        <v>32.999999999998977</v>
      </c>
      <c r="N31" s="140">
        <f t="shared" si="3"/>
        <v>0</v>
      </c>
      <c r="O31" s="140">
        <f t="shared" si="4"/>
        <v>32.999999999998977</v>
      </c>
      <c r="P31" s="47" t="str">
        <f>IF(OR(WEEKDAY(A31)=1,WEEKDAY(A31)=7,NOT(ISERROR(MATCH(A31,[1]Праздники!A:A,0)))),"Выходной","Рабочий")</f>
        <v>Рабочий</v>
      </c>
    </row>
    <row r="32" spans="1:16">
      <c r="A32" s="146">
        <v>46108</v>
      </c>
      <c r="B32" s="147"/>
      <c r="C32" s="148">
        <v>0</v>
      </c>
      <c r="D32" s="138">
        <v>0</v>
      </c>
      <c r="E32" s="138"/>
      <c r="F32" s="139"/>
      <c r="G32" s="151">
        <f t="shared" si="5"/>
        <v>2.1999999999999318</v>
      </c>
      <c r="H32" s="152"/>
      <c r="I32" s="140">
        <f t="shared" si="0"/>
        <v>0</v>
      </c>
      <c r="J32" s="140">
        <f t="shared" si="1"/>
        <v>0</v>
      </c>
      <c r="K32" s="140">
        <f>IF(OR(WEEKDAY(A32)=1,WEEKDAY(A32)=7,NOT(ISERROR(MATCH(A32,[1]Праздники!A:A,0)))),SUM(E32*225)*1.5,SUM(E32*225))</f>
        <v>0</v>
      </c>
      <c r="L32" s="140">
        <f>IF(OR(WEEKDAY(A32)=1,WEEKDAY(A32)=7,NOT(ISERROR(MATCH(A32,[1]Праздники!A:A,0)))),SUM(F32*225)*1.5,SUM(F32*225))</f>
        <v>0</v>
      </c>
      <c r="M32" s="140">
        <f t="shared" si="2"/>
        <v>32.999999999998977</v>
      </c>
      <c r="N32" s="140">
        <f t="shared" si="3"/>
        <v>0</v>
      </c>
      <c r="O32" s="140">
        <f t="shared" si="4"/>
        <v>32.999999999998977</v>
      </c>
      <c r="P32" s="47" t="str">
        <f>IF(OR(WEEKDAY(A32)=1,WEEKDAY(A32)=7,NOT(ISERROR(MATCH(A32,[1]Праздники!A:A,0)))),"Выходной","Рабочий")</f>
        <v>Рабочий</v>
      </c>
    </row>
    <row r="33" spans="1:17">
      <c r="A33" s="146">
        <v>46109</v>
      </c>
      <c r="B33" s="147"/>
      <c r="C33" s="148">
        <v>0</v>
      </c>
      <c r="D33" s="138">
        <v>1.325</v>
      </c>
      <c r="E33" s="138"/>
      <c r="F33" s="139"/>
      <c r="G33" s="151">
        <f t="shared" si="5"/>
        <v>2.1999999999999318</v>
      </c>
      <c r="H33" s="152"/>
      <c r="I33" s="140">
        <f t="shared" si="0"/>
        <v>0</v>
      </c>
      <c r="J33" s="140">
        <f t="shared" si="1"/>
        <v>298.125</v>
      </c>
      <c r="K33" s="140">
        <f>IF(OR(WEEKDAY(A33)=1,WEEKDAY(A33)=7,NOT(ISERROR(MATCH(A33,[1]Праздники!A:A,0)))),SUM(E33*225)*1.5,SUM(E33*225))</f>
        <v>0</v>
      </c>
      <c r="L33" s="140">
        <f>IF(OR(WEEKDAY(A33)=1,WEEKDAY(A33)=7,NOT(ISERROR(MATCH(A33,[1]Праздники!A:A,0)))),SUM(F33*225)*1.5,SUM(F33*225))</f>
        <v>0</v>
      </c>
      <c r="M33" s="140">
        <f t="shared" si="2"/>
        <v>32.999999999998977</v>
      </c>
      <c r="N33" s="140">
        <f t="shared" si="3"/>
        <v>0</v>
      </c>
      <c r="O33" s="140">
        <f t="shared" si="4"/>
        <v>331.12499999999898</v>
      </c>
      <c r="P33" s="47" t="str">
        <f>IF(OR(WEEKDAY(A33)=1,WEEKDAY(A33)=7,NOT(ISERROR(MATCH(A33,[1]Праздники!A:A,0)))),"Выходной","Рабочий")</f>
        <v>Выходной</v>
      </c>
    </row>
    <row r="34" spans="1:17">
      <c r="A34" s="146">
        <v>46110</v>
      </c>
      <c r="B34" s="147"/>
      <c r="C34" s="148">
        <v>0</v>
      </c>
      <c r="D34" s="138">
        <v>0</v>
      </c>
      <c r="E34" s="138"/>
      <c r="F34" s="139"/>
      <c r="G34" s="151">
        <f t="shared" si="5"/>
        <v>0.87499999999993183</v>
      </c>
      <c r="H34" s="152"/>
      <c r="I34" s="140">
        <f t="shared" si="0"/>
        <v>0</v>
      </c>
      <c r="J34" s="140">
        <f t="shared" si="1"/>
        <v>0</v>
      </c>
      <c r="K34" s="140">
        <f>IF(OR(WEEKDAY(A34)=1,WEEKDAY(A34)=7,NOT(ISERROR(MATCH(A34,[1]Праздники!A:A,0)))),SUM(E34*225)*1.5,SUM(E34*225))</f>
        <v>0</v>
      </c>
      <c r="L34" s="140">
        <f>IF(OR(WEEKDAY(A34)=1,WEEKDAY(A34)=7,NOT(ISERROR(MATCH(A34,[1]Праздники!A:A,0)))),SUM(F34*225)*1.5,SUM(F34*225))</f>
        <v>0</v>
      </c>
      <c r="M34" s="140">
        <f t="shared" si="2"/>
        <v>13.124999999998977</v>
      </c>
      <c r="N34" s="140">
        <f t="shared" si="3"/>
        <v>0</v>
      </c>
      <c r="O34" s="140">
        <f t="shared" si="4"/>
        <v>13.124999999998977</v>
      </c>
      <c r="P34" s="47" t="str">
        <f>IF(OR(WEEKDAY(A34)=1,WEEKDAY(A34)=7,NOT(ISERROR(MATCH(A34,[1]Праздники!A:A,0)))),"Выходной","Рабочий")</f>
        <v>Выходной</v>
      </c>
    </row>
    <row r="35" spans="1:17">
      <c r="A35" s="146">
        <v>46111</v>
      </c>
      <c r="B35" s="147"/>
      <c r="C35" s="148">
        <v>0</v>
      </c>
      <c r="D35" s="138">
        <v>0.875</v>
      </c>
      <c r="E35" s="151"/>
      <c r="F35" s="139"/>
      <c r="G35" s="151">
        <f t="shared" si="5"/>
        <v>0.87499999999993183</v>
      </c>
      <c r="H35" s="152"/>
      <c r="I35" s="140">
        <f t="shared" si="0"/>
        <v>0</v>
      </c>
      <c r="J35" s="140">
        <f t="shared" si="1"/>
        <v>131.25</v>
      </c>
      <c r="K35" s="140">
        <f>IF(OR(WEEKDAY(A35)=1,WEEKDAY(A35)=7,NOT(ISERROR(MATCH(A35,[1]Праздники!A:A,0)))),SUM(E35*225)*1.5,SUM(E35*225))</f>
        <v>0</v>
      </c>
      <c r="L35" s="140">
        <f>IF(OR(WEEKDAY(A35)=1,WEEKDAY(A35)=7,NOT(ISERROR(MATCH(A35,[1]Праздники!A:A,0)))),SUM(F35*225)*1.5,SUM(F35*225))</f>
        <v>0</v>
      </c>
      <c r="M35" s="140">
        <f t="shared" si="2"/>
        <v>13.124999999998977</v>
      </c>
      <c r="N35" s="140">
        <f t="shared" si="3"/>
        <v>0</v>
      </c>
      <c r="O35" s="140">
        <f t="shared" si="4"/>
        <v>144.37499999999898</v>
      </c>
      <c r="P35" s="47" t="str">
        <f>IF(OR(WEEKDAY(A35)=1,WEEKDAY(A35)=7,NOT(ISERROR(MATCH(A35,[1]Праздники!A:A,0)))),"Выходной","Рабочий")</f>
        <v>Рабочий</v>
      </c>
    </row>
    <row r="36" spans="1:17" ht="15.75" thickBot="1">
      <c r="A36" s="146">
        <v>46112</v>
      </c>
      <c r="B36" s="147"/>
      <c r="C36" s="148">
        <v>0</v>
      </c>
      <c r="D36" s="138">
        <v>0</v>
      </c>
      <c r="E36" s="151"/>
      <c r="F36" s="139"/>
      <c r="G36" s="151">
        <f t="shared" si="5"/>
        <v>-6.8167693711984612E-14</v>
      </c>
      <c r="H36" s="152"/>
      <c r="I36" s="140">
        <f t="shared" si="0"/>
        <v>0</v>
      </c>
      <c r="J36" s="140">
        <f t="shared" si="1"/>
        <v>0</v>
      </c>
      <c r="K36" s="140">
        <f>IF(OR(WEEKDAY(A36)=1,WEEKDAY(A36)=7,NOT(ISERROR(MATCH(A36,[1]Праздники!A:A,0)))),SUM(E36*225)*1.5,SUM(E36*225))</f>
        <v>0</v>
      </c>
      <c r="L36" s="140">
        <f>IF(OR(WEEKDAY(A36)=1,WEEKDAY(A36)=7,NOT(ISERROR(MATCH(A36,[1]Праздники!A:A,0)))),SUM(F36*225)*1.5,SUM(F36*225))</f>
        <v>0</v>
      </c>
      <c r="M36" s="140">
        <f t="shared" si="2"/>
        <v>-1.0225154056797692E-12</v>
      </c>
      <c r="N36" s="140">
        <f t="shared" si="3"/>
        <v>0</v>
      </c>
      <c r="O36" s="140">
        <f t="shared" ref="O36" si="6">SUM(I36:N36)</f>
        <v>-1.0225154056797692E-12</v>
      </c>
      <c r="P36" s="47" t="str">
        <f>IF(OR(WEEKDAY(A36)=1,WEEKDAY(A36)=7,NOT(ISERROR(MATCH(A36,[1]Праздники!A:A,0)))),"Выходной","Рабочий")</f>
        <v>Рабочий</v>
      </c>
    </row>
    <row r="37" spans="1:17" ht="15.75" thickBot="1">
      <c r="C37" s="141">
        <f>SUM(C6:C36)</f>
        <v>0</v>
      </c>
      <c r="D37" s="141">
        <f t="shared" ref="D37:O37" si="7">SUM(D6:D36)</f>
        <v>600.27500000000009</v>
      </c>
      <c r="E37" s="141">
        <f t="shared" si="7"/>
        <v>0</v>
      </c>
      <c r="F37" s="141">
        <f t="shared" si="7"/>
        <v>0</v>
      </c>
      <c r="G37" s="141">
        <f t="shared" si="7"/>
        <v>6847.4499999999953</v>
      </c>
      <c r="H37" s="154">
        <f t="shared" si="7"/>
        <v>0</v>
      </c>
      <c r="I37" s="142">
        <f t="shared" si="7"/>
        <v>0</v>
      </c>
      <c r="J37" s="142">
        <f t="shared" si="7"/>
        <v>107465.625</v>
      </c>
      <c r="K37" s="142">
        <f t="shared" si="7"/>
        <v>0</v>
      </c>
      <c r="L37" s="142">
        <f t="shared" si="7"/>
        <v>0</v>
      </c>
      <c r="M37" s="142">
        <f t="shared" si="7"/>
        <v>102711.75</v>
      </c>
      <c r="N37" s="142">
        <f t="shared" si="7"/>
        <v>0</v>
      </c>
      <c r="O37" s="143">
        <f t="shared" si="7"/>
        <v>210177.375</v>
      </c>
    </row>
    <row r="38" spans="1:17" ht="15.75" thickBot="1">
      <c r="G38" s="135"/>
      <c r="L38" s="68"/>
      <c r="M38" s="135"/>
      <c r="N38" s="154" t="s">
        <v>118</v>
      </c>
      <c r="O38" s="144">
        <f>O37*1.22</f>
        <v>256416.39749999999</v>
      </c>
      <c r="Q38" s="145"/>
    </row>
    <row r="39" spans="1:17">
      <c r="G39" s="135"/>
      <c r="M39" s="135"/>
    </row>
    <row r="40" spans="1:17">
      <c r="G40" s="135"/>
      <c r="M40" s="135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E4:E5"/>
    <mergeCell ref="F4:F5"/>
    <mergeCell ref="H4:H5"/>
  </mergeCells>
  <pageMargins left="0.7" right="0.7" top="0.75" bottom="0.75" header="0.3" footer="0.3"/>
  <pageSetup paperSize="9" scale="6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E83E-62C1-4089-9BF4-BE8DA17ECE00}">
  <sheetPr codeName="Лист8">
    <pageSetUpPr fitToPage="1"/>
  </sheetPr>
  <dimension ref="A1:S40"/>
  <sheetViews>
    <sheetView workbookViewId="0">
      <selection activeCell="G6" sqref="G6"/>
    </sheetView>
  </sheetViews>
  <sheetFormatPr defaultRowHeight="15"/>
  <cols>
    <col min="1" max="2" width="9.140625" style="47"/>
    <col min="3" max="3" width="9.85546875" style="47" bestFit="1" customWidth="1"/>
    <col min="4" max="6" width="9.140625" style="47"/>
    <col min="7" max="7" width="10.5703125" style="47" bestFit="1" customWidth="1"/>
    <col min="8" max="8" width="9.140625" style="47"/>
    <col min="9" max="9" width="12.7109375" style="47" customWidth="1"/>
    <col min="10" max="10" width="13.140625" style="47" bestFit="1" customWidth="1"/>
    <col min="11" max="12" width="9.28515625" style="47" bestFit="1" customWidth="1"/>
    <col min="13" max="13" width="15" style="47" customWidth="1"/>
    <col min="14" max="14" width="9.28515625" style="47" bestFit="1" customWidth="1"/>
    <col min="15" max="15" width="16" style="47" customWidth="1"/>
    <col min="16" max="16" width="9.140625" style="47"/>
    <col min="17" max="17" width="18.28515625" style="47" customWidth="1"/>
    <col min="18" max="16384" width="9.140625" style="47"/>
  </cols>
  <sheetData>
    <row r="1" spans="1:19">
      <c r="M1" s="135"/>
      <c r="Q1" s="123"/>
      <c r="R1" s="123" t="s">
        <v>108</v>
      </c>
      <c r="S1" s="123" t="s">
        <v>109</v>
      </c>
    </row>
    <row r="2" spans="1:19">
      <c r="M2" s="135"/>
      <c r="Q2" s="123" t="s">
        <v>110</v>
      </c>
      <c r="R2" s="123">
        <f>SUMIF($P$6:$P$36,R$1,$C6:$C36)</f>
        <v>658.02499999999998</v>
      </c>
      <c r="S2" s="123">
        <f>SUMIF($P$6:$P$36,S$1,$C6:$C36)</f>
        <v>660</v>
      </c>
    </row>
    <row r="3" spans="1:19">
      <c r="A3" s="73" t="str">
        <f>"Отчет по хранению  товара  РВ " &amp; TEXT(A6,"ММММ ") &amp; YEAR(A6) &amp; " Березовая Пойма"</f>
        <v>Отчет по хранению  товара  РВ Март 2026 Березовая Пойма</v>
      </c>
      <c r="G3" s="135"/>
      <c r="M3" s="135"/>
      <c r="Q3" s="123" t="s">
        <v>98</v>
      </c>
      <c r="R3" s="123">
        <f>SUMIF($P$6:$P$36,R$1,$D6:$D36)</f>
        <v>1262.9850000000001</v>
      </c>
      <c r="S3" s="123">
        <f>SUMIF($P$6:$P$36,S$1,$D6:$D36)</f>
        <v>4066.2650000000003</v>
      </c>
    </row>
    <row r="4" spans="1:19">
      <c r="A4" s="50" t="s">
        <v>1</v>
      </c>
      <c r="B4" s="51"/>
      <c r="C4" s="49" t="s">
        <v>111</v>
      </c>
      <c r="D4" s="49" t="s">
        <v>112</v>
      </c>
      <c r="E4" s="49" t="s">
        <v>113</v>
      </c>
      <c r="F4" s="49" t="s">
        <v>114</v>
      </c>
      <c r="G4" s="149" t="s">
        <v>4</v>
      </c>
      <c r="H4" s="49" t="s">
        <v>7</v>
      </c>
      <c r="I4" s="49" t="s">
        <v>11</v>
      </c>
      <c r="J4" s="49" t="s">
        <v>12</v>
      </c>
      <c r="K4" s="49" t="s">
        <v>115</v>
      </c>
      <c r="L4" s="49" t="s">
        <v>116</v>
      </c>
      <c r="M4" s="136" t="s">
        <v>13</v>
      </c>
      <c r="N4" s="49" t="s">
        <v>16</v>
      </c>
      <c r="O4" s="49" t="s">
        <v>18</v>
      </c>
    </row>
    <row r="5" spans="1:19" ht="30">
      <c r="A5" s="54"/>
      <c r="B5" s="55"/>
      <c r="C5" s="53"/>
      <c r="D5" s="53"/>
      <c r="E5" s="53"/>
      <c r="F5" s="53"/>
      <c r="G5" s="150" t="s">
        <v>117</v>
      </c>
      <c r="H5" s="53"/>
      <c r="I5" s="53"/>
      <c r="J5" s="53"/>
      <c r="K5" s="53"/>
      <c r="L5" s="53"/>
      <c r="M5" s="137"/>
      <c r="N5" s="53"/>
      <c r="O5" s="53"/>
    </row>
    <row r="6" spans="1:19">
      <c r="A6" s="146">
        <v>46082</v>
      </c>
      <c r="B6" s="147"/>
      <c r="C6" s="148">
        <v>0</v>
      </c>
      <c r="D6" s="138">
        <v>66.23</v>
      </c>
      <c r="E6" s="138"/>
      <c r="F6" s="139"/>
      <c r="G6" s="151">
        <v>4011.2249999999999</v>
      </c>
      <c r="H6" s="152"/>
      <c r="I6" s="140">
        <f>IF(P6="Выходной",SUM(C6*150)*1.5,SUM(C6*150))</f>
        <v>0</v>
      </c>
      <c r="J6" s="140">
        <f>IF(P6="Выходной",SUM(D6*150)*1.5,SUM(D6*150))</f>
        <v>14901.75</v>
      </c>
      <c r="K6" s="140">
        <f>IF(OR(WEEKDAY(A6)=1,WEEKDAY(A6)=7,NOT(ISERROR(MATCH(A6,[1]Праздники!A:A,0)))),SUM(E6*225)*1.5,SUM(E6*225))</f>
        <v>0</v>
      </c>
      <c r="L6" s="140">
        <f>IF(OR(WEEKDAY(A6)=1,WEEKDAY(A6)=7,NOT(ISERROR(MATCH(A6,[1]Праздники!A:A,0)))),SUM(F6*225)*1.5,SUM(F6*225))</f>
        <v>0</v>
      </c>
      <c r="M6" s="140">
        <f>SUM(G6*15)</f>
        <v>60168.375</v>
      </c>
      <c r="N6" s="140">
        <f>SUM(H6)*750</f>
        <v>0</v>
      </c>
      <c r="O6" s="140">
        <f>SUM(I6:N6)</f>
        <v>75070.125</v>
      </c>
      <c r="P6" s="47" t="str">
        <f>IF(OR(WEEKDAY(A6)=1,WEEKDAY(A6)=7,NOT(ISERROR(MATCH(A6,[1]Праздники!A:A,0)))),"Выходной","Рабочий")</f>
        <v>Выходной</v>
      </c>
    </row>
    <row r="7" spans="1:19">
      <c r="A7" s="146">
        <v>46083</v>
      </c>
      <c r="B7" s="147"/>
      <c r="C7" s="148">
        <v>0</v>
      </c>
      <c r="D7" s="138">
        <v>155.15</v>
      </c>
      <c r="E7" s="138"/>
      <c r="F7" s="139"/>
      <c r="G7" s="151">
        <f>IF(A7 ="",0,G6+C7+E7-D6-F6)</f>
        <v>3944.9949999999999</v>
      </c>
      <c r="H7" s="152"/>
      <c r="I7" s="140">
        <f t="shared" ref="I7:I36" si="0">IF(P7="Выходной",SUM(C7*150)*1.5,SUM(C7*150))</f>
        <v>0</v>
      </c>
      <c r="J7" s="140">
        <f t="shared" ref="J7:J36" si="1">IF(P7="Выходной",SUM(D7*150)*1.5,SUM(D7*150))</f>
        <v>23272.5</v>
      </c>
      <c r="K7" s="140">
        <f>IF(OR(WEEKDAY(A7)=1,WEEKDAY(A7)=7,NOT(ISERROR(MATCH(A7,[1]Праздники!A:A,0)))),SUM(E7*225)*1.5,SUM(E7*225))</f>
        <v>0</v>
      </c>
      <c r="L7" s="140">
        <f>IF(OR(WEEKDAY(A7)=1,WEEKDAY(A7)=7,NOT(ISERROR(MATCH(A7,[1]Праздники!A:A,0)))),SUM(F7*225)*1.5,SUM(F7*225))</f>
        <v>0</v>
      </c>
      <c r="M7" s="140">
        <f t="shared" ref="M7:M36" si="2">SUM(G7*15)</f>
        <v>59174.924999999996</v>
      </c>
      <c r="N7" s="140">
        <f t="shared" ref="N7:N36" si="3">SUM(H7)*750</f>
        <v>0</v>
      </c>
      <c r="O7" s="140">
        <f t="shared" ref="O7:O35" si="4">SUM(I7:N7)</f>
        <v>82447.424999999988</v>
      </c>
      <c r="P7" s="47" t="str">
        <f>IF(OR(WEEKDAY(A7)=1,WEEKDAY(A7)=7,NOT(ISERROR(MATCH(A7,[1]Праздники!A:A,0)))),"Выходной","Рабочий")</f>
        <v>Рабочий</v>
      </c>
    </row>
    <row r="8" spans="1:19">
      <c r="A8" s="146">
        <v>46084</v>
      </c>
      <c r="B8" s="147"/>
      <c r="C8" s="148">
        <v>0</v>
      </c>
      <c r="D8" s="138">
        <v>177.38</v>
      </c>
      <c r="E8" s="138"/>
      <c r="F8" s="139"/>
      <c r="G8" s="151">
        <f t="shared" ref="G8:G36" si="5">IF(A8 ="",0,G7+C8+E8-D7-F7)</f>
        <v>3789.8449999999998</v>
      </c>
      <c r="H8" s="152"/>
      <c r="I8" s="140">
        <f t="shared" si="0"/>
        <v>0</v>
      </c>
      <c r="J8" s="140">
        <f t="shared" si="1"/>
        <v>26607</v>
      </c>
      <c r="K8" s="140">
        <f>IF(OR(WEEKDAY(A8)=1,WEEKDAY(A8)=7,NOT(ISERROR(MATCH(A8,[1]Праздники!A:A,0)))),SUM(E8*225)*1.5,SUM(E8*225))</f>
        <v>0</v>
      </c>
      <c r="L8" s="140">
        <f>IF(OR(WEEKDAY(A8)=1,WEEKDAY(A8)=7,NOT(ISERROR(MATCH(A8,[1]Праздники!A:A,0)))),SUM(F8*225)*1.5,SUM(F8*225))</f>
        <v>0</v>
      </c>
      <c r="M8" s="140">
        <f t="shared" si="2"/>
        <v>56847.674999999996</v>
      </c>
      <c r="N8" s="140">
        <f t="shared" si="3"/>
        <v>0</v>
      </c>
      <c r="O8" s="140">
        <f t="shared" si="4"/>
        <v>83454.674999999988</v>
      </c>
      <c r="P8" s="47" t="str">
        <f>IF(OR(WEEKDAY(A8)=1,WEEKDAY(A8)=7,NOT(ISERROR(MATCH(A8,[1]Праздники!A:A,0)))),"Выходной","Рабочий")</f>
        <v>Рабочий</v>
      </c>
    </row>
    <row r="9" spans="1:19">
      <c r="A9" s="146">
        <v>46085</v>
      </c>
      <c r="B9" s="147"/>
      <c r="C9" s="148">
        <v>0</v>
      </c>
      <c r="D9" s="138">
        <v>66.459999999999994</v>
      </c>
      <c r="E9" s="138"/>
      <c r="F9" s="139"/>
      <c r="G9" s="151">
        <f t="shared" si="5"/>
        <v>3612.4649999999997</v>
      </c>
      <c r="H9" s="152"/>
      <c r="I9" s="140">
        <f t="shared" si="0"/>
        <v>0</v>
      </c>
      <c r="J9" s="140">
        <f t="shared" si="1"/>
        <v>9968.9999999999982</v>
      </c>
      <c r="K9" s="140">
        <f>IF(OR(WEEKDAY(A9)=1,WEEKDAY(A9)=7,NOT(ISERROR(MATCH(A9,[1]Праздники!A:A,0)))),SUM(E9*225)*1.5,SUM(E9*225))</f>
        <v>0</v>
      </c>
      <c r="L9" s="140">
        <f>IF(OR(WEEKDAY(A9)=1,WEEKDAY(A9)=7,NOT(ISERROR(MATCH(A9,[1]Праздники!A:A,0)))),SUM(F9*225)*1.5,SUM(F9*225))</f>
        <v>0</v>
      </c>
      <c r="M9" s="140">
        <f t="shared" si="2"/>
        <v>54186.974999999999</v>
      </c>
      <c r="N9" s="140">
        <f t="shared" si="3"/>
        <v>0</v>
      </c>
      <c r="O9" s="140">
        <f t="shared" si="4"/>
        <v>64155.974999999999</v>
      </c>
      <c r="P9" s="47" t="str">
        <f>IF(OR(WEEKDAY(A9)=1,WEEKDAY(A9)=7,NOT(ISERROR(MATCH(A9,[1]Праздники!A:A,0)))),"Выходной","Рабочий")</f>
        <v>Рабочий</v>
      </c>
    </row>
    <row r="10" spans="1:19">
      <c r="A10" s="146">
        <v>46086</v>
      </c>
      <c r="B10" s="147"/>
      <c r="C10" s="148">
        <v>0</v>
      </c>
      <c r="D10" s="138">
        <v>0</v>
      </c>
      <c r="E10" s="138"/>
      <c r="F10" s="139"/>
      <c r="G10" s="151">
        <f t="shared" si="5"/>
        <v>3546.0049999999997</v>
      </c>
      <c r="H10" s="152"/>
      <c r="I10" s="140">
        <f t="shared" si="0"/>
        <v>0</v>
      </c>
      <c r="J10" s="140">
        <f t="shared" si="1"/>
        <v>0</v>
      </c>
      <c r="K10" s="140">
        <f>IF(OR(WEEKDAY(A10)=1,WEEKDAY(A10)=7,NOT(ISERROR(MATCH(A10,[1]Праздники!A:A,0)))),SUM(E10*225)*1.5,SUM(E10*225))</f>
        <v>0</v>
      </c>
      <c r="L10" s="140">
        <f>IF(OR(WEEKDAY(A10)=1,WEEKDAY(A10)=7,NOT(ISERROR(MATCH(A10,[1]Праздники!A:A,0)))),SUM(F10*225)*1.5,SUM(F10*225))</f>
        <v>0</v>
      </c>
      <c r="M10" s="140">
        <f t="shared" si="2"/>
        <v>53190.074999999997</v>
      </c>
      <c r="N10" s="140">
        <f t="shared" si="3"/>
        <v>0</v>
      </c>
      <c r="O10" s="140">
        <f t="shared" si="4"/>
        <v>53190.074999999997</v>
      </c>
      <c r="P10" s="47" t="str">
        <f>IF(OR(WEEKDAY(A10)=1,WEEKDAY(A10)=7,NOT(ISERROR(MATCH(A10,[1]Праздники!A:A,0)))),"Выходной","Рабочий")</f>
        <v>Рабочий</v>
      </c>
    </row>
    <row r="11" spans="1:19">
      <c r="A11" s="146">
        <v>46087</v>
      </c>
      <c r="B11" s="147"/>
      <c r="C11" s="148">
        <v>0</v>
      </c>
      <c r="D11" s="138">
        <v>22</v>
      </c>
      <c r="E11" s="138"/>
      <c r="F11" s="139"/>
      <c r="G11" s="151">
        <f t="shared" si="5"/>
        <v>3546.0049999999997</v>
      </c>
      <c r="H11" s="152"/>
      <c r="I11" s="140">
        <f t="shared" si="0"/>
        <v>0</v>
      </c>
      <c r="J11" s="140">
        <f t="shared" si="1"/>
        <v>3300</v>
      </c>
      <c r="K11" s="140">
        <f>IF(OR(WEEKDAY(A11)=1,WEEKDAY(A11)=7,NOT(ISERROR(MATCH(A11,[1]Праздники!A:A,0)))),SUM(E11*225)*1.5,SUM(E11*225))</f>
        <v>0</v>
      </c>
      <c r="L11" s="140">
        <f>IF(OR(WEEKDAY(A11)=1,WEEKDAY(A11)=7,NOT(ISERROR(MATCH(A11,[1]Праздники!A:A,0)))),SUM(F11*225)*1.5,SUM(F11*225))</f>
        <v>0</v>
      </c>
      <c r="M11" s="140">
        <f t="shared" si="2"/>
        <v>53190.074999999997</v>
      </c>
      <c r="N11" s="140">
        <f t="shared" si="3"/>
        <v>0</v>
      </c>
      <c r="O11" s="140">
        <f t="shared" si="4"/>
        <v>56490.074999999997</v>
      </c>
      <c r="P11" s="47" t="str">
        <f>IF(OR(WEEKDAY(A11)=1,WEEKDAY(A11)=7,NOT(ISERROR(MATCH(A11,[1]Праздники!A:A,0)))),"Выходной","Рабочий")</f>
        <v>Рабочий</v>
      </c>
    </row>
    <row r="12" spans="1:19">
      <c r="A12" s="146">
        <v>46088</v>
      </c>
      <c r="B12" s="147"/>
      <c r="C12" s="148">
        <v>220</v>
      </c>
      <c r="D12" s="138">
        <v>22</v>
      </c>
      <c r="E12" s="138"/>
      <c r="F12" s="139"/>
      <c r="G12" s="151">
        <f t="shared" si="5"/>
        <v>3744.0049999999997</v>
      </c>
      <c r="H12" s="152"/>
      <c r="I12" s="140">
        <f t="shared" si="0"/>
        <v>49500</v>
      </c>
      <c r="J12" s="140">
        <f t="shared" si="1"/>
        <v>4950</v>
      </c>
      <c r="K12" s="140">
        <f>IF(OR(WEEKDAY(A12)=1,WEEKDAY(A12)=7,NOT(ISERROR(MATCH(A12,[1]Праздники!A:A,0)))),SUM(E12*225)*1.5,SUM(E12*225))</f>
        <v>0</v>
      </c>
      <c r="L12" s="140">
        <f>IF(OR(WEEKDAY(A12)=1,WEEKDAY(A12)=7,NOT(ISERROR(MATCH(A12,[1]Праздники!A:A,0)))),SUM(F12*225)*1.5,SUM(F12*225))</f>
        <v>0</v>
      </c>
      <c r="M12" s="140">
        <f t="shared" si="2"/>
        <v>56160.074999999997</v>
      </c>
      <c r="N12" s="140">
        <f t="shared" si="3"/>
        <v>0</v>
      </c>
      <c r="O12" s="140">
        <f t="shared" si="4"/>
        <v>110610.075</v>
      </c>
      <c r="P12" s="47" t="str">
        <f>IF(OR(WEEKDAY(A12)=1,WEEKDAY(A12)=7,NOT(ISERROR(MATCH(A12,[1]Праздники!A:A,0)))),"Выходной","Рабочий")</f>
        <v>Выходной</v>
      </c>
    </row>
    <row r="13" spans="1:19">
      <c r="A13" s="146">
        <v>46089</v>
      </c>
      <c r="B13" s="147"/>
      <c r="C13" s="148">
        <v>0</v>
      </c>
      <c r="D13" s="138">
        <v>22.5</v>
      </c>
      <c r="E13" s="138"/>
      <c r="F13" s="138"/>
      <c r="G13" s="151">
        <f t="shared" si="5"/>
        <v>3722.0049999999997</v>
      </c>
      <c r="H13" s="152"/>
      <c r="I13" s="140">
        <f t="shared" si="0"/>
        <v>0</v>
      </c>
      <c r="J13" s="140">
        <f t="shared" si="1"/>
        <v>5062.5</v>
      </c>
      <c r="K13" s="140">
        <f>IF(OR(WEEKDAY(A13)=1,WEEKDAY(A13)=7,NOT(ISERROR(MATCH(A13,[1]Праздники!A:A,0)))),SUM(E13*225)*1.5,SUM(E13*225))</f>
        <v>0</v>
      </c>
      <c r="L13" s="140">
        <f>IF(OR(WEEKDAY(A13)=1,WEEKDAY(A13)=7,NOT(ISERROR(MATCH(A13,[1]Праздники!A:A,0)))),SUM(F13*225)*1.5,SUM(F13*225))</f>
        <v>0</v>
      </c>
      <c r="M13" s="140">
        <f t="shared" si="2"/>
        <v>55830.074999999997</v>
      </c>
      <c r="N13" s="140">
        <f t="shared" si="3"/>
        <v>0</v>
      </c>
      <c r="O13" s="140">
        <f t="shared" si="4"/>
        <v>60892.574999999997</v>
      </c>
      <c r="P13" s="47" t="str">
        <f>IF(OR(WEEKDAY(A13)=1,WEEKDAY(A13)=7,NOT(ISERROR(MATCH(A13,[1]Праздники!A:A,0)))),"Выходной","Рабочий")</f>
        <v>Выходной</v>
      </c>
    </row>
    <row r="14" spans="1:19">
      <c r="A14" s="146">
        <v>46090</v>
      </c>
      <c r="B14" s="147"/>
      <c r="C14" s="148">
        <v>220</v>
      </c>
      <c r="D14" s="138">
        <v>22</v>
      </c>
      <c r="E14" s="138"/>
      <c r="F14" s="138"/>
      <c r="G14" s="151">
        <f t="shared" si="5"/>
        <v>3919.5049999999997</v>
      </c>
      <c r="H14" s="152"/>
      <c r="I14" s="140">
        <f t="shared" si="0"/>
        <v>49500</v>
      </c>
      <c r="J14" s="140">
        <f t="shared" si="1"/>
        <v>4950</v>
      </c>
      <c r="K14" s="140">
        <f>IF(OR(WEEKDAY(A14)=1,WEEKDAY(A14)=7,NOT(ISERROR(MATCH(A14,[1]Праздники!A:A,0)))),SUM(E14*225)*1.5,SUM(E14*225))</f>
        <v>0</v>
      </c>
      <c r="L14" s="140">
        <f>IF(OR(WEEKDAY(A14)=1,WEEKDAY(A14)=7,NOT(ISERROR(MATCH(A14,[1]Праздники!A:A,0)))),SUM(F14*225)*1.5,SUM(F14*225))</f>
        <v>0</v>
      </c>
      <c r="M14" s="140">
        <f t="shared" si="2"/>
        <v>58792.574999999997</v>
      </c>
      <c r="N14" s="140">
        <f t="shared" si="3"/>
        <v>0</v>
      </c>
      <c r="O14" s="140">
        <f t="shared" si="4"/>
        <v>113242.575</v>
      </c>
      <c r="P14" s="47" t="str">
        <f>IF(OR(WEEKDAY(A14)=1,WEEKDAY(A14)=7,NOT(ISERROR(MATCH(A14,[1]Праздники!A:A,0)))),"Выходной","Рабочий")</f>
        <v>Выходной</v>
      </c>
    </row>
    <row r="15" spans="1:19">
      <c r="A15" s="146">
        <v>46091</v>
      </c>
      <c r="B15" s="147"/>
      <c r="C15" s="148">
        <v>220</v>
      </c>
      <c r="D15" s="138">
        <v>0</v>
      </c>
      <c r="E15" s="138"/>
      <c r="F15" s="139"/>
      <c r="G15" s="151">
        <f t="shared" si="5"/>
        <v>4117.5049999999992</v>
      </c>
      <c r="H15" s="152"/>
      <c r="I15" s="140">
        <f t="shared" si="0"/>
        <v>33000</v>
      </c>
      <c r="J15" s="140">
        <f t="shared" si="1"/>
        <v>0</v>
      </c>
      <c r="K15" s="140">
        <f>IF(OR(WEEKDAY(A15)=1,WEEKDAY(A15)=7,NOT(ISERROR(MATCH(A15,[1]Праздники!A:A,0)))),SUM(E15*225)*1.5,SUM(E15*225))</f>
        <v>0</v>
      </c>
      <c r="L15" s="140">
        <f>IF(OR(WEEKDAY(A15)=1,WEEKDAY(A15)=7,NOT(ISERROR(MATCH(A15,[1]Праздники!A:A,0)))),SUM(F15*225)*1.5,SUM(F15*225))</f>
        <v>0</v>
      </c>
      <c r="M15" s="140">
        <f t="shared" si="2"/>
        <v>61762.57499999999</v>
      </c>
      <c r="N15" s="140">
        <f t="shared" si="3"/>
        <v>0</v>
      </c>
      <c r="O15" s="140">
        <f t="shared" si="4"/>
        <v>94762.574999999983</v>
      </c>
      <c r="P15" s="47" t="str">
        <f>IF(OR(WEEKDAY(A15)=1,WEEKDAY(A15)=7,NOT(ISERROR(MATCH(A15,[1]Праздники!A:A,0)))),"Выходной","Рабочий")</f>
        <v>Рабочий</v>
      </c>
    </row>
    <row r="16" spans="1:19">
      <c r="A16" s="146">
        <v>46092</v>
      </c>
      <c r="B16" s="147"/>
      <c r="C16" s="148">
        <v>0</v>
      </c>
      <c r="D16" s="138">
        <v>95.02</v>
      </c>
      <c r="E16" s="138"/>
      <c r="F16" s="139"/>
      <c r="G16" s="151">
        <f t="shared" si="5"/>
        <v>4117.5049999999992</v>
      </c>
      <c r="H16" s="152"/>
      <c r="I16" s="140">
        <f t="shared" si="0"/>
        <v>0</v>
      </c>
      <c r="J16" s="140">
        <f t="shared" si="1"/>
        <v>14253</v>
      </c>
      <c r="K16" s="140">
        <f>IF(OR(WEEKDAY(A16)=1,WEEKDAY(A16)=7,NOT(ISERROR(MATCH(A16,[1]Праздники!A:A,0)))),SUM(E16*225)*1.5,SUM(E16*225))</f>
        <v>0</v>
      </c>
      <c r="L16" s="140">
        <f>IF(OR(WEEKDAY(A16)=1,WEEKDAY(A16)=7,NOT(ISERROR(MATCH(A16,[1]Праздники!A:A,0)))),SUM(F16*225)*1.5,SUM(F16*225))</f>
        <v>0</v>
      </c>
      <c r="M16" s="140">
        <f t="shared" si="2"/>
        <v>61762.57499999999</v>
      </c>
      <c r="N16" s="140">
        <f t="shared" si="3"/>
        <v>0</v>
      </c>
      <c r="O16" s="140">
        <f t="shared" si="4"/>
        <v>76015.574999999983</v>
      </c>
      <c r="P16" s="47" t="str">
        <f>IF(OR(WEEKDAY(A16)=1,WEEKDAY(A16)=7,NOT(ISERROR(MATCH(A16,[1]Праздники!A:A,0)))),"Выходной","Рабочий")</f>
        <v>Рабочий</v>
      </c>
    </row>
    <row r="17" spans="1:16">
      <c r="A17" s="146">
        <v>46093</v>
      </c>
      <c r="B17" s="147"/>
      <c r="C17" s="148">
        <v>0</v>
      </c>
      <c r="D17" s="138">
        <v>53.45</v>
      </c>
      <c r="E17" s="138"/>
      <c r="F17" s="139"/>
      <c r="G17" s="151">
        <f t="shared" si="5"/>
        <v>4022.4849999999992</v>
      </c>
      <c r="H17" s="152"/>
      <c r="I17" s="140">
        <f t="shared" si="0"/>
        <v>0</v>
      </c>
      <c r="J17" s="140">
        <f t="shared" si="1"/>
        <v>8017.5</v>
      </c>
      <c r="K17" s="140">
        <f>IF(OR(WEEKDAY(A17)=1,WEEKDAY(A17)=7,NOT(ISERROR(MATCH(A17,[1]Праздники!A:A,0)))),SUM(E17*225)*1.5,SUM(E17*225))</f>
        <v>0</v>
      </c>
      <c r="L17" s="140">
        <f>IF(OR(WEEKDAY(A17)=1,WEEKDAY(A17)=7,NOT(ISERROR(MATCH(A17,[1]Праздники!A:A,0)))),SUM(F17*225)*1.5,SUM(F17*225))</f>
        <v>0</v>
      </c>
      <c r="M17" s="140">
        <f t="shared" si="2"/>
        <v>60337.274999999987</v>
      </c>
      <c r="N17" s="140">
        <f t="shared" si="3"/>
        <v>0</v>
      </c>
      <c r="O17" s="140">
        <f t="shared" si="4"/>
        <v>68354.774999999994</v>
      </c>
      <c r="P17" s="47" t="str">
        <f>IF(OR(WEEKDAY(A17)=1,WEEKDAY(A17)=7,NOT(ISERROR(MATCH(A17,[1]Праздники!A:A,0)))),"Выходной","Рабочий")</f>
        <v>Рабочий</v>
      </c>
    </row>
    <row r="18" spans="1:16">
      <c r="A18" s="146">
        <v>46094</v>
      </c>
      <c r="B18" s="147"/>
      <c r="C18" s="148">
        <v>220</v>
      </c>
      <c r="D18" s="138">
        <v>37.125</v>
      </c>
      <c r="E18" s="138"/>
      <c r="F18" s="139"/>
      <c r="G18" s="151">
        <f t="shared" si="5"/>
        <v>4189.0349999999989</v>
      </c>
      <c r="H18" s="152"/>
      <c r="I18" s="140">
        <f t="shared" si="0"/>
        <v>33000</v>
      </c>
      <c r="J18" s="140">
        <f t="shared" si="1"/>
        <v>5568.75</v>
      </c>
      <c r="K18" s="140">
        <f>IF(OR(WEEKDAY(A18)=1,WEEKDAY(A18)=7,NOT(ISERROR(MATCH(A18,[1]Праздники!A:A,0)))),SUM(E18*225)*1.5,SUM(E18*225))</f>
        <v>0</v>
      </c>
      <c r="L18" s="140">
        <f>IF(OR(WEEKDAY(A18)=1,WEEKDAY(A18)=7,NOT(ISERROR(MATCH(A18,[1]Праздники!A:A,0)))),SUM(F18*225)*1.5,SUM(F18*225))</f>
        <v>0</v>
      </c>
      <c r="M18" s="140">
        <f t="shared" si="2"/>
        <v>62835.524999999987</v>
      </c>
      <c r="N18" s="140">
        <f t="shared" si="3"/>
        <v>0</v>
      </c>
      <c r="O18" s="140">
        <f t="shared" si="4"/>
        <v>101404.27499999999</v>
      </c>
      <c r="P18" s="47" t="str">
        <f>IF(OR(WEEKDAY(A18)=1,WEEKDAY(A18)=7,NOT(ISERROR(MATCH(A18,[1]Праздники!A:A,0)))),"Выходной","Рабочий")</f>
        <v>Рабочий</v>
      </c>
    </row>
    <row r="19" spans="1:16">
      <c r="A19" s="146">
        <v>46095</v>
      </c>
      <c r="B19" s="147"/>
      <c r="C19" s="148">
        <v>218.02500000000001</v>
      </c>
      <c r="D19" s="138">
        <v>22.23</v>
      </c>
      <c r="E19" s="138"/>
      <c r="F19" s="139"/>
      <c r="G19" s="151">
        <f t="shared" si="5"/>
        <v>4369.9349999999986</v>
      </c>
      <c r="H19" s="152"/>
      <c r="I19" s="140">
        <f t="shared" si="0"/>
        <v>49055.625</v>
      </c>
      <c r="J19" s="140">
        <f t="shared" si="1"/>
        <v>5001.75</v>
      </c>
      <c r="K19" s="140">
        <f>IF(OR(WEEKDAY(A19)=1,WEEKDAY(A19)=7,NOT(ISERROR(MATCH(A19,[1]Праздники!A:A,0)))),SUM(E19*225)*1.5,SUM(E19*225))</f>
        <v>0</v>
      </c>
      <c r="L19" s="140">
        <f>IF(OR(WEEKDAY(A19)=1,WEEKDAY(A19)=7,NOT(ISERROR(MATCH(A19,[1]Праздники!A:A,0)))),SUM(F19*225)*1.5,SUM(F19*225))</f>
        <v>0</v>
      </c>
      <c r="M19" s="140">
        <f t="shared" si="2"/>
        <v>65549.02499999998</v>
      </c>
      <c r="N19" s="140">
        <f t="shared" si="3"/>
        <v>0</v>
      </c>
      <c r="O19" s="140">
        <f t="shared" si="4"/>
        <v>119606.39999999998</v>
      </c>
      <c r="P19" s="47" t="str">
        <f>IF(OR(WEEKDAY(A19)=1,WEEKDAY(A19)=7,NOT(ISERROR(MATCH(A19,[1]Праздники!A:A,0)))),"Выходной","Рабочий")</f>
        <v>Выходной</v>
      </c>
    </row>
    <row r="20" spans="1:16">
      <c r="A20" s="146">
        <v>46096</v>
      </c>
      <c r="B20" s="147"/>
      <c r="C20" s="148">
        <v>0</v>
      </c>
      <c r="D20" s="138">
        <v>30.25</v>
      </c>
      <c r="E20" s="138"/>
      <c r="F20" s="139"/>
      <c r="G20" s="151">
        <f t="shared" si="5"/>
        <v>4347.704999999999</v>
      </c>
      <c r="H20" s="152"/>
      <c r="I20" s="140">
        <f t="shared" si="0"/>
        <v>0</v>
      </c>
      <c r="J20" s="140">
        <f t="shared" si="1"/>
        <v>6806.25</v>
      </c>
      <c r="K20" s="140">
        <f>IF(OR(WEEKDAY(A20)=1,WEEKDAY(A20)=7,NOT(ISERROR(MATCH(A20,[1]Праздники!A:A,0)))),SUM(E20*225)*1.5,SUM(E20*225))</f>
        <v>0</v>
      </c>
      <c r="L20" s="140">
        <f>IF(OR(WEEKDAY(A20)=1,WEEKDAY(A20)=7,NOT(ISERROR(MATCH(A20,[1]Праздники!A:A,0)))),SUM(F20*225)*1.5,SUM(F20*225))</f>
        <v>0</v>
      </c>
      <c r="M20" s="140">
        <f t="shared" si="2"/>
        <v>65215.574999999983</v>
      </c>
      <c r="N20" s="140">
        <f t="shared" si="3"/>
        <v>0</v>
      </c>
      <c r="O20" s="140">
        <f t="shared" si="4"/>
        <v>72021.824999999983</v>
      </c>
      <c r="P20" s="47" t="str">
        <f>IF(OR(WEEKDAY(A20)=1,WEEKDAY(A20)=7,NOT(ISERROR(MATCH(A20,[1]Праздники!A:A,0)))),"Выходной","Рабочий")</f>
        <v>Выходной</v>
      </c>
    </row>
    <row r="21" spans="1:16">
      <c r="A21" s="146">
        <v>46097</v>
      </c>
      <c r="B21" s="147"/>
      <c r="C21" s="148">
        <v>220</v>
      </c>
      <c r="D21" s="138">
        <v>31.625</v>
      </c>
      <c r="E21" s="138"/>
      <c r="F21" s="139"/>
      <c r="G21" s="151">
        <f t="shared" si="5"/>
        <v>4537.454999999999</v>
      </c>
      <c r="H21" s="152"/>
      <c r="I21" s="140">
        <f t="shared" si="0"/>
        <v>33000</v>
      </c>
      <c r="J21" s="140">
        <f t="shared" si="1"/>
        <v>4743.75</v>
      </c>
      <c r="K21" s="140">
        <f>IF(OR(WEEKDAY(A21)=1,WEEKDAY(A21)=7,NOT(ISERROR(MATCH(A21,[1]Праздники!A:A,0)))),SUM(E21*225)*1.5,SUM(E21*225))</f>
        <v>0</v>
      </c>
      <c r="L21" s="140">
        <f>IF(OR(WEEKDAY(A21)=1,WEEKDAY(A21)=7,NOT(ISERROR(MATCH(A21,[1]Праздники!A:A,0)))),SUM(F21*225)*1.5,SUM(F21*225))</f>
        <v>0</v>
      </c>
      <c r="M21" s="140">
        <f t="shared" si="2"/>
        <v>68061.824999999983</v>
      </c>
      <c r="N21" s="140">
        <f t="shared" si="3"/>
        <v>0</v>
      </c>
      <c r="O21" s="140">
        <f t="shared" si="4"/>
        <v>105805.57499999998</v>
      </c>
      <c r="P21" s="47" t="str">
        <f>IF(OR(WEEKDAY(A21)=1,WEEKDAY(A21)=7,NOT(ISERROR(MATCH(A21,[1]Праздники!A:A,0)))),"Выходной","Рабочий")</f>
        <v>Рабочий</v>
      </c>
    </row>
    <row r="22" spans="1:16">
      <c r="A22" s="146">
        <v>46098</v>
      </c>
      <c r="B22" s="147"/>
      <c r="C22" s="148">
        <v>0</v>
      </c>
      <c r="D22" s="138">
        <v>87.084999999999994</v>
      </c>
      <c r="E22" s="138"/>
      <c r="F22" s="139"/>
      <c r="G22" s="151">
        <f t="shared" si="5"/>
        <v>4505.829999999999</v>
      </c>
      <c r="H22" s="152"/>
      <c r="I22" s="140">
        <f t="shared" si="0"/>
        <v>0</v>
      </c>
      <c r="J22" s="140">
        <f t="shared" si="1"/>
        <v>13062.749999999998</v>
      </c>
      <c r="K22" s="140">
        <f>IF(OR(WEEKDAY(A22)=1,WEEKDAY(A22)=7,NOT(ISERROR(MATCH(A22,[1]Праздники!A:A,0)))),SUM(E22*225)*1.5,SUM(E22*225))</f>
        <v>0</v>
      </c>
      <c r="L22" s="140">
        <f>IF(OR(WEEKDAY(A22)=1,WEEKDAY(A22)=7,NOT(ISERROR(MATCH(A22,[1]Праздники!A:A,0)))),SUM(F22*225)*1.5,SUM(F22*225))</f>
        <v>0</v>
      </c>
      <c r="M22" s="140">
        <f t="shared" si="2"/>
        <v>67587.449999999983</v>
      </c>
      <c r="N22" s="140">
        <f t="shared" si="3"/>
        <v>0</v>
      </c>
      <c r="O22" s="140">
        <f t="shared" si="4"/>
        <v>80650.199999999983</v>
      </c>
      <c r="P22" s="47" t="str">
        <f>IF(OR(WEEKDAY(A22)=1,WEEKDAY(A22)=7,NOT(ISERROR(MATCH(A22,[1]Праздники!A:A,0)))),"Выходной","Рабочий")</f>
        <v>Рабочий</v>
      </c>
    </row>
    <row r="23" spans="1:16">
      <c r="A23" s="146">
        <v>46099</v>
      </c>
      <c r="B23" s="147"/>
      <c r="C23" s="148">
        <v>0</v>
      </c>
      <c r="D23" s="138">
        <v>288.52999999999997</v>
      </c>
      <c r="E23" s="138"/>
      <c r="F23" s="139"/>
      <c r="G23" s="151">
        <f t="shared" si="5"/>
        <v>4418.744999999999</v>
      </c>
      <c r="H23" s="152"/>
      <c r="I23" s="140">
        <f t="shared" si="0"/>
        <v>0</v>
      </c>
      <c r="J23" s="140">
        <f t="shared" si="1"/>
        <v>43279.499999999993</v>
      </c>
      <c r="K23" s="140">
        <f>IF(OR(WEEKDAY(A23)=1,WEEKDAY(A23)=7,NOT(ISERROR(MATCH(A23,[1]Праздники!A:A,0)))),SUM(E23*225)*1.5,SUM(E23*225))</f>
        <v>0</v>
      </c>
      <c r="L23" s="140">
        <f>IF(OR(WEEKDAY(A23)=1,WEEKDAY(A23)=7,NOT(ISERROR(MATCH(A23,[1]Праздники!A:A,0)))),SUM(F23*225)*1.5,SUM(F23*225))</f>
        <v>0</v>
      </c>
      <c r="M23" s="140">
        <f t="shared" si="2"/>
        <v>66281.174999999988</v>
      </c>
      <c r="N23" s="140">
        <f t="shared" si="3"/>
        <v>0</v>
      </c>
      <c r="O23" s="140">
        <f t="shared" si="4"/>
        <v>109560.67499999999</v>
      </c>
      <c r="P23" s="47" t="str">
        <f>IF(OR(WEEKDAY(A23)=1,WEEKDAY(A23)=7,NOT(ISERROR(MATCH(A23,[1]Праздники!A:A,0)))),"Выходной","Рабочий")</f>
        <v>Рабочий</v>
      </c>
    </row>
    <row r="24" spans="1:16">
      <c r="A24" s="146">
        <v>46100</v>
      </c>
      <c r="B24" s="147"/>
      <c r="C24" s="148">
        <v>0</v>
      </c>
      <c r="D24" s="138">
        <v>484.23</v>
      </c>
      <c r="E24" s="138"/>
      <c r="F24" s="139"/>
      <c r="G24" s="151">
        <f t="shared" si="5"/>
        <v>4130.2149999999992</v>
      </c>
      <c r="H24" s="152"/>
      <c r="I24" s="140">
        <f t="shared" si="0"/>
        <v>0</v>
      </c>
      <c r="J24" s="140">
        <f t="shared" si="1"/>
        <v>72634.5</v>
      </c>
      <c r="K24" s="140">
        <f>IF(OR(WEEKDAY(A24)=1,WEEKDAY(A24)=7,NOT(ISERROR(MATCH(A24,[1]Праздники!A:A,0)))),SUM(E24*225)*1.5,SUM(E24*225))</f>
        <v>0</v>
      </c>
      <c r="L24" s="140">
        <f>IF(OR(WEEKDAY(A24)=1,WEEKDAY(A24)=7,NOT(ISERROR(MATCH(A24,[1]Праздники!A:A,0)))),SUM(F24*225)*1.5,SUM(F24*225))</f>
        <v>0</v>
      </c>
      <c r="M24" s="140">
        <f t="shared" si="2"/>
        <v>61953.224999999991</v>
      </c>
      <c r="N24" s="140">
        <f t="shared" si="3"/>
        <v>0</v>
      </c>
      <c r="O24" s="140">
        <f t="shared" si="4"/>
        <v>134587.72499999998</v>
      </c>
      <c r="P24" s="47" t="str">
        <f>IF(OR(WEEKDAY(A24)=1,WEEKDAY(A24)=7,NOT(ISERROR(MATCH(A24,[1]Праздники!A:A,0)))),"Выходной","Рабочий")</f>
        <v>Рабочий</v>
      </c>
    </row>
    <row r="25" spans="1:16">
      <c r="A25" s="146">
        <v>46101</v>
      </c>
      <c r="B25" s="147"/>
      <c r="C25" s="148">
        <v>0</v>
      </c>
      <c r="D25" s="138">
        <v>506.46</v>
      </c>
      <c r="E25" s="138"/>
      <c r="F25" s="139"/>
      <c r="G25" s="151">
        <f t="shared" si="5"/>
        <v>3645.9849999999992</v>
      </c>
      <c r="H25" s="152"/>
      <c r="I25" s="140">
        <f t="shared" si="0"/>
        <v>0</v>
      </c>
      <c r="J25" s="140">
        <f t="shared" si="1"/>
        <v>75969</v>
      </c>
      <c r="K25" s="140">
        <f>IF(OR(WEEKDAY(A25)=1,WEEKDAY(A25)=7,NOT(ISERROR(MATCH(A25,[1]Праздники!A:A,0)))),SUM(E25*225)*1.5,SUM(E25*225))</f>
        <v>0</v>
      </c>
      <c r="L25" s="140">
        <f>IF(OR(WEEKDAY(A25)=1,WEEKDAY(A25)=7,NOT(ISERROR(MATCH(A25,[1]Праздники!A:A,0)))),SUM(F25*225)*1.5,SUM(F25*225))</f>
        <v>0</v>
      </c>
      <c r="M25" s="140">
        <f t="shared" si="2"/>
        <v>54689.774999999987</v>
      </c>
      <c r="N25" s="140">
        <f t="shared" si="3"/>
        <v>0</v>
      </c>
      <c r="O25" s="140">
        <f t="shared" si="4"/>
        <v>130658.77499999999</v>
      </c>
      <c r="P25" s="47" t="str">
        <f>IF(OR(WEEKDAY(A25)=1,WEEKDAY(A25)=7,NOT(ISERROR(MATCH(A25,[1]Праздники!A:A,0)))),"Выходной","Рабочий")</f>
        <v>Рабочий</v>
      </c>
    </row>
    <row r="26" spans="1:16">
      <c r="A26" s="146">
        <v>46102</v>
      </c>
      <c r="B26" s="147"/>
      <c r="C26" s="148">
        <v>0</v>
      </c>
      <c r="D26" s="138">
        <v>440</v>
      </c>
      <c r="E26" s="153"/>
      <c r="F26" s="139"/>
      <c r="G26" s="151">
        <f t="shared" si="5"/>
        <v>3139.5249999999992</v>
      </c>
      <c r="H26" s="152"/>
      <c r="I26" s="140">
        <f t="shared" si="0"/>
        <v>0</v>
      </c>
      <c r="J26" s="140">
        <f t="shared" si="1"/>
        <v>99000</v>
      </c>
      <c r="K26" s="140">
        <f>IF(OR(WEEKDAY(A26)=1,WEEKDAY(A26)=7,NOT(ISERROR(MATCH(A26,[1]Праздники!A:A,0)))),SUM(E26*225)*1.5,SUM(E26*225))</f>
        <v>0</v>
      </c>
      <c r="L26" s="140">
        <f>IF(OR(WEEKDAY(A26)=1,WEEKDAY(A26)=7,NOT(ISERROR(MATCH(A26,[1]Праздники!A:A,0)))),SUM(F26*225)*1.5,SUM(F26*225))</f>
        <v>0</v>
      </c>
      <c r="M26" s="140">
        <f t="shared" si="2"/>
        <v>47092.874999999985</v>
      </c>
      <c r="N26" s="140">
        <f t="shared" si="3"/>
        <v>0</v>
      </c>
      <c r="O26" s="140">
        <f t="shared" si="4"/>
        <v>146092.875</v>
      </c>
      <c r="P26" s="47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146">
        <v>46103</v>
      </c>
      <c r="B27" s="147"/>
      <c r="C27" s="148">
        <v>0</v>
      </c>
      <c r="D27" s="138">
        <v>462</v>
      </c>
      <c r="E27" s="138"/>
      <c r="F27" s="138"/>
      <c r="G27" s="151">
        <f t="shared" si="5"/>
        <v>2699.5249999999992</v>
      </c>
      <c r="H27" s="152"/>
      <c r="I27" s="140">
        <f t="shared" si="0"/>
        <v>0</v>
      </c>
      <c r="J27" s="140">
        <f t="shared" si="1"/>
        <v>103950</v>
      </c>
      <c r="K27" s="140">
        <f>IF(OR(WEEKDAY(A27)=1,WEEKDAY(A27)=7,NOT(ISERROR(MATCH(A27,[1]Праздники!A:A,0)))),SUM(E27*225)*1.5,SUM(E27*225))</f>
        <v>0</v>
      </c>
      <c r="L27" s="140">
        <f>IF(OR(WEEKDAY(A27)=1,WEEKDAY(A27)=7,NOT(ISERROR(MATCH(A27,[1]Праздники!A:A,0)))),SUM(F27*225)*1.5,SUM(F27*225))</f>
        <v>0</v>
      </c>
      <c r="M27" s="140">
        <f t="shared" si="2"/>
        <v>40492.874999999985</v>
      </c>
      <c r="N27" s="140">
        <f t="shared" si="3"/>
        <v>0</v>
      </c>
      <c r="O27" s="140">
        <f t="shared" si="4"/>
        <v>144442.875</v>
      </c>
      <c r="P27" s="47" t="str">
        <f>IF(OR(WEEKDAY(A27)=1,WEEKDAY(A27)=7,NOT(ISERROR(MATCH(A27,[1]Праздники!A:A,0)))),"Выходной","Рабочий")</f>
        <v>Выходной</v>
      </c>
    </row>
    <row r="28" spans="1:16">
      <c r="A28" s="146">
        <v>46104</v>
      </c>
      <c r="B28" s="147"/>
      <c r="C28" s="148">
        <v>0</v>
      </c>
      <c r="D28" s="138">
        <v>416.66500000000002</v>
      </c>
      <c r="E28" s="138"/>
      <c r="F28" s="139"/>
      <c r="G28" s="151">
        <f t="shared" si="5"/>
        <v>2237.5249999999992</v>
      </c>
      <c r="H28" s="152"/>
      <c r="I28" s="140">
        <f t="shared" si="0"/>
        <v>0</v>
      </c>
      <c r="J28" s="140">
        <f t="shared" si="1"/>
        <v>62499.75</v>
      </c>
      <c r="K28" s="140">
        <f>IF(OR(WEEKDAY(A28)=1,WEEKDAY(A28)=7,NOT(ISERROR(MATCH(A28,[1]Праздники!A:A,0)))),SUM(E28*225)*1.5,SUM(E28*225))</f>
        <v>0</v>
      </c>
      <c r="L28" s="140">
        <f>IF(OR(WEEKDAY(A28)=1,WEEKDAY(A28)=7,NOT(ISERROR(MATCH(A28,[1]Праздники!A:A,0)))),SUM(F28*225)*1.5,SUM(F28*225))</f>
        <v>0</v>
      </c>
      <c r="M28" s="140">
        <f t="shared" si="2"/>
        <v>33562.874999999985</v>
      </c>
      <c r="N28" s="140">
        <f t="shared" si="3"/>
        <v>0</v>
      </c>
      <c r="O28" s="140">
        <f t="shared" si="4"/>
        <v>96062.624999999985</v>
      </c>
      <c r="P28" s="47" t="str">
        <f>IF(OR(WEEKDAY(A28)=1,WEEKDAY(A28)=7,NOT(ISERROR(MATCH(A28,[1]Праздники!A:A,0)))),"Выходной","Рабочий")</f>
        <v>Рабочий</v>
      </c>
    </row>
    <row r="29" spans="1:16">
      <c r="A29" s="146">
        <v>46105</v>
      </c>
      <c r="B29" s="147"/>
      <c r="C29" s="148">
        <v>0</v>
      </c>
      <c r="D29" s="138">
        <v>504.17500000000001</v>
      </c>
      <c r="E29" s="138"/>
      <c r="F29" s="139"/>
      <c r="G29" s="151">
        <f t="shared" si="5"/>
        <v>1820.8599999999992</v>
      </c>
      <c r="H29" s="152"/>
      <c r="I29" s="140">
        <f t="shared" si="0"/>
        <v>0</v>
      </c>
      <c r="J29" s="140">
        <f t="shared" si="1"/>
        <v>75626.25</v>
      </c>
      <c r="K29" s="140">
        <f>IF(OR(WEEKDAY(A29)=1,WEEKDAY(A29)=7,NOT(ISERROR(MATCH(A29,[1]Праздники!A:A,0)))),SUM(E29*225)*1.5,SUM(E29*225))</f>
        <v>0</v>
      </c>
      <c r="L29" s="140">
        <f>IF(OR(WEEKDAY(A29)=1,WEEKDAY(A29)=7,NOT(ISERROR(MATCH(A29,[1]Праздники!A:A,0)))),SUM(F29*225)*1.5,SUM(F29*225))</f>
        <v>0</v>
      </c>
      <c r="M29" s="140">
        <f t="shared" si="2"/>
        <v>27312.899999999987</v>
      </c>
      <c r="N29" s="140">
        <f t="shared" si="3"/>
        <v>0</v>
      </c>
      <c r="O29" s="140">
        <f t="shared" si="4"/>
        <v>102939.15</v>
      </c>
      <c r="P29" s="47" t="str">
        <f>IF(OR(WEEKDAY(A29)=1,WEEKDAY(A29)=7,NOT(ISERROR(MATCH(A29,[1]Праздники!A:A,0)))),"Выходной","Рабочий")</f>
        <v>Рабочий</v>
      </c>
    </row>
    <row r="30" spans="1:16">
      <c r="A30" s="146">
        <v>46106</v>
      </c>
      <c r="B30" s="147"/>
      <c r="C30" s="148">
        <v>0</v>
      </c>
      <c r="D30" s="138">
        <v>394.91</v>
      </c>
      <c r="E30" s="138"/>
      <c r="F30" s="139"/>
      <c r="G30" s="151">
        <f t="shared" si="5"/>
        <v>1316.6849999999993</v>
      </c>
      <c r="H30" s="152"/>
      <c r="I30" s="140">
        <f t="shared" si="0"/>
        <v>0</v>
      </c>
      <c r="J30" s="140">
        <f t="shared" si="1"/>
        <v>59236.500000000007</v>
      </c>
      <c r="K30" s="140">
        <f>IF(OR(WEEKDAY(A30)=1,WEEKDAY(A30)=7,NOT(ISERROR(MATCH(A30,[1]Праздники!A:A,0)))),SUM(E30*225)*1.5,SUM(E30*225))</f>
        <v>0</v>
      </c>
      <c r="L30" s="140">
        <f>IF(OR(WEEKDAY(A30)=1,WEEKDAY(A30)=7,NOT(ISERROR(MATCH(A30,[1]Праздники!A:A,0)))),SUM(F30*225)*1.5,SUM(F30*225))</f>
        <v>0</v>
      </c>
      <c r="M30" s="140">
        <f t="shared" si="2"/>
        <v>19750.274999999991</v>
      </c>
      <c r="N30" s="140">
        <f t="shared" si="3"/>
        <v>0</v>
      </c>
      <c r="O30" s="140">
        <f t="shared" si="4"/>
        <v>78986.774999999994</v>
      </c>
      <c r="P30" s="47" t="str">
        <f>IF(OR(WEEKDAY(A30)=1,WEEKDAY(A30)=7,NOT(ISERROR(MATCH(A30,[1]Праздники!A:A,0)))),"Выходной","Рабочий")</f>
        <v>Рабочий</v>
      </c>
    </row>
    <row r="31" spans="1:16">
      <c r="A31" s="146">
        <v>46107</v>
      </c>
      <c r="B31" s="147"/>
      <c r="C31" s="148">
        <v>0</v>
      </c>
      <c r="D31" s="138">
        <v>221.18</v>
      </c>
      <c r="E31" s="138"/>
      <c r="F31" s="139"/>
      <c r="G31" s="151">
        <f t="shared" si="5"/>
        <v>921.77499999999918</v>
      </c>
      <c r="H31" s="152"/>
      <c r="I31" s="140">
        <f t="shared" si="0"/>
        <v>0</v>
      </c>
      <c r="J31" s="140">
        <f t="shared" si="1"/>
        <v>33177</v>
      </c>
      <c r="K31" s="140">
        <f>IF(OR(WEEKDAY(A31)=1,WEEKDAY(A31)=7,NOT(ISERROR(MATCH(A31,[1]Праздники!A:A,0)))),SUM(E31*225)*1.5,SUM(E31*225))</f>
        <v>0</v>
      </c>
      <c r="L31" s="140">
        <f>IF(OR(WEEKDAY(A31)=1,WEEKDAY(A31)=7,NOT(ISERROR(MATCH(A31,[1]Праздники!A:A,0)))),SUM(F31*225)*1.5,SUM(F31*225))</f>
        <v>0</v>
      </c>
      <c r="M31" s="140">
        <f t="shared" si="2"/>
        <v>13826.624999999987</v>
      </c>
      <c r="N31" s="140">
        <f t="shared" si="3"/>
        <v>0</v>
      </c>
      <c r="O31" s="140">
        <f t="shared" si="4"/>
        <v>47003.624999999985</v>
      </c>
      <c r="P31" s="47" t="str">
        <f>IF(OR(WEEKDAY(A31)=1,WEEKDAY(A31)=7,NOT(ISERROR(MATCH(A31,[1]Праздники!A:A,0)))),"Выходной","Рабочий")</f>
        <v>Рабочий</v>
      </c>
    </row>
    <row r="32" spans="1:16">
      <c r="A32" s="146">
        <v>46108</v>
      </c>
      <c r="B32" s="147"/>
      <c r="C32" s="148">
        <v>0</v>
      </c>
      <c r="D32" s="138">
        <v>252.85</v>
      </c>
      <c r="E32" s="138"/>
      <c r="F32" s="139"/>
      <c r="G32" s="151">
        <f t="shared" si="5"/>
        <v>700.59499999999912</v>
      </c>
      <c r="H32" s="152"/>
      <c r="I32" s="140">
        <f t="shared" si="0"/>
        <v>0</v>
      </c>
      <c r="J32" s="140">
        <f t="shared" si="1"/>
        <v>37927.5</v>
      </c>
      <c r="K32" s="140">
        <f>IF(OR(WEEKDAY(A32)=1,WEEKDAY(A32)=7,NOT(ISERROR(MATCH(A32,[1]Праздники!A:A,0)))),SUM(E32*225)*1.5,SUM(E32*225))</f>
        <v>0</v>
      </c>
      <c r="L32" s="140">
        <f>IF(OR(WEEKDAY(A32)=1,WEEKDAY(A32)=7,NOT(ISERROR(MATCH(A32,[1]Праздники!A:A,0)))),SUM(F32*225)*1.5,SUM(F32*225))</f>
        <v>0</v>
      </c>
      <c r="M32" s="140">
        <f t="shared" si="2"/>
        <v>10508.924999999987</v>
      </c>
      <c r="N32" s="140">
        <f t="shared" si="3"/>
        <v>0</v>
      </c>
      <c r="O32" s="140">
        <f t="shared" si="4"/>
        <v>48436.424999999988</v>
      </c>
      <c r="P32" s="47" t="str">
        <f>IF(OR(WEEKDAY(A32)=1,WEEKDAY(A32)=7,NOT(ISERROR(MATCH(A32,[1]Праздники!A:A,0)))),"Выходной","Рабочий")</f>
        <v>Рабочий</v>
      </c>
    </row>
    <row r="33" spans="1:17">
      <c r="A33" s="146">
        <v>46109</v>
      </c>
      <c r="B33" s="147"/>
      <c r="C33" s="148">
        <v>0</v>
      </c>
      <c r="D33" s="138">
        <v>87.084999999999994</v>
      </c>
      <c r="E33" s="138"/>
      <c r="F33" s="139"/>
      <c r="G33" s="151">
        <f t="shared" si="5"/>
        <v>447.7449999999991</v>
      </c>
      <c r="H33" s="152"/>
      <c r="I33" s="140">
        <f t="shared" si="0"/>
        <v>0</v>
      </c>
      <c r="J33" s="140">
        <f t="shared" si="1"/>
        <v>19594.124999999996</v>
      </c>
      <c r="K33" s="140">
        <f>IF(OR(WEEKDAY(A33)=1,WEEKDAY(A33)=7,NOT(ISERROR(MATCH(A33,[1]Праздники!A:A,0)))),SUM(E33*225)*1.5,SUM(E33*225))</f>
        <v>0</v>
      </c>
      <c r="L33" s="140">
        <f>IF(OR(WEEKDAY(A33)=1,WEEKDAY(A33)=7,NOT(ISERROR(MATCH(A33,[1]Праздники!A:A,0)))),SUM(F33*225)*1.5,SUM(F33*225))</f>
        <v>0</v>
      </c>
      <c r="M33" s="140">
        <f t="shared" si="2"/>
        <v>6716.1749999999865</v>
      </c>
      <c r="N33" s="140">
        <f t="shared" si="3"/>
        <v>0</v>
      </c>
      <c r="O33" s="140">
        <f t="shared" si="4"/>
        <v>26310.299999999981</v>
      </c>
      <c r="P33" s="47" t="str">
        <f>IF(OR(WEEKDAY(A33)=1,WEEKDAY(A33)=7,NOT(ISERROR(MATCH(A33,[1]Праздники!A:A,0)))),"Выходной","Рабочий")</f>
        <v>Выходной</v>
      </c>
    </row>
    <row r="34" spans="1:17">
      <c r="A34" s="146">
        <v>46110</v>
      </c>
      <c r="B34" s="147"/>
      <c r="C34" s="148">
        <v>0</v>
      </c>
      <c r="D34" s="138">
        <v>88.69</v>
      </c>
      <c r="E34" s="138"/>
      <c r="F34" s="139"/>
      <c r="G34" s="151">
        <f t="shared" si="5"/>
        <v>360.65999999999912</v>
      </c>
      <c r="H34" s="152"/>
      <c r="I34" s="140">
        <f t="shared" si="0"/>
        <v>0</v>
      </c>
      <c r="J34" s="140">
        <f t="shared" si="1"/>
        <v>19955.25</v>
      </c>
      <c r="K34" s="140">
        <f>IF(OR(WEEKDAY(A34)=1,WEEKDAY(A34)=7,NOT(ISERROR(MATCH(A34,[1]Праздники!A:A,0)))),SUM(E34*225)*1.5,SUM(E34*225))</f>
        <v>0</v>
      </c>
      <c r="L34" s="140">
        <f>IF(OR(WEEKDAY(A34)=1,WEEKDAY(A34)=7,NOT(ISERROR(MATCH(A34,[1]Праздники!A:A,0)))),SUM(F34*225)*1.5,SUM(F34*225))</f>
        <v>0</v>
      </c>
      <c r="M34" s="140">
        <f t="shared" si="2"/>
        <v>5409.8999999999869</v>
      </c>
      <c r="N34" s="140">
        <f t="shared" si="3"/>
        <v>0</v>
      </c>
      <c r="O34" s="140">
        <f t="shared" si="4"/>
        <v>25365.149999999987</v>
      </c>
      <c r="P34" s="47" t="str">
        <f>IF(OR(WEEKDAY(A34)=1,WEEKDAY(A34)=7,NOT(ISERROR(MATCH(A34,[1]Праздники!A:A,0)))),"Выходной","Рабочий")</f>
        <v>Выходной</v>
      </c>
    </row>
    <row r="35" spans="1:17">
      <c r="A35" s="146">
        <v>46111</v>
      </c>
      <c r="B35" s="147"/>
      <c r="C35" s="148">
        <v>0</v>
      </c>
      <c r="D35" s="138">
        <v>191.76</v>
      </c>
      <c r="E35" s="151"/>
      <c r="F35" s="139"/>
      <c r="G35" s="151">
        <f t="shared" si="5"/>
        <v>271.96999999999912</v>
      </c>
      <c r="H35" s="152"/>
      <c r="I35" s="140">
        <f t="shared" si="0"/>
        <v>0</v>
      </c>
      <c r="J35" s="140">
        <f t="shared" si="1"/>
        <v>28764</v>
      </c>
      <c r="K35" s="140">
        <f>IF(OR(WEEKDAY(A35)=1,WEEKDAY(A35)=7,NOT(ISERROR(MATCH(A35,[1]Праздники!A:A,0)))),SUM(E35*225)*1.5,SUM(E35*225))</f>
        <v>0</v>
      </c>
      <c r="L35" s="140">
        <f>IF(OR(WEEKDAY(A35)=1,WEEKDAY(A35)=7,NOT(ISERROR(MATCH(A35,[1]Праздники!A:A,0)))),SUM(F35*225)*1.5,SUM(F35*225))</f>
        <v>0</v>
      </c>
      <c r="M35" s="140">
        <f t="shared" si="2"/>
        <v>4079.5499999999865</v>
      </c>
      <c r="N35" s="140">
        <f t="shared" si="3"/>
        <v>0</v>
      </c>
      <c r="O35" s="140">
        <f t="shared" si="4"/>
        <v>32843.549999999988</v>
      </c>
      <c r="P35" s="47" t="str">
        <f>IF(OR(WEEKDAY(A35)=1,WEEKDAY(A35)=7,NOT(ISERROR(MATCH(A35,[1]Праздники!A:A,0)))),"Выходной","Рабочий")</f>
        <v>Рабочий</v>
      </c>
    </row>
    <row r="36" spans="1:17" ht="15.75" thickBot="1">
      <c r="A36" s="146">
        <v>46112</v>
      </c>
      <c r="B36" s="147"/>
      <c r="C36" s="148">
        <v>0</v>
      </c>
      <c r="D36" s="138">
        <v>80.209999999999994</v>
      </c>
      <c r="E36" s="151"/>
      <c r="F36" s="139"/>
      <c r="G36" s="151">
        <f t="shared" si="5"/>
        <v>80.209999999999127</v>
      </c>
      <c r="H36" s="152"/>
      <c r="I36" s="140">
        <f t="shared" si="0"/>
        <v>0</v>
      </c>
      <c r="J36" s="140">
        <f t="shared" si="1"/>
        <v>12031.499999999998</v>
      </c>
      <c r="K36" s="140">
        <f>IF(OR(WEEKDAY(A36)=1,WEEKDAY(A36)=7,NOT(ISERROR(MATCH(A36,[1]Праздники!A:A,0)))),SUM(E36*225)*1.5,SUM(E36*225))</f>
        <v>0</v>
      </c>
      <c r="L36" s="140">
        <f>IF(OR(WEEKDAY(A36)=1,WEEKDAY(A36)=7,NOT(ISERROR(MATCH(A36,[1]Праздники!A:A,0)))),SUM(F36*225)*1.5,SUM(F36*225))</f>
        <v>0</v>
      </c>
      <c r="M36" s="140">
        <f t="shared" si="2"/>
        <v>1203.1499999999869</v>
      </c>
      <c r="N36" s="140">
        <f t="shared" si="3"/>
        <v>0</v>
      </c>
      <c r="O36" s="140">
        <f t="shared" ref="O36" si="6">SUM(I36:N36)</f>
        <v>13234.649999999985</v>
      </c>
      <c r="P36" s="47" t="str">
        <f>IF(OR(WEEKDAY(A36)=1,WEEKDAY(A36)=7,NOT(ISERROR(MATCH(A36,[1]Праздники!A:A,0)))),"Выходной","Рабочий")</f>
        <v>Рабочий</v>
      </c>
    </row>
    <row r="37" spans="1:17" ht="15.75" thickBot="1">
      <c r="C37" s="141">
        <f>SUM(C6:C36)</f>
        <v>1318.0250000000001</v>
      </c>
      <c r="D37" s="141">
        <f t="shared" ref="D37:O37" si="7">SUM(D6:D36)</f>
        <v>5329.2500000000009</v>
      </c>
      <c r="E37" s="141">
        <f t="shared" si="7"/>
        <v>0</v>
      </c>
      <c r="F37" s="141">
        <f t="shared" si="7"/>
        <v>0</v>
      </c>
      <c r="G37" s="141">
        <f t="shared" si="7"/>
        <v>94235.52999999997</v>
      </c>
      <c r="H37" s="154">
        <f t="shared" si="7"/>
        <v>0</v>
      </c>
      <c r="I37" s="142">
        <f t="shared" si="7"/>
        <v>247055.625</v>
      </c>
      <c r="J37" s="142">
        <f t="shared" si="7"/>
        <v>894111.375</v>
      </c>
      <c r="K37" s="142">
        <f t="shared" si="7"/>
        <v>0</v>
      </c>
      <c r="L37" s="142">
        <f t="shared" si="7"/>
        <v>0</v>
      </c>
      <c r="M37" s="142">
        <f t="shared" si="7"/>
        <v>1413532.9499999997</v>
      </c>
      <c r="N37" s="142">
        <f t="shared" si="7"/>
        <v>0</v>
      </c>
      <c r="O37" s="143">
        <f t="shared" si="7"/>
        <v>2554699.9499999988</v>
      </c>
    </row>
    <row r="38" spans="1:17" ht="15.75" thickBot="1">
      <c r="G38" s="135"/>
      <c r="L38" s="68"/>
      <c r="M38" s="135"/>
      <c r="N38" s="154" t="s">
        <v>118</v>
      </c>
      <c r="O38" s="144">
        <f>O37*1.22</f>
        <v>3116733.9389999984</v>
      </c>
      <c r="Q38" s="145"/>
    </row>
    <row r="39" spans="1:17">
      <c r="G39" s="155"/>
      <c r="M39" s="135"/>
    </row>
    <row r="40" spans="1:17">
      <c r="G40" s="135"/>
      <c r="M40" s="135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E4:E5"/>
    <mergeCell ref="F4:F5"/>
    <mergeCell ref="H4:H5"/>
  </mergeCells>
  <pageMargins left="0.7" right="0.7" top="0.75" bottom="0.75" header="0.3" footer="0.3"/>
  <pageSetup paperSize="9" scale="6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2C44-EBD8-4714-865C-DCE50DAA5289}">
  <sheetPr codeName="Лист9">
    <pageSetUpPr fitToPage="1"/>
  </sheetPr>
  <dimension ref="A1:S40"/>
  <sheetViews>
    <sheetView topLeftCell="A13" workbookViewId="0">
      <selection activeCell="M24" sqref="M24"/>
    </sheetView>
  </sheetViews>
  <sheetFormatPr defaultRowHeight="15"/>
  <cols>
    <col min="1" max="2" width="9.140625" style="47"/>
    <col min="3" max="3" width="9.85546875" style="47" bestFit="1" customWidth="1"/>
    <col min="4" max="6" width="9.140625" style="47"/>
    <col min="7" max="7" width="10.5703125" style="47" bestFit="1" customWidth="1"/>
    <col min="8" max="8" width="9.140625" style="47"/>
    <col min="9" max="9" width="12.7109375" style="47" customWidth="1"/>
    <col min="10" max="10" width="13.140625" style="47" bestFit="1" customWidth="1"/>
    <col min="11" max="12" width="9.28515625" style="47" bestFit="1" customWidth="1"/>
    <col min="13" max="13" width="16.42578125" style="47" customWidth="1"/>
    <col min="14" max="14" width="9.28515625" style="47" bestFit="1" customWidth="1"/>
    <col min="15" max="15" width="16" style="47" customWidth="1"/>
    <col min="16" max="16" width="9.140625" style="47"/>
    <col min="17" max="17" width="18.28515625" style="47" customWidth="1"/>
    <col min="18" max="16384" width="9.140625" style="47"/>
  </cols>
  <sheetData>
    <row r="1" spans="1:19">
      <c r="M1" s="135"/>
      <c r="Q1" s="123"/>
      <c r="R1" s="123" t="s">
        <v>108</v>
      </c>
      <c r="S1" s="123" t="s">
        <v>109</v>
      </c>
    </row>
    <row r="2" spans="1:19">
      <c r="M2" s="135"/>
      <c r="Q2" s="123" t="s">
        <v>110</v>
      </c>
      <c r="R2" s="123">
        <f>SUMIF($P$6:$P$36,R$1,$C6:$C36)</f>
        <v>0</v>
      </c>
      <c r="S2" s="123">
        <f>SUMIF($P$6:$P$36,S$1,$C6:$C36)</f>
        <v>0</v>
      </c>
    </row>
    <row r="3" spans="1:19">
      <c r="A3" s="73" t="str">
        <f>"Отчет по хранению  товара  РВ " &amp; TEXT(A6,"ММММ ") &amp; YEAR(A6) &amp; " Новикова"</f>
        <v>Отчет по хранению  товара  РВ Март 2026 Новикова</v>
      </c>
      <c r="G3" s="135"/>
      <c r="M3" s="135"/>
      <c r="Q3" s="123" t="s">
        <v>98</v>
      </c>
      <c r="R3" s="123">
        <f>SUMIF($P$6:$P$36,R$1,$D6:$D36)</f>
        <v>48.33</v>
      </c>
      <c r="S3" s="123">
        <f>SUMIF($P$6:$P$36,S$1,$D6:$D36)</f>
        <v>370.69500000000005</v>
      </c>
    </row>
    <row r="4" spans="1:19">
      <c r="A4" s="50" t="s">
        <v>1</v>
      </c>
      <c r="B4" s="51"/>
      <c r="C4" s="49" t="s">
        <v>111</v>
      </c>
      <c r="D4" s="49" t="s">
        <v>112</v>
      </c>
      <c r="E4" s="49" t="s">
        <v>113</v>
      </c>
      <c r="F4" s="49" t="s">
        <v>114</v>
      </c>
      <c r="G4" s="149" t="s">
        <v>4</v>
      </c>
      <c r="H4" s="49" t="s">
        <v>7</v>
      </c>
      <c r="I4" s="49" t="s">
        <v>11</v>
      </c>
      <c r="J4" s="49" t="s">
        <v>12</v>
      </c>
      <c r="K4" s="49" t="s">
        <v>115</v>
      </c>
      <c r="L4" s="49" t="s">
        <v>116</v>
      </c>
      <c r="M4" s="136" t="s">
        <v>13</v>
      </c>
      <c r="N4" s="49" t="s">
        <v>16</v>
      </c>
      <c r="O4" s="49" t="s">
        <v>18</v>
      </c>
    </row>
    <row r="5" spans="1:19" ht="30">
      <c r="A5" s="54"/>
      <c r="B5" s="55"/>
      <c r="C5" s="53"/>
      <c r="D5" s="53"/>
      <c r="E5" s="53"/>
      <c r="F5" s="53"/>
      <c r="G5" s="150" t="s">
        <v>117</v>
      </c>
      <c r="H5" s="53"/>
      <c r="I5" s="53"/>
      <c r="J5" s="53"/>
      <c r="K5" s="53"/>
      <c r="L5" s="53"/>
      <c r="M5" s="137"/>
      <c r="N5" s="53"/>
      <c r="O5" s="53"/>
    </row>
    <row r="6" spans="1:19">
      <c r="A6" s="146">
        <v>46082</v>
      </c>
      <c r="B6" s="147"/>
      <c r="C6" s="148">
        <v>0</v>
      </c>
      <c r="D6" s="138">
        <v>44.23</v>
      </c>
      <c r="E6" s="138"/>
      <c r="F6" s="139"/>
      <c r="G6" s="151">
        <v>419.02500000000003</v>
      </c>
      <c r="H6" s="152"/>
      <c r="I6" s="140">
        <f>IF(P6="Выходной",SUM(C6*150)*1.5,SUM(C6*150))</f>
        <v>0</v>
      </c>
      <c r="J6" s="140">
        <f>IF(P6="Выходной",SUM(D6*150)*1.5,SUM(D6*150))</f>
        <v>9951.7499999999982</v>
      </c>
      <c r="K6" s="140">
        <f>IF(OR(WEEKDAY(A6)=1,WEEKDAY(A6)=7,NOT(ISERROR(MATCH(A6,[1]Праздники!A:A,0)))),SUM(E6*225)*1.5,SUM(E6*225))</f>
        <v>0</v>
      </c>
      <c r="L6" s="140">
        <f>IF(OR(WEEKDAY(A6)=1,WEEKDAY(A6)=7,NOT(ISERROR(MATCH(A6,[1]Праздники!A:A,0)))),SUM(F6*225)*1.5,SUM(F6*225))</f>
        <v>0</v>
      </c>
      <c r="M6" s="140">
        <f>SUM(G6*15)</f>
        <v>6285.3750000000009</v>
      </c>
      <c r="N6" s="140">
        <f>SUM(H6)*750</f>
        <v>0</v>
      </c>
      <c r="O6" s="140">
        <f>SUM(I6:N6)</f>
        <v>16237.125</v>
      </c>
      <c r="P6" s="47" t="str">
        <f>IF(OR(WEEKDAY(A6)=1,WEEKDAY(A6)=7,NOT(ISERROR(MATCH(A6,[1]Праздники!A:A,0)))),"Выходной","Рабочий")</f>
        <v>Выходной</v>
      </c>
    </row>
    <row r="7" spans="1:19">
      <c r="A7" s="146">
        <v>46083</v>
      </c>
      <c r="B7" s="147"/>
      <c r="C7" s="148">
        <v>0</v>
      </c>
      <c r="D7" s="138">
        <v>44.23</v>
      </c>
      <c r="E7" s="138"/>
      <c r="F7" s="139"/>
      <c r="G7" s="151">
        <f>IF(A7 ="",0,G6+C7+E7-D6-F6)</f>
        <v>374.79500000000002</v>
      </c>
      <c r="H7" s="152"/>
      <c r="I7" s="140">
        <f t="shared" ref="I7:I36" si="0">IF(P7="Выходной",SUM(C7*150)*1.5,SUM(C7*150))</f>
        <v>0</v>
      </c>
      <c r="J7" s="140">
        <f t="shared" ref="J7:J36" si="1">IF(P7="Выходной",SUM(D7*150)*1.5,SUM(D7*150))</f>
        <v>6634.4999999999991</v>
      </c>
      <c r="K7" s="140">
        <f>IF(OR(WEEKDAY(A7)=1,WEEKDAY(A7)=7,NOT(ISERROR(MATCH(A7,[1]Праздники!A:A,0)))),SUM(E7*225)*1.5,SUM(E7*225))</f>
        <v>0</v>
      </c>
      <c r="L7" s="140">
        <f>IF(OR(WEEKDAY(A7)=1,WEEKDAY(A7)=7,NOT(ISERROR(MATCH(A7,[1]Праздники!A:A,0)))),SUM(F7*225)*1.5,SUM(F7*225))</f>
        <v>0</v>
      </c>
      <c r="M7" s="140">
        <f t="shared" ref="M7:M36" si="2">SUM(G7*15)</f>
        <v>5621.9250000000002</v>
      </c>
      <c r="N7" s="140">
        <f t="shared" ref="N7:N36" si="3">SUM(H7)*750</f>
        <v>0</v>
      </c>
      <c r="O7" s="140">
        <f t="shared" ref="O7:O35" si="4">SUM(I7:N7)</f>
        <v>12256.424999999999</v>
      </c>
      <c r="P7" s="47" t="str">
        <f>IF(OR(WEEKDAY(A7)=1,WEEKDAY(A7)=7,NOT(ISERROR(MATCH(A7,[1]Праздники!A:A,0)))),"Выходной","Рабочий")</f>
        <v>Рабочий</v>
      </c>
    </row>
    <row r="8" spans="1:19">
      <c r="A8" s="146">
        <v>46084</v>
      </c>
      <c r="B8" s="147"/>
      <c r="C8" s="148">
        <v>0</v>
      </c>
      <c r="D8" s="138">
        <v>22</v>
      </c>
      <c r="E8" s="138"/>
      <c r="F8" s="139"/>
      <c r="G8" s="151">
        <f t="shared" ref="G8:G36" si="5">IF(A8 ="",0,G7+C8+E8-D7-F7)</f>
        <v>330.565</v>
      </c>
      <c r="H8" s="152"/>
      <c r="I8" s="140">
        <f t="shared" si="0"/>
        <v>0</v>
      </c>
      <c r="J8" s="140">
        <f t="shared" si="1"/>
        <v>3300</v>
      </c>
      <c r="K8" s="140">
        <f>IF(OR(WEEKDAY(A8)=1,WEEKDAY(A8)=7,NOT(ISERROR(MATCH(A8,[1]Праздники!A:A,0)))),SUM(E8*225)*1.5,SUM(E8*225))</f>
        <v>0</v>
      </c>
      <c r="L8" s="140">
        <f>IF(OR(WEEKDAY(A8)=1,WEEKDAY(A8)=7,NOT(ISERROR(MATCH(A8,[1]Праздники!A:A,0)))),SUM(F8*225)*1.5,SUM(F8*225))</f>
        <v>0</v>
      </c>
      <c r="M8" s="140">
        <f t="shared" si="2"/>
        <v>4958.4750000000004</v>
      </c>
      <c r="N8" s="140">
        <f t="shared" si="3"/>
        <v>0</v>
      </c>
      <c r="O8" s="140">
        <f t="shared" si="4"/>
        <v>8258.4750000000004</v>
      </c>
      <c r="P8" s="47" t="str">
        <f>IF(OR(WEEKDAY(A8)=1,WEEKDAY(A8)=7,NOT(ISERROR(MATCH(A8,[1]Праздники!A:A,0)))),"Выходной","Рабочий")</f>
        <v>Рабочий</v>
      </c>
    </row>
    <row r="9" spans="1:19">
      <c r="A9" s="146">
        <v>46085</v>
      </c>
      <c r="B9" s="147"/>
      <c r="C9" s="148">
        <v>0</v>
      </c>
      <c r="D9" s="138">
        <v>22</v>
      </c>
      <c r="E9" s="138"/>
      <c r="F9" s="139"/>
      <c r="G9" s="151">
        <f t="shared" si="5"/>
        <v>308.565</v>
      </c>
      <c r="H9" s="152"/>
      <c r="I9" s="140">
        <f t="shared" si="0"/>
        <v>0</v>
      </c>
      <c r="J9" s="140">
        <f t="shared" si="1"/>
        <v>3300</v>
      </c>
      <c r="K9" s="140">
        <f>IF(OR(WEEKDAY(A9)=1,WEEKDAY(A9)=7,NOT(ISERROR(MATCH(A9,[1]Праздники!A:A,0)))),SUM(E9*225)*1.5,SUM(E9*225))</f>
        <v>0</v>
      </c>
      <c r="L9" s="140">
        <f>IF(OR(WEEKDAY(A9)=1,WEEKDAY(A9)=7,NOT(ISERROR(MATCH(A9,[1]Праздники!A:A,0)))),SUM(F9*225)*1.5,SUM(F9*225))</f>
        <v>0</v>
      </c>
      <c r="M9" s="140">
        <f t="shared" si="2"/>
        <v>4628.4750000000004</v>
      </c>
      <c r="N9" s="140">
        <f t="shared" si="3"/>
        <v>0</v>
      </c>
      <c r="O9" s="140">
        <f t="shared" si="4"/>
        <v>7928.4750000000004</v>
      </c>
      <c r="P9" s="47" t="str">
        <f>IF(OR(WEEKDAY(A9)=1,WEEKDAY(A9)=7,NOT(ISERROR(MATCH(A9,[1]Праздники!A:A,0)))),"Выходной","Рабочий")</f>
        <v>Рабочий</v>
      </c>
    </row>
    <row r="10" spans="1:19">
      <c r="A10" s="146">
        <v>46086</v>
      </c>
      <c r="B10" s="147"/>
      <c r="C10" s="148">
        <v>0</v>
      </c>
      <c r="D10" s="138">
        <v>0</v>
      </c>
      <c r="E10" s="138"/>
      <c r="F10" s="139"/>
      <c r="G10" s="151">
        <f t="shared" si="5"/>
        <v>286.565</v>
      </c>
      <c r="H10" s="152"/>
      <c r="I10" s="140">
        <f t="shared" si="0"/>
        <v>0</v>
      </c>
      <c r="J10" s="140">
        <f t="shared" si="1"/>
        <v>0</v>
      </c>
      <c r="K10" s="140">
        <f>IF(OR(WEEKDAY(A10)=1,WEEKDAY(A10)=7,NOT(ISERROR(MATCH(A10,[1]Праздники!A:A,0)))),SUM(E10*225)*1.5,SUM(E10*225))</f>
        <v>0</v>
      </c>
      <c r="L10" s="140">
        <f>IF(OR(WEEKDAY(A10)=1,WEEKDAY(A10)=7,NOT(ISERROR(MATCH(A10,[1]Праздники!A:A,0)))),SUM(F10*225)*1.5,SUM(F10*225))</f>
        <v>0</v>
      </c>
      <c r="M10" s="140">
        <f t="shared" si="2"/>
        <v>4298.4750000000004</v>
      </c>
      <c r="N10" s="140">
        <f t="shared" si="3"/>
        <v>0</v>
      </c>
      <c r="O10" s="140">
        <f t="shared" si="4"/>
        <v>4298.4750000000004</v>
      </c>
      <c r="P10" s="47" t="str">
        <f>IF(OR(WEEKDAY(A10)=1,WEEKDAY(A10)=7,NOT(ISERROR(MATCH(A10,[1]Праздники!A:A,0)))),"Выходной","Рабочий")</f>
        <v>Рабочий</v>
      </c>
    </row>
    <row r="11" spans="1:19">
      <c r="A11" s="146">
        <v>46087</v>
      </c>
      <c r="B11" s="147"/>
      <c r="C11" s="148">
        <v>0</v>
      </c>
      <c r="D11" s="138">
        <v>0</v>
      </c>
      <c r="E11" s="138"/>
      <c r="F11" s="139"/>
      <c r="G11" s="151">
        <f t="shared" si="5"/>
        <v>286.565</v>
      </c>
      <c r="H11" s="152"/>
      <c r="I11" s="140">
        <f t="shared" si="0"/>
        <v>0</v>
      </c>
      <c r="J11" s="140">
        <f t="shared" si="1"/>
        <v>0</v>
      </c>
      <c r="K11" s="140">
        <f>IF(OR(WEEKDAY(A11)=1,WEEKDAY(A11)=7,NOT(ISERROR(MATCH(A11,[1]Праздники!A:A,0)))),SUM(E11*225)*1.5,SUM(E11*225))</f>
        <v>0</v>
      </c>
      <c r="L11" s="140">
        <f>IF(OR(WEEKDAY(A11)=1,WEEKDAY(A11)=7,NOT(ISERROR(MATCH(A11,[1]Праздники!A:A,0)))),SUM(F11*225)*1.5,SUM(F11*225))</f>
        <v>0</v>
      </c>
      <c r="M11" s="140">
        <f t="shared" si="2"/>
        <v>4298.4750000000004</v>
      </c>
      <c r="N11" s="140">
        <f t="shared" si="3"/>
        <v>0</v>
      </c>
      <c r="O11" s="140">
        <f t="shared" si="4"/>
        <v>4298.4750000000004</v>
      </c>
      <c r="P11" s="47" t="str">
        <f>IF(OR(WEEKDAY(A11)=1,WEEKDAY(A11)=7,NOT(ISERROR(MATCH(A11,[1]Праздники!A:A,0)))),"Выходной","Рабочий")</f>
        <v>Рабочий</v>
      </c>
    </row>
    <row r="12" spans="1:19">
      <c r="A12" s="146">
        <v>46088</v>
      </c>
      <c r="B12" s="147"/>
      <c r="C12" s="148">
        <v>0</v>
      </c>
      <c r="D12" s="138">
        <v>0</v>
      </c>
      <c r="E12" s="138"/>
      <c r="F12" s="139"/>
      <c r="G12" s="151">
        <f t="shared" si="5"/>
        <v>286.565</v>
      </c>
      <c r="H12" s="152"/>
      <c r="I12" s="140">
        <f t="shared" si="0"/>
        <v>0</v>
      </c>
      <c r="J12" s="140">
        <f t="shared" si="1"/>
        <v>0</v>
      </c>
      <c r="K12" s="140">
        <f>IF(OR(WEEKDAY(A12)=1,WEEKDAY(A12)=7,NOT(ISERROR(MATCH(A12,[1]Праздники!A:A,0)))),SUM(E12*225)*1.5,SUM(E12*225))</f>
        <v>0</v>
      </c>
      <c r="L12" s="140">
        <f>IF(OR(WEEKDAY(A12)=1,WEEKDAY(A12)=7,NOT(ISERROR(MATCH(A12,[1]Праздники!A:A,0)))),SUM(F12*225)*1.5,SUM(F12*225))</f>
        <v>0</v>
      </c>
      <c r="M12" s="140">
        <f t="shared" si="2"/>
        <v>4298.4750000000004</v>
      </c>
      <c r="N12" s="140">
        <f t="shared" si="3"/>
        <v>0</v>
      </c>
      <c r="O12" s="140">
        <f t="shared" si="4"/>
        <v>4298.4750000000004</v>
      </c>
      <c r="P12" s="47" t="str">
        <f>IF(OR(WEEKDAY(A12)=1,WEEKDAY(A12)=7,NOT(ISERROR(MATCH(A12,[1]Праздники!A:A,0)))),"Выходной","Рабочий")</f>
        <v>Выходной</v>
      </c>
    </row>
    <row r="13" spans="1:19">
      <c r="A13" s="146">
        <v>46089</v>
      </c>
      <c r="B13" s="147"/>
      <c r="C13" s="148">
        <v>0</v>
      </c>
      <c r="D13" s="138">
        <v>0</v>
      </c>
      <c r="E13" s="138"/>
      <c r="F13" s="138"/>
      <c r="G13" s="151">
        <f t="shared" si="5"/>
        <v>286.565</v>
      </c>
      <c r="H13" s="152"/>
      <c r="I13" s="140">
        <f t="shared" si="0"/>
        <v>0</v>
      </c>
      <c r="J13" s="140">
        <f t="shared" si="1"/>
        <v>0</v>
      </c>
      <c r="K13" s="140">
        <f>IF(OR(WEEKDAY(A13)=1,WEEKDAY(A13)=7,NOT(ISERROR(MATCH(A13,[1]Праздники!A:A,0)))),SUM(E13*225)*1.5,SUM(E13*225))</f>
        <v>0</v>
      </c>
      <c r="L13" s="140">
        <f>IF(OR(WEEKDAY(A13)=1,WEEKDAY(A13)=7,NOT(ISERROR(MATCH(A13,[1]Праздники!A:A,0)))),SUM(F13*225)*1.5,SUM(F13*225))</f>
        <v>0</v>
      </c>
      <c r="M13" s="140">
        <f t="shared" si="2"/>
        <v>4298.4750000000004</v>
      </c>
      <c r="N13" s="140">
        <f t="shared" si="3"/>
        <v>0</v>
      </c>
      <c r="O13" s="140">
        <f t="shared" si="4"/>
        <v>4298.4750000000004</v>
      </c>
      <c r="P13" s="47" t="str">
        <f>IF(OR(WEEKDAY(A13)=1,WEEKDAY(A13)=7,NOT(ISERROR(MATCH(A13,[1]Праздники!A:A,0)))),"Выходной","Рабочий")</f>
        <v>Выходной</v>
      </c>
    </row>
    <row r="14" spans="1:19">
      <c r="A14" s="146">
        <v>46090</v>
      </c>
      <c r="B14" s="147"/>
      <c r="C14" s="148">
        <v>0</v>
      </c>
      <c r="D14" s="138">
        <v>0</v>
      </c>
      <c r="E14" s="138"/>
      <c r="F14" s="138"/>
      <c r="G14" s="151">
        <f t="shared" si="5"/>
        <v>286.565</v>
      </c>
      <c r="H14" s="152"/>
      <c r="I14" s="140">
        <f t="shared" si="0"/>
        <v>0</v>
      </c>
      <c r="J14" s="140">
        <f t="shared" si="1"/>
        <v>0</v>
      </c>
      <c r="K14" s="140">
        <f>IF(OR(WEEKDAY(A14)=1,WEEKDAY(A14)=7,NOT(ISERROR(MATCH(A14,[1]Праздники!A:A,0)))),SUM(E14*225)*1.5,SUM(E14*225))</f>
        <v>0</v>
      </c>
      <c r="L14" s="140">
        <f>IF(OR(WEEKDAY(A14)=1,WEEKDAY(A14)=7,NOT(ISERROR(MATCH(A14,[1]Праздники!A:A,0)))),SUM(F14*225)*1.5,SUM(F14*225))</f>
        <v>0</v>
      </c>
      <c r="M14" s="140">
        <f t="shared" si="2"/>
        <v>4298.4750000000004</v>
      </c>
      <c r="N14" s="140">
        <f t="shared" si="3"/>
        <v>0</v>
      </c>
      <c r="O14" s="140">
        <f t="shared" si="4"/>
        <v>4298.4750000000004</v>
      </c>
      <c r="P14" s="47" t="str">
        <f>IF(OR(WEEKDAY(A14)=1,WEEKDAY(A14)=7,NOT(ISERROR(MATCH(A14,[1]Праздники!A:A,0)))),"Выходной","Рабочий")</f>
        <v>Выходной</v>
      </c>
    </row>
    <row r="15" spans="1:19">
      <c r="A15" s="146">
        <v>46091</v>
      </c>
      <c r="B15" s="147"/>
      <c r="C15" s="148">
        <v>0</v>
      </c>
      <c r="D15" s="138">
        <v>6.875</v>
      </c>
      <c r="E15" s="138"/>
      <c r="F15" s="139"/>
      <c r="G15" s="151">
        <f t="shared" si="5"/>
        <v>286.565</v>
      </c>
      <c r="H15" s="152"/>
      <c r="I15" s="140">
        <f t="shared" si="0"/>
        <v>0</v>
      </c>
      <c r="J15" s="140">
        <f t="shared" si="1"/>
        <v>1031.25</v>
      </c>
      <c r="K15" s="140">
        <f>IF(OR(WEEKDAY(A15)=1,WEEKDAY(A15)=7,NOT(ISERROR(MATCH(A15,[1]Праздники!A:A,0)))),SUM(E15*225)*1.5,SUM(E15*225))</f>
        <v>0</v>
      </c>
      <c r="L15" s="140">
        <f>IF(OR(WEEKDAY(A15)=1,WEEKDAY(A15)=7,NOT(ISERROR(MATCH(A15,[1]Праздники!A:A,0)))),SUM(F15*225)*1.5,SUM(F15*225))</f>
        <v>0</v>
      </c>
      <c r="M15" s="140">
        <f t="shared" si="2"/>
        <v>4298.4750000000004</v>
      </c>
      <c r="N15" s="140">
        <f t="shared" si="3"/>
        <v>0</v>
      </c>
      <c r="O15" s="140">
        <f t="shared" si="4"/>
        <v>5329.7250000000004</v>
      </c>
      <c r="P15" s="47" t="str">
        <f>IF(OR(WEEKDAY(A15)=1,WEEKDAY(A15)=7,NOT(ISERROR(MATCH(A15,[1]Праздники!A:A,0)))),"Выходной","Рабочий")</f>
        <v>Рабочий</v>
      </c>
    </row>
    <row r="16" spans="1:19">
      <c r="A16" s="146">
        <v>46092</v>
      </c>
      <c r="B16" s="147"/>
      <c r="C16" s="148">
        <v>0</v>
      </c>
      <c r="D16" s="138">
        <v>0</v>
      </c>
      <c r="E16" s="138"/>
      <c r="F16" s="139"/>
      <c r="G16" s="151">
        <f t="shared" si="5"/>
        <v>279.69</v>
      </c>
      <c r="H16" s="152"/>
      <c r="I16" s="140">
        <f t="shared" si="0"/>
        <v>0</v>
      </c>
      <c r="J16" s="140">
        <f t="shared" si="1"/>
        <v>0</v>
      </c>
      <c r="K16" s="140">
        <f>IF(OR(WEEKDAY(A16)=1,WEEKDAY(A16)=7,NOT(ISERROR(MATCH(A16,[1]Праздники!A:A,0)))),SUM(E16*225)*1.5,SUM(E16*225))</f>
        <v>0</v>
      </c>
      <c r="L16" s="140">
        <f>IF(OR(WEEKDAY(A16)=1,WEEKDAY(A16)=7,NOT(ISERROR(MATCH(A16,[1]Праздники!A:A,0)))),SUM(F16*225)*1.5,SUM(F16*225))</f>
        <v>0</v>
      </c>
      <c r="M16" s="140">
        <f t="shared" si="2"/>
        <v>4195.3500000000004</v>
      </c>
      <c r="N16" s="140">
        <f t="shared" si="3"/>
        <v>0</v>
      </c>
      <c r="O16" s="140">
        <f t="shared" si="4"/>
        <v>4195.3500000000004</v>
      </c>
      <c r="P16" s="47" t="str">
        <f>IF(OR(WEEKDAY(A16)=1,WEEKDAY(A16)=7,NOT(ISERROR(MATCH(A16,[1]Праздники!A:A,0)))),"Выходной","Рабочий")</f>
        <v>Рабочий</v>
      </c>
    </row>
    <row r="17" spans="1:16">
      <c r="A17" s="146">
        <v>46093</v>
      </c>
      <c r="B17" s="147"/>
      <c r="C17" s="148">
        <v>0</v>
      </c>
      <c r="D17" s="138">
        <v>0</v>
      </c>
      <c r="E17" s="138"/>
      <c r="F17" s="139"/>
      <c r="G17" s="151">
        <f t="shared" si="5"/>
        <v>279.69</v>
      </c>
      <c r="H17" s="152"/>
      <c r="I17" s="140">
        <f t="shared" si="0"/>
        <v>0</v>
      </c>
      <c r="J17" s="140">
        <f t="shared" si="1"/>
        <v>0</v>
      </c>
      <c r="K17" s="140">
        <f>IF(OR(WEEKDAY(A17)=1,WEEKDAY(A17)=7,NOT(ISERROR(MATCH(A17,[1]Праздники!A:A,0)))),SUM(E17*225)*1.5,SUM(E17*225))</f>
        <v>0</v>
      </c>
      <c r="L17" s="140">
        <f>IF(OR(WEEKDAY(A17)=1,WEEKDAY(A17)=7,NOT(ISERROR(MATCH(A17,[1]Праздники!A:A,0)))),SUM(F17*225)*1.5,SUM(F17*225))</f>
        <v>0</v>
      </c>
      <c r="M17" s="140">
        <f t="shared" si="2"/>
        <v>4195.3500000000004</v>
      </c>
      <c r="N17" s="140">
        <f t="shared" si="3"/>
        <v>0</v>
      </c>
      <c r="O17" s="140">
        <f t="shared" si="4"/>
        <v>4195.3500000000004</v>
      </c>
      <c r="P17" s="47" t="str">
        <f>IF(OR(WEEKDAY(A17)=1,WEEKDAY(A17)=7,NOT(ISERROR(MATCH(A17,[1]Праздники!A:A,0)))),"Выходной","Рабочий")</f>
        <v>Рабочий</v>
      </c>
    </row>
    <row r="18" spans="1:16">
      <c r="A18" s="146">
        <v>46094</v>
      </c>
      <c r="B18" s="147"/>
      <c r="C18" s="148">
        <v>0</v>
      </c>
      <c r="D18" s="138">
        <v>0</v>
      </c>
      <c r="E18" s="138"/>
      <c r="F18" s="139"/>
      <c r="G18" s="151">
        <f t="shared" si="5"/>
        <v>279.69</v>
      </c>
      <c r="H18" s="152"/>
      <c r="I18" s="140">
        <f t="shared" si="0"/>
        <v>0</v>
      </c>
      <c r="J18" s="140">
        <f t="shared" si="1"/>
        <v>0</v>
      </c>
      <c r="K18" s="140">
        <f>IF(OR(WEEKDAY(A18)=1,WEEKDAY(A18)=7,NOT(ISERROR(MATCH(A18,[1]Праздники!A:A,0)))),SUM(E18*225)*1.5,SUM(E18*225))</f>
        <v>0</v>
      </c>
      <c r="L18" s="140">
        <f>IF(OR(WEEKDAY(A18)=1,WEEKDAY(A18)=7,NOT(ISERROR(MATCH(A18,[1]Праздники!A:A,0)))),SUM(F18*225)*1.5,SUM(F18*225))</f>
        <v>0</v>
      </c>
      <c r="M18" s="140">
        <f t="shared" si="2"/>
        <v>4195.3500000000004</v>
      </c>
      <c r="N18" s="140">
        <f t="shared" si="3"/>
        <v>0</v>
      </c>
      <c r="O18" s="140">
        <f t="shared" si="4"/>
        <v>4195.3500000000004</v>
      </c>
      <c r="P18" s="47" t="str">
        <f>IF(OR(WEEKDAY(A18)=1,WEEKDAY(A18)=7,NOT(ISERROR(MATCH(A18,[1]Праздники!A:A,0)))),"Выходной","Рабочий")</f>
        <v>Рабочий</v>
      </c>
    </row>
    <row r="19" spans="1:16">
      <c r="A19" s="146">
        <v>46095</v>
      </c>
      <c r="B19" s="147"/>
      <c r="C19" s="148">
        <v>0</v>
      </c>
      <c r="D19" s="138">
        <v>0</v>
      </c>
      <c r="E19" s="138"/>
      <c r="F19" s="139"/>
      <c r="G19" s="151">
        <f t="shared" si="5"/>
        <v>279.69</v>
      </c>
      <c r="H19" s="152"/>
      <c r="I19" s="140">
        <f t="shared" si="0"/>
        <v>0</v>
      </c>
      <c r="J19" s="140">
        <f t="shared" si="1"/>
        <v>0</v>
      </c>
      <c r="K19" s="140">
        <f>IF(OR(WEEKDAY(A19)=1,WEEKDAY(A19)=7,NOT(ISERROR(MATCH(A19,[1]Праздники!A:A,0)))),SUM(E19*225)*1.5,SUM(E19*225))</f>
        <v>0</v>
      </c>
      <c r="L19" s="140">
        <f>IF(OR(WEEKDAY(A19)=1,WEEKDAY(A19)=7,NOT(ISERROR(MATCH(A19,[1]Праздники!A:A,0)))),SUM(F19*225)*1.5,SUM(F19*225))</f>
        <v>0</v>
      </c>
      <c r="M19" s="140">
        <f t="shared" si="2"/>
        <v>4195.3500000000004</v>
      </c>
      <c r="N19" s="140">
        <f t="shared" si="3"/>
        <v>0</v>
      </c>
      <c r="O19" s="140">
        <f t="shared" si="4"/>
        <v>4195.3500000000004</v>
      </c>
      <c r="P19" s="47" t="str">
        <f>IF(OR(WEEKDAY(A19)=1,WEEKDAY(A19)=7,NOT(ISERROR(MATCH(A19,[1]Праздники!A:A,0)))),"Выходной","Рабочий")</f>
        <v>Выходной</v>
      </c>
    </row>
    <row r="20" spans="1:16">
      <c r="A20" s="146">
        <v>46096</v>
      </c>
      <c r="B20" s="147"/>
      <c r="C20" s="148">
        <v>0</v>
      </c>
      <c r="D20" s="138">
        <v>2.75</v>
      </c>
      <c r="E20" s="138"/>
      <c r="F20" s="139"/>
      <c r="G20" s="151">
        <f t="shared" si="5"/>
        <v>279.69</v>
      </c>
      <c r="H20" s="152"/>
      <c r="I20" s="140">
        <f t="shared" si="0"/>
        <v>0</v>
      </c>
      <c r="J20" s="140">
        <f t="shared" si="1"/>
        <v>618.75</v>
      </c>
      <c r="K20" s="140">
        <f>IF(OR(WEEKDAY(A20)=1,WEEKDAY(A20)=7,NOT(ISERROR(MATCH(A20,[1]Праздники!A:A,0)))),SUM(E20*225)*1.5,SUM(E20*225))</f>
        <v>0</v>
      </c>
      <c r="L20" s="140">
        <f>IF(OR(WEEKDAY(A20)=1,WEEKDAY(A20)=7,NOT(ISERROR(MATCH(A20,[1]Праздники!A:A,0)))),SUM(F20*225)*1.5,SUM(F20*225))</f>
        <v>0</v>
      </c>
      <c r="M20" s="140">
        <f t="shared" si="2"/>
        <v>4195.3500000000004</v>
      </c>
      <c r="N20" s="140">
        <f t="shared" si="3"/>
        <v>0</v>
      </c>
      <c r="O20" s="140">
        <f t="shared" si="4"/>
        <v>4814.1000000000004</v>
      </c>
      <c r="P20" s="47" t="str">
        <f>IF(OR(WEEKDAY(A20)=1,WEEKDAY(A20)=7,NOT(ISERROR(MATCH(A20,[1]Праздники!A:A,0)))),"Выходной","Рабочий")</f>
        <v>Выходной</v>
      </c>
    </row>
    <row r="21" spans="1:16">
      <c r="A21" s="146">
        <v>46097</v>
      </c>
      <c r="B21" s="147"/>
      <c r="C21" s="148">
        <v>0</v>
      </c>
      <c r="D21" s="138">
        <v>0</v>
      </c>
      <c r="E21" s="138"/>
      <c r="F21" s="139"/>
      <c r="G21" s="151">
        <f t="shared" si="5"/>
        <v>276.94</v>
      </c>
      <c r="H21" s="152"/>
      <c r="I21" s="140">
        <f t="shared" si="0"/>
        <v>0</v>
      </c>
      <c r="J21" s="140">
        <f t="shared" si="1"/>
        <v>0</v>
      </c>
      <c r="K21" s="140">
        <f>IF(OR(WEEKDAY(A21)=1,WEEKDAY(A21)=7,NOT(ISERROR(MATCH(A21,[1]Праздники!A:A,0)))),SUM(E21*225)*1.5,SUM(E21*225))</f>
        <v>0</v>
      </c>
      <c r="L21" s="140">
        <f>IF(OR(WEEKDAY(A21)=1,WEEKDAY(A21)=7,NOT(ISERROR(MATCH(A21,[1]Праздники!A:A,0)))),SUM(F21*225)*1.5,SUM(F21*225))</f>
        <v>0</v>
      </c>
      <c r="M21" s="140">
        <f t="shared" si="2"/>
        <v>4154.1000000000004</v>
      </c>
      <c r="N21" s="140">
        <f t="shared" si="3"/>
        <v>0</v>
      </c>
      <c r="O21" s="140">
        <f t="shared" si="4"/>
        <v>4154.1000000000004</v>
      </c>
      <c r="P21" s="47" t="str">
        <f>IF(OR(WEEKDAY(A21)=1,WEEKDAY(A21)=7,NOT(ISERROR(MATCH(A21,[1]Праздники!A:A,0)))),"Выходной","Рабочий")</f>
        <v>Рабочий</v>
      </c>
    </row>
    <row r="22" spans="1:16">
      <c r="A22" s="146">
        <v>46098</v>
      </c>
      <c r="B22" s="147"/>
      <c r="C22" s="148">
        <v>0</v>
      </c>
      <c r="D22" s="138">
        <v>0</v>
      </c>
      <c r="E22" s="138"/>
      <c r="F22" s="139"/>
      <c r="G22" s="151">
        <f t="shared" si="5"/>
        <v>276.94</v>
      </c>
      <c r="H22" s="152"/>
      <c r="I22" s="140">
        <f t="shared" si="0"/>
        <v>0</v>
      </c>
      <c r="J22" s="140">
        <f t="shared" si="1"/>
        <v>0</v>
      </c>
      <c r="K22" s="140">
        <f>IF(OR(WEEKDAY(A22)=1,WEEKDAY(A22)=7,NOT(ISERROR(MATCH(A22,[1]Праздники!A:A,0)))),SUM(E22*225)*1.5,SUM(E22*225))</f>
        <v>0</v>
      </c>
      <c r="L22" s="140">
        <f>IF(OR(WEEKDAY(A22)=1,WEEKDAY(A22)=7,NOT(ISERROR(MATCH(A22,[1]Праздники!A:A,0)))),SUM(F22*225)*1.5,SUM(F22*225))</f>
        <v>0</v>
      </c>
      <c r="M22" s="140">
        <f t="shared" si="2"/>
        <v>4154.1000000000004</v>
      </c>
      <c r="N22" s="140">
        <f t="shared" si="3"/>
        <v>0</v>
      </c>
      <c r="O22" s="140">
        <f t="shared" si="4"/>
        <v>4154.1000000000004</v>
      </c>
      <c r="P22" s="47" t="str">
        <f>IF(OR(WEEKDAY(A22)=1,WEEKDAY(A22)=7,NOT(ISERROR(MATCH(A22,[1]Праздники!A:A,0)))),"Выходной","Рабочий")</f>
        <v>Рабочий</v>
      </c>
    </row>
    <row r="23" spans="1:16">
      <c r="A23" s="146">
        <v>46099</v>
      </c>
      <c r="B23" s="147"/>
      <c r="C23" s="148">
        <v>0</v>
      </c>
      <c r="D23" s="138">
        <v>0</v>
      </c>
      <c r="E23" s="138"/>
      <c r="F23" s="139"/>
      <c r="G23" s="151">
        <f t="shared" si="5"/>
        <v>276.94</v>
      </c>
      <c r="H23" s="152"/>
      <c r="I23" s="140">
        <f t="shared" si="0"/>
        <v>0</v>
      </c>
      <c r="J23" s="140">
        <f t="shared" si="1"/>
        <v>0</v>
      </c>
      <c r="K23" s="140">
        <f>IF(OR(WEEKDAY(A23)=1,WEEKDAY(A23)=7,NOT(ISERROR(MATCH(A23,[1]Праздники!A:A,0)))),SUM(E23*225)*1.5,SUM(E23*225))</f>
        <v>0</v>
      </c>
      <c r="L23" s="140">
        <f>IF(OR(WEEKDAY(A23)=1,WEEKDAY(A23)=7,NOT(ISERROR(MATCH(A23,[1]Праздники!A:A,0)))),SUM(F23*225)*1.5,SUM(F23*225))</f>
        <v>0</v>
      </c>
      <c r="M23" s="140">
        <f t="shared" si="2"/>
        <v>4154.1000000000004</v>
      </c>
      <c r="N23" s="140">
        <f t="shared" si="3"/>
        <v>0</v>
      </c>
      <c r="O23" s="140">
        <f t="shared" si="4"/>
        <v>4154.1000000000004</v>
      </c>
      <c r="P23" s="47" t="str">
        <f>IF(OR(WEEKDAY(A23)=1,WEEKDAY(A23)=7,NOT(ISERROR(MATCH(A23,[1]Праздники!A:A,0)))),"Выходной","Рабочий")</f>
        <v>Рабочий</v>
      </c>
    </row>
    <row r="24" spans="1:16">
      <c r="A24" s="146">
        <v>46100</v>
      </c>
      <c r="B24" s="147"/>
      <c r="C24" s="148">
        <v>0</v>
      </c>
      <c r="D24" s="138">
        <v>0</v>
      </c>
      <c r="E24" s="138"/>
      <c r="F24" s="139"/>
      <c r="G24" s="151">
        <f t="shared" si="5"/>
        <v>276.94</v>
      </c>
      <c r="H24" s="152"/>
      <c r="I24" s="140">
        <f t="shared" si="0"/>
        <v>0</v>
      </c>
      <c r="J24" s="140">
        <f t="shared" si="1"/>
        <v>0</v>
      </c>
      <c r="K24" s="140">
        <f>IF(OR(WEEKDAY(A24)=1,WEEKDAY(A24)=7,NOT(ISERROR(MATCH(A24,[1]Праздники!A:A,0)))),SUM(E24*225)*1.5,SUM(E24*225))</f>
        <v>0</v>
      </c>
      <c r="L24" s="140">
        <f>IF(OR(WEEKDAY(A24)=1,WEEKDAY(A24)=7,NOT(ISERROR(MATCH(A24,[1]Праздники!A:A,0)))),SUM(F24*225)*1.5,SUM(F24*225))</f>
        <v>0</v>
      </c>
      <c r="M24" s="140">
        <f t="shared" si="2"/>
        <v>4154.1000000000004</v>
      </c>
      <c r="N24" s="140">
        <f t="shared" si="3"/>
        <v>0</v>
      </c>
      <c r="O24" s="140">
        <f t="shared" si="4"/>
        <v>4154.1000000000004</v>
      </c>
      <c r="P24" s="47" t="str">
        <f>IF(OR(WEEKDAY(A24)=1,WEEKDAY(A24)=7,NOT(ISERROR(MATCH(A24,[1]Праздники!A:A,0)))),"Выходной","Рабочий")</f>
        <v>Рабочий</v>
      </c>
    </row>
    <row r="25" spans="1:16">
      <c r="A25" s="146">
        <v>46101</v>
      </c>
      <c r="B25" s="147"/>
      <c r="C25" s="148">
        <v>0</v>
      </c>
      <c r="D25" s="138">
        <v>15.125</v>
      </c>
      <c r="E25" s="138"/>
      <c r="F25" s="139"/>
      <c r="G25" s="151">
        <f t="shared" si="5"/>
        <v>276.94</v>
      </c>
      <c r="H25" s="152"/>
      <c r="I25" s="140">
        <f t="shared" si="0"/>
        <v>0</v>
      </c>
      <c r="J25" s="140">
        <f t="shared" si="1"/>
        <v>2268.75</v>
      </c>
      <c r="K25" s="140">
        <f>IF(OR(WEEKDAY(A25)=1,WEEKDAY(A25)=7,NOT(ISERROR(MATCH(A25,[1]Праздники!A:A,0)))),SUM(E25*225)*1.5,SUM(E25*225))</f>
        <v>0</v>
      </c>
      <c r="L25" s="140">
        <f>IF(OR(WEEKDAY(A25)=1,WEEKDAY(A25)=7,NOT(ISERROR(MATCH(A25,[1]Праздники!A:A,0)))),SUM(F25*225)*1.5,SUM(F25*225))</f>
        <v>0</v>
      </c>
      <c r="M25" s="140">
        <f t="shared" si="2"/>
        <v>4154.1000000000004</v>
      </c>
      <c r="N25" s="140">
        <f t="shared" si="3"/>
        <v>0</v>
      </c>
      <c r="O25" s="140">
        <f t="shared" si="4"/>
        <v>6422.85</v>
      </c>
      <c r="P25" s="47" t="str">
        <f>IF(OR(WEEKDAY(A25)=1,WEEKDAY(A25)=7,NOT(ISERROR(MATCH(A25,[1]Праздники!A:A,0)))),"Выходной","Рабочий")</f>
        <v>Рабочий</v>
      </c>
    </row>
    <row r="26" spans="1:16">
      <c r="A26" s="146">
        <v>46102</v>
      </c>
      <c r="B26" s="147"/>
      <c r="C26" s="148">
        <v>0</v>
      </c>
      <c r="D26" s="138">
        <v>0</v>
      </c>
      <c r="E26" s="153"/>
      <c r="F26" s="139"/>
      <c r="G26" s="151">
        <f t="shared" si="5"/>
        <v>261.815</v>
      </c>
      <c r="H26" s="152"/>
      <c r="I26" s="140">
        <f t="shared" si="0"/>
        <v>0</v>
      </c>
      <c r="J26" s="140">
        <f t="shared" si="1"/>
        <v>0</v>
      </c>
      <c r="K26" s="140">
        <f>IF(OR(WEEKDAY(A26)=1,WEEKDAY(A26)=7,NOT(ISERROR(MATCH(A26,[1]Праздники!A:A,0)))),SUM(E26*225)*1.5,SUM(E26*225))</f>
        <v>0</v>
      </c>
      <c r="L26" s="140">
        <f>IF(OR(WEEKDAY(A26)=1,WEEKDAY(A26)=7,NOT(ISERROR(MATCH(A26,[1]Праздники!A:A,0)))),SUM(F26*225)*1.5,SUM(F26*225))</f>
        <v>0</v>
      </c>
      <c r="M26" s="140">
        <f t="shared" si="2"/>
        <v>3927.2249999999999</v>
      </c>
      <c r="N26" s="140">
        <f t="shared" si="3"/>
        <v>0</v>
      </c>
      <c r="O26" s="140">
        <f t="shared" si="4"/>
        <v>3927.2249999999999</v>
      </c>
      <c r="P26" s="47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146">
        <v>46103</v>
      </c>
      <c r="B27" s="147"/>
      <c r="C27" s="148">
        <v>0</v>
      </c>
      <c r="D27" s="138">
        <v>0</v>
      </c>
      <c r="E27" s="138"/>
      <c r="F27" s="138"/>
      <c r="G27" s="151">
        <f t="shared" si="5"/>
        <v>261.815</v>
      </c>
      <c r="H27" s="152"/>
      <c r="I27" s="140">
        <f t="shared" si="0"/>
        <v>0</v>
      </c>
      <c r="J27" s="140">
        <f t="shared" si="1"/>
        <v>0</v>
      </c>
      <c r="K27" s="140">
        <f>IF(OR(WEEKDAY(A27)=1,WEEKDAY(A27)=7,NOT(ISERROR(MATCH(A27,[1]Праздники!A:A,0)))),SUM(E27*225)*1.5,SUM(E27*225))</f>
        <v>0</v>
      </c>
      <c r="L27" s="140">
        <f>IF(OR(WEEKDAY(A27)=1,WEEKDAY(A27)=7,NOT(ISERROR(MATCH(A27,[1]Праздники!A:A,0)))),SUM(F27*225)*1.5,SUM(F27*225))</f>
        <v>0</v>
      </c>
      <c r="M27" s="140">
        <f t="shared" si="2"/>
        <v>3927.2249999999999</v>
      </c>
      <c r="N27" s="140">
        <f t="shared" si="3"/>
        <v>0</v>
      </c>
      <c r="O27" s="140">
        <f t="shared" si="4"/>
        <v>3927.2249999999999</v>
      </c>
      <c r="P27" s="47" t="str">
        <f>IF(OR(WEEKDAY(A27)=1,WEEKDAY(A27)=7,NOT(ISERROR(MATCH(A27,[1]Праздники!A:A,0)))),"Выходной","Рабочий")</f>
        <v>Выходной</v>
      </c>
    </row>
    <row r="28" spans="1:16">
      <c r="A28" s="146">
        <v>46104</v>
      </c>
      <c r="B28" s="147"/>
      <c r="C28" s="148">
        <v>0</v>
      </c>
      <c r="D28" s="138">
        <v>111.03</v>
      </c>
      <c r="E28" s="138"/>
      <c r="F28" s="139"/>
      <c r="G28" s="151">
        <f t="shared" si="5"/>
        <v>261.815</v>
      </c>
      <c r="H28" s="152"/>
      <c r="I28" s="140">
        <f t="shared" si="0"/>
        <v>0</v>
      </c>
      <c r="J28" s="140">
        <f t="shared" si="1"/>
        <v>16654.5</v>
      </c>
      <c r="K28" s="140">
        <f>IF(OR(WEEKDAY(A28)=1,WEEKDAY(A28)=7,NOT(ISERROR(MATCH(A28,[1]Праздники!A:A,0)))),SUM(E28*225)*1.5,SUM(E28*225))</f>
        <v>0</v>
      </c>
      <c r="L28" s="140">
        <f>IF(OR(WEEKDAY(A28)=1,WEEKDAY(A28)=7,NOT(ISERROR(MATCH(A28,[1]Праздники!A:A,0)))),SUM(F28*225)*1.5,SUM(F28*225))</f>
        <v>0</v>
      </c>
      <c r="M28" s="140">
        <f t="shared" si="2"/>
        <v>3927.2249999999999</v>
      </c>
      <c r="N28" s="140">
        <f t="shared" si="3"/>
        <v>0</v>
      </c>
      <c r="O28" s="140">
        <f t="shared" si="4"/>
        <v>20581.724999999999</v>
      </c>
      <c r="P28" s="47" t="str">
        <f>IF(OR(WEEKDAY(A28)=1,WEEKDAY(A28)=7,NOT(ISERROR(MATCH(A28,[1]Праздники!A:A,0)))),"Выходной","Рабочий")</f>
        <v>Рабочий</v>
      </c>
    </row>
    <row r="29" spans="1:16">
      <c r="A29" s="146">
        <v>46105</v>
      </c>
      <c r="B29" s="147"/>
      <c r="C29" s="148">
        <v>0</v>
      </c>
      <c r="D29" s="138">
        <v>43.975000000000001</v>
      </c>
      <c r="E29" s="138"/>
      <c r="F29" s="139"/>
      <c r="G29" s="151">
        <f t="shared" si="5"/>
        <v>150.785</v>
      </c>
      <c r="H29" s="152"/>
      <c r="I29" s="140">
        <f t="shared" si="0"/>
        <v>0</v>
      </c>
      <c r="J29" s="140">
        <f t="shared" si="1"/>
        <v>6596.25</v>
      </c>
      <c r="K29" s="140">
        <f>IF(OR(WEEKDAY(A29)=1,WEEKDAY(A29)=7,NOT(ISERROR(MATCH(A29,[1]Праздники!A:A,0)))),SUM(E29*225)*1.5,SUM(E29*225))</f>
        <v>0</v>
      </c>
      <c r="L29" s="140">
        <f>IF(OR(WEEKDAY(A29)=1,WEEKDAY(A29)=7,NOT(ISERROR(MATCH(A29,[1]Праздники!A:A,0)))),SUM(F29*225)*1.5,SUM(F29*225))</f>
        <v>0</v>
      </c>
      <c r="M29" s="140">
        <f t="shared" si="2"/>
        <v>2261.7750000000001</v>
      </c>
      <c r="N29" s="140">
        <f t="shared" si="3"/>
        <v>0</v>
      </c>
      <c r="O29" s="140">
        <f t="shared" si="4"/>
        <v>8858.0249999999996</v>
      </c>
      <c r="P29" s="47" t="str">
        <f>IF(OR(WEEKDAY(A29)=1,WEEKDAY(A29)=7,NOT(ISERROR(MATCH(A29,[1]Праздники!A:A,0)))),"Выходной","Рабочий")</f>
        <v>Рабочий</v>
      </c>
    </row>
    <row r="30" spans="1:16">
      <c r="A30" s="146">
        <v>46106</v>
      </c>
      <c r="B30" s="147"/>
      <c r="C30" s="148">
        <v>0</v>
      </c>
      <c r="D30" s="138">
        <v>101.85</v>
      </c>
      <c r="E30" s="138"/>
      <c r="F30" s="139"/>
      <c r="G30" s="151">
        <f t="shared" si="5"/>
        <v>106.81</v>
      </c>
      <c r="H30" s="152"/>
      <c r="I30" s="140">
        <f t="shared" si="0"/>
        <v>0</v>
      </c>
      <c r="J30" s="140">
        <f t="shared" si="1"/>
        <v>15277.5</v>
      </c>
      <c r="K30" s="140">
        <f>IF(OR(WEEKDAY(A30)=1,WEEKDAY(A30)=7,NOT(ISERROR(MATCH(A30,[1]Праздники!A:A,0)))),SUM(E30*225)*1.5,SUM(E30*225))</f>
        <v>0</v>
      </c>
      <c r="L30" s="140">
        <f>IF(OR(WEEKDAY(A30)=1,WEEKDAY(A30)=7,NOT(ISERROR(MATCH(A30,[1]Праздники!A:A,0)))),SUM(F30*225)*1.5,SUM(F30*225))</f>
        <v>0</v>
      </c>
      <c r="M30" s="140">
        <f t="shared" si="2"/>
        <v>1602.15</v>
      </c>
      <c r="N30" s="140">
        <f t="shared" si="3"/>
        <v>0</v>
      </c>
      <c r="O30" s="140">
        <f t="shared" si="4"/>
        <v>16879.650000000001</v>
      </c>
      <c r="P30" s="47" t="str">
        <f>IF(OR(WEEKDAY(A30)=1,WEEKDAY(A30)=7,NOT(ISERROR(MATCH(A30,[1]Праздники!A:A,0)))),"Выходной","Рабочий")</f>
        <v>Рабочий</v>
      </c>
    </row>
    <row r="31" spans="1:16">
      <c r="A31" s="146">
        <v>46107</v>
      </c>
      <c r="B31" s="147"/>
      <c r="C31" s="148">
        <v>0</v>
      </c>
      <c r="D31" s="138">
        <v>0</v>
      </c>
      <c r="E31" s="138"/>
      <c r="F31" s="139"/>
      <c r="G31" s="151">
        <f t="shared" si="5"/>
        <v>4.960000000000008</v>
      </c>
      <c r="H31" s="152"/>
      <c r="I31" s="140">
        <f t="shared" si="0"/>
        <v>0</v>
      </c>
      <c r="J31" s="140">
        <f t="shared" si="1"/>
        <v>0</v>
      </c>
      <c r="K31" s="140">
        <f>IF(OR(WEEKDAY(A31)=1,WEEKDAY(A31)=7,NOT(ISERROR(MATCH(A31,[1]Праздники!A:A,0)))),SUM(E31*225)*1.5,SUM(E31*225))</f>
        <v>0</v>
      </c>
      <c r="L31" s="140">
        <f>IF(OR(WEEKDAY(A31)=1,WEEKDAY(A31)=7,NOT(ISERROR(MATCH(A31,[1]Праздники!A:A,0)))),SUM(F31*225)*1.5,SUM(F31*225))</f>
        <v>0</v>
      </c>
      <c r="M31" s="140">
        <f t="shared" si="2"/>
        <v>74.400000000000119</v>
      </c>
      <c r="N31" s="140">
        <f t="shared" si="3"/>
        <v>0</v>
      </c>
      <c r="O31" s="140">
        <f t="shared" si="4"/>
        <v>74.400000000000119</v>
      </c>
      <c r="P31" s="47" t="str">
        <f>IF(OR(WEEKDAY(A31)=1,WEEKDAY(A31)=7,NOT(ISERROR(MATCH(A31,[1]Праздники!A:A,0)))),"Выходной","Рабочий")</f>
        <v>Рабочий</v>
      </c>
    </row>
    <row r="32" spans="1:16">
      <c r="A32" s="146">
        <v>46108</v>
      </c>
      <c r="B32" s="147"/>
      <c r="C32" s="148">
        <v>0</v>
      </c>
      <c r="D32" s="138">
        <v>0</v>
      </c>
      <c r="E32" s="138"/>
      <c r="F32" s="139"/>
      <c r="G32" s="151">
        <f t="shared" si="5"/>
        <v>4.960000000000008</v>
      </c>
      <c r="H32" s="152"/>
      <c r="I32" s="140">
        <f t="shared" si="0"/>
        <v>0</v>
      </c>
      <c r="J32" s="140">
        <f t="shared" si="1"/>
        <v>0</v>
      </c>
      <c r="K32" s="140">
        <f>IF(OR(WEEKDAY(A32)=1,WEEKDAY(A32)=7,NOT(ISERROR(MATCH(A32,[1]Праздники!A:A,0)))),SUM(E32*225)*1.5,SUM(E32*225))</f>
        <v>0</v>
      </c>
      <c r="L32" s="140">
        <f>IF(OR(WEEKDAY(A32)=1,WEEKDAY(A32)=7,NOT(ISERROR(MATCH(A32,[1]Праздники!A:A,0)))),SUM(F32*225)*1.5,SUM(F32*225))</f>
        <v>0</v>
      </c>
      <c r="M32" s="140">
        <f t="shared" si="2"/>
        <v>74.400000000000119</v>
      </c>
      <c r="N32" s="140">
        <f t="shared" si="3"/>
        <v>0</v>
      </c>
      <c r="O32" s="140">
        <f t="shared" si="4"/>
        <v>74.400000000000119</v>
      </c>
      <c r="P32" s="47" t="str">
        <f>IF(OR(WEEKDAY(A32)=1,WEEKDAY(A32)=7,NOT(ISERROR(MATCH(A32,[1]Праздники!A:A,0)))),"Выходной","Рабочий")</f>
        <v>Рабочий</v>
      </c>
    </row>
    <row r="33" spans="1:17">
      <c r="A33" s="146">
        <v>46109</v>
      </c>
      <c r="B33" s="147"/>
      <c r="C33" s="148">
        <v>0</v>
      </c>
      <c r="D33" s="138">
        <v>1.35</v>
      </c>
      <c r="E33" s="138"/>
      <c r="F33" s="139"/>
      <c r="G33" s="151">
        <f t="shared" si="5"/>
        <v>4.960000000000008</v>
      </c>
      <c r="H33" s="152"/>
      <c r="I33" s="140">
        <f t="shared" si="0"/>
        <v>0</v>
      </c>
      <c r="J33" s="140">
        <f t="shared" si="1"/>
        <v>303.75</v>
      </c>
      <c r="K33" s="140">
        <f>IF(OR(WEEKDAY(A33)=1,WEEKDAY(A33)=7,NOT(ISERROR(MATCH(A33,[1]Праздники!A:A,0)))),SUM(E33*225)*1.5,SUM(E33*225))</f>
        <v>0</v>
      </c>
      <c r="L33" s="140">
        <f>IF(OR(WEEKDAY(A33)=1,WEEKDAY(A33)=7,NOT(ISERROR(MATCH(A33,[1]Праздники!A:A,0)))),SUM(F33*225)*1.5,SUM(F33*225))</f>
        <v>0</v>
      </c>
      <c r="M33" s="140">
        <f t="shared" si="2"/>
        <v>74.400000000000119</v>
      </c>
      <c r="N33" s="140">
        <f t="shared" si="3"/>
        <v>0</v>
      </c>
      <c r="O33" s="140">
        <f t="shared" si="4"/>
        <v>378.15000000000009</v>
      </c>
      <c r="P33" s="47" t="str">
        <f>IF(OR(WEEKDAY(A33)=1,WEEKDAY(A33)=7,NOT(ISERROR(MATCH(A33,[1]Праздники!A:A,0)))),"Выходной","Рабочий")</f>
        <v>Выходной</v>
      </c>
    </row>
    <row r="34" spans="1:17">
      <c r="A34" s="146">
        <v>46110</v>
      </c>
      <c r="B34" s="147"/>
      <c r="C34" s="148">
        <v>0</v>
      </c>
      <c r="D34" s="138">
        <v>0</v>
      </c>
      <c r="E34" s="138"/>
      <c r="F34" s="139"/>
      <c r="G34" s="151">
        <f t="shared" si="5"/>
        <v>3.6100000000000079</v>
      </c>
      <c r="H34" s="152"/>
      <c r="I34" s="140">
        <f t="shared" si="0"/>
        <v>0</v>
      </c>
      <c r="J34" s="140">
        <f t="shared" si="1"/>
        <v>0</v>
      </c>
      <c r="K34" s="140">
        <f>IF(OR(WEEKDAY(A34)=1,WEEKDAY(A34)=7,NOT(ISERROR(MATCH(A34,[1]Праздники!A:A,0)))),SUM(E34*225)*1.5,SUM(E34*225))</f>
        <v>0</v>
      </c>
      <c r="L34" s="140">
        <f>IF(OR(WEEKDAY(A34)=1,WEEKDAY(A34)=7,NOT(ISERROR(MATCH(A34,[1]Праздники!A:A,0)))),SUM(F34*225)*1.5,SUM(F34*225))</f>
        <v>0</v>
      </c>
      <c r="M34" s="140">
        <f t="shared" si="2"/>
        <v>54.150000000000119</v>
      </c>
      <c r="N34" s="140">
        <f t="shared" si="3"/>
        <v>0</v>
      </c>
      <c r="O34" s="140">
        <f t="shared" si="4"/>
        <v>54.150000000000119</v>
      </c>
      <c r="P34" s="47" t="str">
        <f>IF(OR(WEEKDAY(A34)=1,WEEKDAY(A34)=7,NOT(ISERROR(MATCH(A34,[1]Праздники!A:A,0)))),"Выходной","Рабочий")</f>
        <v>Выходной</v>
      </c>
    </row>
    <row r="35" spans="1:17">
      <c r="A35" s="146">
        <v>46111</v>
      </c>
      <c r="B35" s="147"/>
      <c r="C35" s="148">
        <v>0</v>
      </c>
      <c r="D35" s="138">
        <v>3.61</v>
      </c>
      <c r="E35" s="151"/>
      <c r="F35" s="139"/>
      <c r="G35" s="151">
        <f t="shared" si="5"/>
        <v>3.6100000000000079</v>
      </c>
      <c r="H35" s="152"/>
      <c r="I35" s="140">
        <f t="shared" si="0"/>
        <v>0</v>
      </c>
      <c r="J35" s="140">
        <f t="shared" si="1"/>
        <v>541.5</v>
      </c>
      <c r="K35" s="140">
        <f>IF(OR(WEEKDAY(A35)=1,WEEKDAY(A35)=7,NOT(ISERROR(MATCH(A35,[1]Праздники!A:A,0)))),SUM(E35*225)*1.5,SUM(E35*225))</f>
        <v>0</v>
      </c>
      <c r="L35" s="140">
        <f>IF(OR(WEEKDAY(A35)=1,WEEKDAY(A35)=7,NOT(ISERROR(MATCH(A35,[1]Праздники!A:A,0)))),SUM(F35*225)*1.5,SUM(F35*225))</f>
        <v>0</v>
      </c>
      <c r="M35" s="140">
        <f t="shared" si="2"/>
        <v>54.150000000000119</v>
      </c>
      <c r="N35" s="140">
        <f t="shared" si="3"/>
        <v>0</v>
      </c>
      <c r="O35" s="140">
        <f t="shared" si="4"/>
        <v>595.65000000000009</v>
      </c>
      <c r="P35" s="47" t="str">
        <f>IF(OR(WEEKDAY(A35)=1,WEEKDAY(A35)=7,NOT(ISERROR(MATCH(A35,[1]Праздники!A:A,0)))),"Выходной","Рабочий")</f>
        <v>Рабочий</v>
      </c>
    </row>
    <row r="36" spans="1:17" ht="15.75" thickBot="1">
      <c r="A36" s="146">
        <v>46112</v>
      </c>
      <c r="B36" s="147"/>
      <c r="C36" s="148">
        <v>0</v>
      </c>
      <c r="D36" s="138">
        <v>0</v>
      </c>
      <c r="E36" s="151"/>
      <c r="F36" s="139"/>
      <c r="G36" s="151">
        <f t="shared" si="5"/>
        <v>7.9936057773011271E-15</v>
      </c>
      <c r="H36" s="152"/>
      <c r="I36" s="140">
        <f t="shared" si="0"/>
        <v>0</v>
      </c>
      <c r="J36" s="140">
        <f t="shared" si="1"/>
        <v>0</v>
      </c>
      <c r="K36" s="140">
        <f>IF(OR(WEEKDAY(A36)=1,WEEKDAY(A36)=7,NOT(ISERROR(MATCH(A36,[1]Праздники!A:A,0)))),SUM(E36*225)*1.5,SUM(E36*225))</f>
        <v>0</v>
      </c>
      <c r="L36" s="140">
        <f>IF(OR(WEEKDAY(A36)=1,WEEKDAY(A36)=7,NOT(ISERROR(MATCH(A36,[1]Праздники!A:A,0)))),SUM(F36*225)*1.5,SUM(F36*225))</f>
        <v>0</v>
      </c>
      <c r="M36" s="140">
        <f t="shared" si="2"/>
        <v>1.1990408665951691E-13</v>
      </c>
      <c r="N36" s="140">
        <f t="shared" si="3"/>
        <v>0</v>
      </c>
      <c r="O36" s="140">
        <f t="shared" ref="O36" si="6">SUM(I36:N36)</f>
        <v>1.1990408665951691E-13</v>
      </c>
      <c r="P36" s="47" t="str">
        <f>IF(OR(WEEKDAY(A36)=1,WEEKDAY(A36)=7,NOT(ISERROR(MATCH(A36,[1]Праздники!A:A,0)))),"Выходной","Рабочий")</f>
        <v>Рабочий</v>
      </c>
    </row>
    <row r="37" spans="1:17" ht="15.75" thickBot="1">
      <c r="C37" s="141">
        <f>SUM(C6:C36)</f>
        <v>0</v>
      </c>
      <c r="D37" s="141">
        <f t="shared" ref="D37:O37" si="7">SUM(D6:D36)</f>
        <v>419.02500000000009</v>
      </c>
      <c r="E37" s="141">
        <f t="shared" si="7"/>
        <v>0</v>
      </c>
      <c r="F37" s="141">
        <f t="shared" si="7"/>
        <v>0</v>
      </c>
      <c r="G37" s="141">
        <f t="shared" si="7"/>
        <v>7000.6299999999965</v>
      </c>
      <c r="H37" s="154">
        <f t="shared" si="7"/>
        <v>0</v>
      </c>
      <c r="I37" s="142">
        <f t="shared" si="7"/>
        <v>0</v>
      </c>
      <c r="J37" s="142">
        <f t="shared" si="7"/>
        <v>66478.5</v>
      </c>
      <c r="K37" s="142">
        <f t="shared" si="7"/>
        <v>0</v>
      </c>
      <c r="L37" s="142">
        <f t="shared" si="7"/>
        <v>0</v>
      </c>
      <c r="M37" s="142">
        <f t="shared" si="7"/>
        <v>105009.45</v>
      </c>
      <c r="N37" s="142">
        <f t="shared" si="7"/>
        <v>0</v>
      </c>
      <c r="O37" s="143">
        <f t="shared" si="7"/>
        <v>171487.95000000004</v>
      </c>
    </row>
    <row r="38" spans="1:17" ht="15.75" thickBot="1">
      <c r="G38" s="135"/>
      <c r="L38" s="68"/>
      <c r="M38" s="135"/>
      <c r="N38" s="154" t="s">
        <v>118</v>
      </c>
      <c r="O38" s="144">
        <f>O37*1.22</f>
        <v>209215.29900000006</v>
      </c>
      <c r="Q38" s="145"/>
    </row>
    <row r="39" spans="1:17">
      <c r="G39" s="135"/>
      <c r="M39" s="135"/>
    </row>
    <row r="40" spans="1:17">
      <c r="G40" s="135"/>
      <c r="M40" s="135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E4:E5"/>
    <mergeCell ref="F4:F5"/>
    <mergeCell ref="H4:H5"/>
  </mergeCells>
  <pageMargins left="0.7" right="0.7" top="0.75" bottom="0.75" header="0.3" footer="0.3"/>
  <pageSetup paperSize="9" scale="6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1461-D86E-4906-A1BE-24813F945BD0}">
  <sheetPr codeName="Лист15">
    <pageSetUpPr fitToPage="1"/>
  </sheetPr>
  <dimension ref="A3:G22"/>
  <sheetViews>
    <sheetView topLeftCell="A3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7">
      <c r="A5" s="73" t="s">
        <v>132</v>
      </c>
      <c r="B5" s="73"/>
      <c r="C5" s="73"/>
    </row>
    <row r="6" spans="1:7">
      <c r="A6" s="47" t="s">
        <v>120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133</v>
      </c>
      <c r="G9" s="123" t="s">
        <v>134</v>
      </c>
    </row>
    <row r="10" spans="1:7">
      <c r="A10" s="124">
        <v>1</v>
      </c>
      <c r="B10" s="123" t="s">
        <v>135</v>
      </c>
      <c r="C10" s="124" t="s">
        <v>136</v>
      </c>
      <c r="D10" s="58">
        <v>37</v>
      </c>
      <c r="E10" s="130">
        <v>2000</v>
      </c>
      <c r="F10" s="130">
        <f>SUM(D10*E10)</f>
        <v>74000</v>
      </c>
      <c r="G10" s="130">
        <f>F10*1.22</f>
        <v>90280</v>
      </c>
    </row>
    <row r="11" spans="1:7">
      <c r="A11" s="124">
        <v>2</v>
      </c>
      <c r="B11" s="123" t="s">
        <v>137</v>
      </c>
      <c r="C11" s="124" t="s">
        <v>136</v>
      </c>
      <c r="D11" s="58"/>
      <c r="E11" s="130"/>
      <c r="F11" s="130">
        <f>SUM(D11*E11)</f>
        <v>0</v>
      </c>
      <c r="G11" s="130">
        <f>F11*1.2</f>
        <v>0</v>
      </c>
    </row>
    <row r="12" spans="1:7">
      <c r="A12" s="156"/>
      <c r="C12" s="156"/>
      <c r="D12" s="157"/>
      <c r="E12" s="121"/>
      <c r="F12" s="130">
        <f>SUM(F10:F11)</f>
        <v>74000</v>
      </c>
      <c r="G12" s="130">
        <f>SUM(G10:G11)</f>
        <v>90280</v>
      </c>
    </row>
    <row r="13" spans="1:7">
      <c r="A13" s="73" t="s">
        <v>138</v>
      </c>
      <c r="B13" s="73" t="s">
        <v>139</v>
      </c>
      <c r="C13" s="73"/>
      <c r="D13" s="73"/>
    </row>
    <row r="14" spans="1:7">
      <c r="A14" s="73" t="s">
        <v>140</v>
      </c>
      <c r="B14" s="73" t="str">
        <f>B13</f>
        <v>семьдесят четыре тысячи рублей ноль копеек</v>
      </c>
      <c r="C14" s="73"/>
      <c r="D14" s="73"/>
    </row>
    <row r="15" spans="1:7">
      <c r="A15" s="73" t="s">
        <v>85</v>
      </c>
      <c r="B15" s="73" t="s">
        <v>141</v>
      </c>
      <c r="F15" s="158"/>
      <c r="G15" s="158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142</v>
      </c>
    </row>
    <row r="22" spans="1:4">
      <c r="A22" s="47" t="s">
        <v>131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F29F-1E1A-4BA3-9531-1170F9C0CEEC}">
  <sheetPr codeName="Лист16">
    <pageSetUpPr fitToPage="1"/>
  </sheetPr>
  <dimension ref="A3:G22"/>
  <sheetViews>
    <sheetView workbookViewId="0">
      <selection activeCell="M11" sqref="M11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 г. Зеленодольск"</f>
        <v>Акт  №    от  31 Март 2026 г. Зеленодольск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7">
      <c r="A5" s="73" t="s">
        <v>132</v>
      </c>
      <c r="B5" s="73"/>
      <c r="C5" s="73"/>
    </row>
    <row r="6" spans="1:7">
      <c r="A6" s="47" t="s">
        <v>120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133</v>
      </c>
      <c r="G9" s="123" t="s">
        <v>134</v>
      </c>
    </row>
    <row r="10" spans="1:7">
      <c r="A10" s="124">
        <v>1</v>
      </c>
      <c r="B10" s="123" t="s">
        <v>135</v>
      </c>
      <c r="C10" s="124" t="s">
        <v>136</v>
      </c>
      <c r="D10" s="58">
        <v>16</v>
      </c>
      <c r="E10" s="130">
        <v>2000</v>
      </c>
      <c r="F10" s="130">
        <f>SUM(D10*E10)</f>
        <v>32000</v>
      </c>
      <c r="G10" s="130">
        <f>F10*1.22</f>
        <v>39040</v>
      </c>
    </row>
    <row r="11" spans="1:7">
      <c r="A11" s="124">
        <v>2</v>
      </c>
      <c r="B11" s="123" t="s">
        <v>137</v>
      </c>
      <c r="C11" s="124" t="s">
        <v>136</v>
      </c>
      <c r="D11" s="58"/>
      <c r="E11" s="130"/>
      <c r="F11" s="130">
        <f>SUM(D11*E11)</f>
        <v>0</v>
      </c>
      <c r="G11" s="130">
        <f>F11*1.2</f>
        <v>0</v>
      </c>
    </row>
    <row r="12" spans="1:7">
      <c r="A12" s="156"/>
      <c r="C12" s="156"/>
      <c r="D12" s="157"/>
      <c r="E12" s="121"/>
      <c r="F12" s="130">
        <f>SUM(F10:F11)</f>
        <v>32000</v>
      </c>
      <c r="G12" s="130">
        <f>SUM(G10:G11)</f>
        <v>39040</v>
      </c>
    </row>
    <row r="13" spans="1:7">
      <c r="A13" s="73" t="s">
        <v>138</v>
      </c>
      <c r="B13" s="73" t="s">
        <v>143</v>
      </c>
      <c r="C13" s="73"/>
      <c r="D13" s="73"/>
    </row>
    <row r="14" spans="1:7">
      <c r="A14" s="73" t="s">
        <v>140</v>
      </c>
      <c r="B14" s="73" t="str">
        <f>B13</f>
        <v>тридцать две тысячи рублей ноль копеек</v>
      </c>
      <c r="C14" s="73"/>
      <c r="D14" s="73"/>
    </row>
    <row r="15" spans="1:7">
      <c r="A15" s="73" t="s">
        <v>85</v>
      </c>
      <c r="B15" s="73" t="s">
        <v>144</v>
      </c>
      <c r="F15" s="158"/>
      <c r="G15" s="158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142</v>
      </c>
    </row>
    <row r="22" spans="1:4">
      <c r="A22" s="47" t="s">
        <v>131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A5F7-DC1B-4F38-8E48-E1D6833D0AC8}">
  <sheetPr codeName="Лист17"/>
  <dimension ref="A1:R36"/>
  <sheetViews>
    <sheetView topLeftCell="A10" zoomScaleNormal="100" workbookViewId="0">
      <selection activeCell="E30" sqref="E30"/>
    </sheetView>
  </sheetViews>
  <sheetFormatPr defaultRowHeight="15"/>
  <cols>
    <col min="1" max="1" width="12.28515625" style="47" customWidth="1"/>
    <col min="2" max="17" width="9.140625" style="47"/>
    <col min="18" max="18" width="10.42578125" style="47" customWidth="1"/>
    <col min="19" max="16384" width="9.140625" style="47"/>
  </cols>
  <sheetData>
    <row r="1" spans="1:18">
      <c r="A1" s="159">
        <f>R36</f>
        <v>20803</v>
      </c>
    </row>
    <row r="2" spans="1:18">
      <c r="B2" s="73" t="s">
        <v>145</v>
      </c>
    </row>
    <row r="3" spans="1:18" ht="28.9" customHeight="1">
      <c r="A3" s="49" t="s">
        <v>0</v>
      </c>
      <c r="B3" s="50" t="s">
        <v>1</v>
      </c>
      <c r="C3" s="51"/>
      <c r="D3" s="49" t="s">
        <v>146</v>
      </c>
      <c r="E3" s="49" t="s">
        <v>147</v>
      </c>
      <c r="F3" s="49" t="s">
        <v>148</v>
      </c>
      <c r="G3" s="49" t="s">
        <v>149</v>
      </c>
      <c r="H3" s="52" t="s">
        <v>4</v>
      </c>
      <c r="I3" s="49" t="s">
        <v>150</v>
      </c>
      <c r="J3" s="49" t="s">
        <v>151</v>
      </c>
      <c r="K3" s="49" t="s">
        <v>11</v>
      </c>
      <c r="L3" s="49" t="s">
        <v>12</v>
      </c>
      <c r="M3" s="49" t="s">
        <v>152</v>
      </c>
      <c r="N3" s="49" t="s">
        <v>153</v>
      </c>
      <c r="O3" s="49" t="s">
        <v>13</v>
      </c>
      <c r="P3" s="49" t="s">
        <v>154</v>
      </c>
      <c r="Q3" s="49" t="s">
        <v>155</v>
      </c>
      <c r="R3" s="49" t="s">
        <v>18</v>
      </c>
    </row>
    <row r="4" spans="1:18" ht="30">
      <c r="A4" s="53"/>
      <c r="B4" s="54"/>
      <c r="C4" s="55"/>
      <c r="D4" s="53"/>
      <c r="E4" s="53"/>
      <c r="F4" s="53"/>
      <c r="G4" s="53"/>
      <c r="H4" s="56" t="s">
        <v>156</v>
      </c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>
      <c r="A5" s="58">
        <v>1</v>
      </c>
      <c r="B5" s="146">
        <v>46082</v>
      </c>
      <c r="C5" s="147"/>
      <c r="D5" s="166"/>
      <c r="E5" s="124"/>
      <c r="F5" s="124"/>
      <c r="G5" s="124"/>
      <c r="H5" s="123">
        <v>35</v>
      </c>
      <c r="I5" s="123"/>
      <c r="J5" s="123"/>
      <c r="K5" s="123">
        <f>SUM(D5*171)</f>
        <v>0</v>
      </c>
      <c r="L5" s="123">
        <f>SUM(E5*171)</f>
        <v>0</v>
      </c>
      <c r="M5" s="123">
        <f>F5*1018</f>
        <v>0</v>
      </c>
      <c r="N5" s="123">
        <f>G5*1018</f>
        <v>0</v>
      </c>
      <c r="O5" s="123">
        <f>SUM(H5*22)</f>
        <v>770</v>
      </c>
      <c r="P5" s="123">
        <f>I5*509</f>
        <v>0</v>
      </c>
      <c r="Q5" s="123">
        <f>SUM(J5)*610</f>
        <v>0</v>
      </c>
      <c r="R5" s="123">
        <f>SUM(K5:Q5)</f>
        <v>770</v>
      </c>
    </row>
    <row r="6" spans="1:18">
      <c r="A6" s="58">
        <v>2</v>
      </c>
      <c r="B6" s="146">
        <v>46083</v>
      </c>
      <c r="C6" s="147"/>
      <c r="D6" s="166"/>
      <c r="E6" s="124"/>
      <c r="F6" s="124"/>
      <c r="G6" s="124"/>
      <c r="H6" s="123">
        <f>H5+D6-E5</f>
        <v>35</v>
      </c>
      <c r="I6" s="123"/>
      <c r="J6" s="123"/>
      <c r="K6" s="123">
        <f t="shared" ref="K6:K35" si="0">SUM(D6*171)</f>
        <v>0</v>
      </c>
      <c r="L6" s="123">
        <f t="shared" ref="L6:L35" si="1">SUM(E6*171)</f>
        <v>0</v>
      </c>
      <c r="M6" s="123">
        <f t="shared" ref="M6:N35" si="2">F6*1018</f>
        <v>0</v>
      </c>
      <c r="N6" s="123">
        <f t="shared" si="2"/>
        <v>0</v>
      </c>
      <c r="O6" s="123">
        <f t="shared" ref="O6:O35" si="3">SUM(H6*22)</f>
        <v>770</v>
      </c>
      <c r="P6" s="123">
        <f t="shared" ref="P6:P35" si="4">I6*509</f>
        <v>0</v>
      </c>
      <c r="Q6" s="123">
        <f t="shared" ref="Q6:Q35" si="5">SUM(J6)*610</f>
        <v>0</v>
      </c>
      <c r="R6" s="123">
        <f t="shared" ref="R6:R34" si="6">SUM(K6:Q6)</f>
        <v>770</v>
      </c>
    </row>
    <row r="7" spans="1:18">
      <c r="A7" s="58">
        <v>3</v>
      </c>
      <c r="B7" s="146">
        <v>46084</v>
      </c>
      <c r="C7" s="147"/>
      <c r="D7" s="166"/>
      <c r="E7" s="124"/>
      <c r="F7" s="124"/>
      <c r="G7" s="124"/>
      <c r="H7" s="123">
        <f t="shared" ref="H7:H35" si="7">H6+D7-E6</f>
        <v>35</v>
      </c>
      <c r="I7" s="123"/>
      <c r="J7" s="123"/>
      <c r="K7" s="123">
        <f t="shared" si="0"/>
        <v>0</v>
      </c>
      <c r="L7" s="123">
        <f t="shared" si="1"/>
        <v>0</v>
      </c>
      <c r="M7" s="123">
        <f t="shared" si="2"/>
        <v>0</v>
      </c>
      <c r="N7" s="123">
        <f t="shared" si="2"/>
        <v>0</v>
      </c>
      <c r="O7" s="123">
        <f t="shared" si="3"/>
        <v>770</v>
      </c>
      <c r="P7" s="123">
        <f t="shared" si="4"/>
        <v>0</v>
      </c>
      <c r="Q7" s="123">
        <f t="shared" si="5"/>
        <v>0</v>
      </c>
      <c r="R7" s="123">
        <f t="shared" si="6"/>
        <v>770</v>
      </c>
    </row>
    <row r="8" spans="1:18">
      <c r="A8" s="58">
        <v>4</v>
      </c>
      <c r="B8" s="146">
        <v>46085</v>
      </c>
      <c r="C8" s="147"/>
      <c r="D8" s="166"/>
      <c r="E8" s="124"/>
      <c r="F8" s="124"/>
      <c r="G8" s="124"/>
      <c r="H8" s="123">
        <f t="shared" si="7"/>
        <v>35</v>
      </c>
      <c r="I8" s="123"/>
      <c r="J8" s="123"/>
      <c r="K8" s="123">
        <f t="shared" si="0"/>
        <v>0</v>
      </c>
      <c r="L8" s="123">
        <f t="shared" si="1"/>
        <v>0</v>
      </c>
      <c r="M8" s="123">
        <f t="shared" si="2"/>
        <v>0</v>
      </c>
      <c r="N8" s="123">
        <f t="shared" si="2"/>
        <v>0</v>
      </c>
      <c r="O8" s="123">
        <f t="shared" si="3"/>
        <v>770</v>
      </c>
      <c r="P8" s="123">
        <f t="shared" si="4"/>
        <v>0</v>
      </c>
      <c r="Q8" s="123">
        <f t="shared" si="5"/>
        <v>0</v>
      </c>
      <c r="R8" s="123">
        <f t="shared" si="6"/>
        <v>770</v>
      </c>
    </row>
    <row r="9" spans="1:18">
      <c r="A9" s="160">
        <v>5</v>
      </c>
      <c r="B9" s="146">
        <v>46086</v>
      </c>
      <c r="C9" s="147"/>
      <c r="D9" s="167"/>
      <c r="E9" s="161"/>
      <c r="F9" s="161"/>
      <c r="G9" s="161"/>
      <c r="H9" s="123">
        <f t="shared" si="7"/>
        <v>35</v>
      </c>
      <c r="I9" s="123"/>
      <c r="J9" s="152"/>
      <c r="K9" s="123">
        <f t="shared" si="0"/>
        <v>0</v>
      </c>
      <c r="L9" s="123">
        <f t="shared" si="1"/>
        <v>0</v>
      </c>
      <c r="M9" s="123">
        <f t="shared" si="2"/>
        <v>0</v>
      </c>
      <c r="N9" s="123">
        <f t="shared" si="2"/>
        <v>0</v>
      </c>
      <c r="O9" s="123">
        <f t="shared" si="3"/>
        <v>770</v>
      </c>
      <c r="P9" s="123">
        <f t="shared" si="4"/>
        <v>0</v>
      </c>
      <c r="Q9" s="123">
        <f t="shared" si="5"/>
        <v>0</v>
      </c>
      <c r="R9" s="152">
        <f t="shared" si="6"/>
        <v>770</v>
      </c>
    </row>
    <row r="10" spans="1:18">
      <c r="A10" s="160">
        <v>6</v>
      </c>
      <c r="B10" s="146">
        <v>46087</v>
      </c>
      <c r="C10" s="147"/>
      <c r="D10" s="167"/>
      <c r="E10" s="161"/>
      <c r="F10" s="161"/>
      <c r="G10" s="161"/>
      <c r="H10" s="123">
        <f t="shared" si="7"/>
        <v>35</v>
      </c>
      <c r="I10" s="123"/>
      <c r="J10" s="152"/>
      <c r="K10" s="123">
        <f t="shared" si="0"/>
        <v>0</v>
      </c>
      <c r="L10" s="123">
        <f t="shared" si="1"/>
        <v>0</v>
      </c>
      <c r="M10" s="123">
        <f t="shared" si="2"/>
        <v>0</v>
      </c>
      <c r="N10" s="123">
        <f t="shared" si="2"/>
        <v>0</v>
      </c>
      <c r="O10" s="123">
        <f t="shared" si="3"/>
        <v>770</v>
      </c>
      <c r="P10" s="123">
        <f t="shared" si="4"/>
        <v>0</v>
      </c>
      <c r="Q10" s="123">
        <f t="shared" si="5"/>
        <v>0</v>
      </c>
      <c r="R10" s="152">
        <f t="shared" si="6"/>
        <v>770</v>
      </c>
    </row>
    <row r="11" spans="1:18">
      <c r="A11" s="160">
        <v>7</v>
      </c>
      <c r="B11" s="146">
        <v>46088</v>
      </c>
      <c r="C11" s="147"/>
      <c r="D11" s="167"/>
      <c r="E11" s="161"/>
      <c r="F11" s="161"/>
      <c r="G11" s="161"/>
      <c r="H11" s="123">
        <f t="shared" si="7"/>
        <v>35</v>
      </c>
      <c r="I11" s="123"/>
      <c r="J11" s="152"/>
      <c r="K11" s="123">
        <f t="shared" si="0"/>
        <v>0</v>
      </c>
      <c r="L11" s="123">
        <f t="shared" si="1"/>
        <v>0</v>
      </c>
      <c r="M11" s="123">
        <f t="shared" si="2"/>
        <v>0</v>
      </c>
      <c r="N11" s="123">
        <f t="shared" si="2"/>
        <v>0</v>
      </c>
      <c r="O11" s="123">
        <f t="shared" si="3"/>
        <v>770</v>
      </c>
      <c r="P11" s="123">
        <f t="shared" si="4"/>
        <v>0</v>
      </c>
      <c r="Q11" s="123">
        <f t="shared" si="5"/>
        <v>0</v>
      </c>
      <c r="R11" s="152">
        <f t="shared" si="6"/>
        <v>770</v>
      </c>
    </row>
    <row r="12" spans="1:18">
      <c r="A12" s="160">
        <v>8</v>
      </c>
      <c r="B12" s="146">
        <v>46089</v>
      </c>
      <c r="C12" s="147"/>
      <c r="D12" s="167"/>
      <c r="E12" s="161"/>
      <c r="F12" s="161"/>
      <c r="G12" s="161"/>
      <c r="H12" s="123">
        <f t="shared" si="7"/>
        <v>35</v>
      </c>
      <c r="I12" s="123"/>
      <c r="J12" s="152"/>
      <c r="K12" s="123">
        <f t="shared" si="0"/>
        <v>0</v>
      </c>
      <c r="L12" s="123">
        <f t="shared" si="1"/>
        <v>0</v>
      </c>
      <c r="M12" s="123">
        <f t="shared" si="2"/>
        <v>0</v>
      </c>
      <c r="N12" s="123">
        <f t="shared" si="2"/>
        <v>0</v>
      </c>
      <c r="O12" s="123">
        <f t="shared" si="3"/>
        <v>770</v>
      </c>
      <c r="P12" s="123">
        <f t="shared" si="4"/>
        <v>0</v>
      </c>
      <c r="Q12" s="123">
        <f t="shared" si="5"/>
        <v>0</v>
      </c>
      <c r="R12" s="152">
        <f t="shared" si="6"/>
        <v>770</v>
      </c>
    </row>
    <row r="13" spans="1:18">
      <c r="A13" s="58">
        <v>9</v>
      </c>
      <c r="B13" s="146">
        <v>46090</v>
      </c>
      <c r="C13" s="147"/>
      <c r="D13" s="166"/>
      <c r="E13" s="124"/>
      <c r="F13" s="124"/>
      <c r="G13" s="124"/>
      <c r="H13" s="123">
        <f t="shared" si="7"/>
        <v>35</v>
      </c>
      <c r="I13" s="123"/>
      <c r="J13" s="123"/>
      <c r="K13" s="123">
        <f t="shared" si="0"/>
        <v>0</v>
      </c>
      <c r="L13" s="123">
        <f t="shared" si="1"/>
        <v>0</v>
      </c>
      <c r="M13" s="123">
        <f t="shared" si="2"/>
        <v>0</v>
      </c>
      <c r="N13" s="123">
        <f t="shared" si="2"/>
        <v>0</v>
      </c>
      <c r="O13" s="123">
        <f t="shared" si="3"/>
        <v>770</v>
      </c>
      <c r="P13" s="123">
        <f t="shared" si="4"/>
        <v>0</v>
      </c>
      <c r="Q13" s="123">
        <f t="shared" si="5"/>
        <v>0</v>
      </c>
      <c r="R13" s="123">
        <f t="shared" si="6"/>
        <v>770</v>
      </c>
    </row>
    <row r="14" spans="1:18">
      <c r="A14" s="58">
        <v>10</v>
      </c>
      <c r="B14" s="146">
        <v>46091</v>
      </c>
      <c r="C14" s="147"/>
      <c r="D14" s="166"/>
      <c r="E14" s="124"/>
      <c r="F14" s="124"/>
      <c r="G14" s="124"/>
      <c r="H14" s="123">
        <f t="shared" si="7"/>
        <v>35</v>
      </c>
      <c r="I14" s="123"/>
      <c r="J14" s="123"/>
      <c r="K14" s="123">
        <f t="shared" si="0"/>
        <v>0</v>
      </c>
      <c r="L14" s="123">
        <f t="shared" si="1"/>
        <v>0</v>
      </c>
      <c r="M14" s="123">
        <f t="shared" si="2"/>
        <v>0</v>
      </c>
      <c r="N14" s="123">
        <f t="shared" si="2"/>
        <v>0</v>
      </c>
      <c r="O14" s="123">
        <f t="shared" si="3"/>
        <v>770</v>
      </c>
      <c r="P14" s="123">
        <f t="shared" si="4"/>
        <v>0</v>
      </c>
      <c r="Q14" s="123">
        <f t="shared" si="5"/>
        <v>0</v>
      </c>
      <c r="R14" s="123">
        <f t="shared" si="6"/>
        <v>770</v>
      </c>
    </row>
    <row r="15" spans="1:18">
      <c r="A15" s="160">
        <v>11</v>
      </c>
      <c r="B15" s="146">
        <v>46092</v>
      </c>
      <c r="C15" s="147"/>
      <c r="D15" s="167"/>
      <c r="E15" s="161"/>
      <c r="F15" s="161"/>
      <c r="G15" s="124"/>
      <c r="H15" s="123">
        <f t="shared" si="7"/>
        <v>35</v>
      </c>
      <c r="I15" s="123"/>
      <c r="J15" s="152"/>
      <c r="K15" s="123">
        <f t="shared" si="0"/>
        <v>0</v>
      </c>
      <c r="L15" s="123">
        <f t="shared" si="1"/>
        <v>0</v>
      </c>
      <c r="M15" s="123">
        <f t="shared" si="2"/>
        <v>0</v>
      </c>
      <c r="N15" s="123">
        <f t="shared" si="2"/>
        <v>0</v>
      </c>
      <c r="O15" s="123">
        <f t="shared" si="3"/>
        <v>770</v>
      </c>
      <c r="P15" s="123">
        <f t="shared" si="4"/>
        <v>0</v>
      </c>
      <c r="Q15" s="123">
        <f t="shared" si="5"/>
        <v>0</v>
      </c>
      <c r="R15" s="152">
        <f t="shared" si="6"/>
        <v>770</v>
      </c>
    </row>
    <row r="16" spans="1:18">
      <c r="A16" s="160">
        <v>12</v>
      </c>
      <c r="B16" s="146">
        <v>46093</v>
      </c>
      <c r="C16" s="147"/>
      <c r="D16" s="167"/>
      <c r="E16" s="161">
        <v>10</v>
      </c>
      <c r="F16" s="161"/>
      <c r="G16" s="124"/>
      <c r="H16" s="123">
        <f t="shared" si="7"/>
        <v>35</v>
      </c>
      <c r="I16" s="123"/>
      <c r="J16" s="152"/>
      <c r="K16" s="123">
        <f t="shared" si="0"/>
        <v>0</v>
      </c>
      <c r="L16" s="123">
        <f t="shared" si="1"/>
        <v>1710</v>
      </c>
      <c r="M16" s="123">
        <f t="shared" si="2"/>
        <v>0</v>
      </c>
      <c r="N16" s="123">
        <f t="shared" si="2"/>
        <v>0</v>
      </c>
      <c r="O16" s="123">
        <f t="shared" si="3"/>
        <v>770</v>
      </c>
      <c r="P16" s="123">
        <f t="shared" si="4"/>
        <v>0</v>
      </c>
      <c r="Q16" s="123">
        <f t="shared" si="5"/>
        <v>0</v>
      </c>
      <c r="R16" s="152">
        <f t="shared" si="6"/>
        <v>2480</v>
      </c>
    </row>
    <row r="17" spans="1:18">
      <c r="A17" s="160">
        <v>13</v>
      </c>
      <c r="B17" s="146">
        <v>46094</v>
      </c>
      <c r="C17" s="147"/>
      <c r="D17" s="167"/>
      <c r="E17" s="161"/>
      <c r="F17" s="161"/>
      <c r="G17" s="124"/>
      <c r="H17" s="123">
        <f t="shared" si="7"/>
        <v>25</v>
      </c>
      <c r="I17" s="123"/>
      <c r="J17" s="152"/>
      <c r="K17" s="123">
        <f t="shared" si="0"/>
        <v>0</v>
      </c>
      <c r="L17" s="123">
        <f t="shared" si="1"/>
        <v>0</v>
      </c>
      <c r="M17" s="123">
        <f t="shared" si="2"/>
        <v>0</v>
      </c>
      <c r="N17" s="123">
        <f t="shared" si="2"/>
        <v>0</v>
      </c>
      <c r="O17" s="123">
        <f t="shared" si="3"/>
        <v>550</v>
      </c>
      <c r="P17" s="123">
        <f t="shared" si="4"/>
        <v>0</v>
      </c>
      <c r="Q17" s="123">
        <f t="shared" si="5"/>
        <v>0</v>
      </c>
      <c r="R17" s="152">
        <f t="shared" si="6"/>
        <v>550</v>
      </c>
    </row>
    <row r="18" spans="1:18">
      <c r="A18" s="160">
        <v>14</v>
      </c>
      <c r="B18" s="146">
        <v>46095</v>
      </c>
      <c r="C18" s="147"/>
      <c r="D18" s="167"/>
      <c r="E18" s="161"/>
      <c r="F18" s="161"/>
      <c r="G18" s="124"/>
      <c r="H18" s="123">
        <f t="shared" si="7"/>
        <v>25</v>
      </c>
      <c r="I18" s="123"/>
      <c r="J18" s="152"/>
      <c r="K18" s="123">
        <f t="shared" si="0"/>
        <v>0</v>
      </c>
      <c r="L18" s="123">
        <f t="shared" si="1"/>
        <v>0</v>
      </c>
      <c r="M18" s="123">
        <f t="shared" si="2"/>
        <v>0</v>
      </c>
      <c r="N18" s="123">
        <f t="shared" si="2"/>
        <v>0</v>
      </c>
      <c r="O18" s="123">
        <f t="shared" si="3"/>
        <v>550</v>
      </c>
      <c r="P18" s="123">
        <f t="shared" si="4"/>
        <v>0</v>
      </c>
      <c r="Q18" s="123">
        <f t="shared" si="5"/>
        <v>0</v>
      </c>
      <c r="R18" s="152">
        <f t="shared" si="6"/>
        <v>550</v>
      </c>
    </row>
    <row r="19" spans="1:18">
      <c r="A19" s="160">
        <v>15</v>
      </c>
      <c r="B19" s="146">
        <v>46096</v>
      </c>
      <c r="C19" s="147"/>
      <c r="D19" s="167"/>
      <c r="E19" s="161"/>
      <c r="F19" s="161"/>
      <c r="G19" s="124"/>
      <c r="H19" s="123">
        <f t="shared" si="7"/>
        <v>25</v>
      </c>
      <c r="I19" s="123"/>
      <c r="J19" s="152"/>
      <c r="K19" s="123">
        <f t="shared" si="0"/>
        <v>0</v>
      </c>
      <c r="L19" s="123">
        <f t="shared" si="1"/>
        <v>0</v>
      </c>
      <c r="M19" s="123">
        <f t="shared" si="2"/>
        <v>0</v>
      </c>
      <c r="N19" s="123">
        <f t="shared" si="2"/>
        <v>0</v>
      </c>
      <c r="O19" s="123">
        <f t="shared" si="3"/>
        <v>550</v>
      </c>
      <c r="P19" s="123">
        <f t="shared" si="4"/>
        <v>0</v>
      </c>
      <c r="Q19" s="123">
        <f t="shared" si="5"/>
        <v>0</v>
      </c>
      <c r="R19" s="152">
        <f t="shared" si="6"/>
        <v>550</v>
      </c>
    </row>
    <row r="20" spans="1:18">
      <c r="A20" s="58">
        <v>16</v>
      </c>
      <c r="B20" s="146">
        <v>46097</v>
      </c>
      <c r="C20" s="147"/>
      <c r="D20" s="166"/>
      <c r="E20" s="124">
        <v>4</v>
      </c>
      <c r="F20" s="124"/>
      <c r="G20" s="161"/>
      <c r="H20" s="123">
        <f t="shared" si="7"/>
        <v>25</v>
      </c>
      <c r="I20" s="123"/>
      <c r="J20" s="123"/>
      <c r="K20" s="123">
        <f t="shared" si="0"/>
        <v>0</v>
      </c>
      <c r="L20" s="123">
        <f t="shared" si="1"/>
        <v>684</v>
      </c>
      <c r="M20" s="123">
        <f t="shared" si="2"/>
        <v>0</v>
      </c>
      <c r="N20" s="123">
        <f t="shared" si="2"/>
        <v>0</v>
      </c>
      <c r="O20" s="123">
        <f t="shared" si="3"/>
        <v>550</v>
      </c>
      <c r="P20" s="123">
        <f t="shared" si="4"/>
        <v>0</v>
      </c>
      <c r="Q20" s="123">
        <f t="shared" si="5"/>
        <v>0</v>
      </c>
      <c r="R20" s="123">
        <f t="shared" si="6"/>
        <v>1234</v>
      </c>
    </row>
    <row r="21" spans="1:18">
      <c r="A21" s="58">
        <v>17</v>
      </c>
      <c r="B21" s="146">
        <v>46098</v>
      </c>
      <c r="C21" s="147"/>
      <c r="D21" s="166"/>
      <c r="E21" s="124"/>
      <c r="F21" s="124"/>
      <c r="G21" s="161"/>
      <c r="H21" s="123">
        <f t="shared" si="7"/>
        <v>21</v>
      </c>
      <c r="I21" s="123"/>
      <c r="J21" s="123"/>
      <c r="K21" s="123">
        <f t="shared" si="0"/>
        <v>0</v>
      </c>
      <c r="L21" s="123">
        <f t="shared" si="1"/>
        <v>0</v>
      </c>
      <c r="M21" s="123">
        <f t="shared" si="2"/>
        <v>0</v>
      </c>
      <c r="N21" s="123">
        <f t="shared" si="2"/>
        <v>0</v>
      </c>
      <c r="O21" s="123">
        <f t="shared" si="3"/>
        <v>462</v>
      </c>
      <c r="P21" s="123">
        <f t="shared" si="4"/>
        <v>0</v>
      </c>
      <c r="Q21" s="123">
        <f t="shared" si="5"/>
        <v>0</v>
      </c>
      <c r="R21" s="123">
        <f t="shared" si="6"/>
        <v>462</v>
      </c>
    </row>
    <row r="22" spans="1:18">
      <c r="A22" s="160">
        <v>18</v>
      </c>
      <c r="B22" s="146">
        <v>46099</v>
      </c>
      <c r="C22" s="147"/>
      <c r="D22" s="167"/>
      <c r="E22" s="161"/>
      <c r="F22" s="161"/>
      <c r="G22" s="161"/>
      <c r="H22" s="123">
        <f t="shared" si="7"/>
        <v>21</v>
      </c>
      <c r="I22" s="152"/>
      <c r="J22" s="152"/>
      <c r="K22" s="123">
        <f t="shared" si="0"/>
        <v>0</v>
      </c>
      <c r="L22" s="123">
        <f t="shared" si="1"/>
        <v>0</v>
      </c>
      <c r="M22" s="123">
        <f t="shared" si="2"/>
        <v>0</v>
      </c>
      <c r="N22" s="123">
        <f t="shared" si="2"/>
        <v>0</v>
      </c>
      <c r="O22" s="123">
        <f t="shared" si="3"/>
        <v>462</v>
      </c>
      <c r="P22" s="123">
        <f t="shared" si="4"/>
        <v>0</v>
      </c>
      <c r="Q22" s="123">
        <f t="shared" si="5"/>
        <v>0</v>
      </c>
      <c r="R22" s="152">
        <f t="shared" si="6"/>
        <v>462</v>
      </c>
    </row>
    <row r="23" spans="1:18">
      <c r="A23" s="160">
        <v>19</v>
      </c>
      <c r="B23" s="146">
        <v>46100</v>
      </c>
      <c r="C23" s="147"/>
      <c r="D23" s="167"/>
      <c r="E23" s="161"/>
      <c r="F23" s="161"/>
      <c r="G23" s="161"/>
      <c r="H23" s="123">
        <f t="shared" si="7"/>
        <v>21</v>
      </c>
      <c r="I23" s="152"/>
      <c r="J23" s="152"/>
      <c r="K23" s="123">
        <f t="shared" si="0"/>
        <v>0</v>
      </c>
      <c r="L23" s="123">
        <f t="shared" si="1"/>
        <v>0</v>
      </c>
      <c r="M23" s="123">
        <f t="shared" si="2"/>
        <v>0</v>
      </c>
      <c r="N23" s="123">
        <f t="shared" si="2"/>
        <v>0</v>
      </c>
      <c r="O23" s="123">
        <f t="shared" si="3"/>
        <v>462</v>
      </c>
      <c r="P23" s="123">
        <f t="shared" si="4"/>
        <v>0</v>
      </c>
      <c r="Q23" s="123">
        <f t="shared" si="5"/>
        <v>0</v>
      </c>
      <c r="R23" s="152">
        <f t="shared" si="6"/>
        <v>462</v>
      </c>
    </row>
    <row r="24" spans="1:18">
      <c r="A24" s="160">
        <v>20</v>
      </c>
      <c r="B24" s="146">
        <v>46101</v>
      </c>
      <c r="C24" s="147"/>
      <c r="D24" s="167"/>
      <c r="E24" s="161"/>
      <c r="F24" s="161"/>
      <c r="G24" s="161"/>
      <c r="H24" s="123">
        <f t="shared" si="7"/>
        <v>21</v>
      </c>
      <c r="I24" s="152"/>
      <c r="J24" s="152"/>
      <c r="K24" s="123">
        <f t="shared" si="0"/>
        <v>0</v>
      </c>
      <c r="L24" s="123">
        <f t="shared" si="1"/>
        <v>0</v>
      </c>
      <c r="M24" s="123">
        <f t="shared" si="2"/>
        <v>0</v>
      </c>
      <c r="N24" s="123">
        <f t="shared" si="2"/>
        <v>0</v>
      </c>
      <c r="O24" s="123">
        <f t="shared" si="3"/>
        <v>462</v>
      </c>
      <c r="P24" s="123">
        <f t="shared" si="4"/>
        <v>0</v>
      </c>
      <c r="Q24" s="123">
        <f t="shared" si="5"/>
        <v>0</v>
      </c>
      <c r="R24" s="152">
        <f t="shared" si="6"/>
        <v>462</v>
      </c>
    </row>
    <row r="25" spans="1:18">
      <c r="A25" s="160">
        <v>21</v>
      </c>
      <c r="B25" s="146">
        <v>46102</v>
      </c>
      <c r="C25" s="147"/>
      <c r="D25" s="167"/>
      <c r="E25" s="161"/>
      <c r="F25" s="161"/>
      <c r="G25" s="161"/>
      <c r="H25" s="123">
        <f t="shared" si="7"/>
        <v>21</v>
      </c>
      <c r="I25" s="152"/>
      <c r="J25" s="152"/>
      <c r="K25" s="123">
        <f t="shared" si="0"/>
        <v>0</v>
      </c>
      <c r="L25" s="123">
        <f t="shared" si="1"/>
        <v>0</v>
      </c>
      <c r="M25" s="123">
        <f t="shared" si="2"/>
        <v>0</v>
      </c>
      <c r="N25" s="123">
        <f t="shared" si="2"/>
        <v>0</v>
      </c>
      <c r="O25" s="123">
        <f t="shared" si="3"/>
        <v>462</v>
      </c>
      <c r="P25" s="123">
        <f t="shared" si="4"/>
        <v>0</v>
      </c>
      <c r="Q25" s="123">
        <f t="shared" si="5"/>
        <v>0</v>
      </c>
      <c r="R25" s="152">
        <f t="shared" si="6"/>
        <v>462</v>
      </c>
    </row>
    <row r="26" spans="1:18">
      <c r="A26" s="160">
        <v>22</v>
      </c>
      <c r="B26" s="146">
        <v>46103</v>
      </c>
      <c r="C26" s="147"/>
      <c r="D26" s="167"/>
      <c r="E26" s="161"/>
      <c r="F26" s="161"/>
      <c r="G26" s="161"/>
      <c r="H26" s="123">
        <f t="shared" si="7"/>
        <v>21</v>
      </c>
      <c r="I26" s="123"/>
      <c r="J26" s="152"/>
      <c r="K26" s="123">
        <f t="shared" si="0"/>
        <v>0</v>
      </c>
      <c r="L26" s="123">
        <f t="shared" si="1"/>
        <v>0</v>
      </c>
      <c r="M26" s="123">
        <f t="shared" si="2"/>
        <v>0</v>
      </c>
      <c r="N26" s="123">
        <f t="shared" si="2"/>
        <v>0</v>
      </c>
      <c r="O26" s="123">
        <f t="shared" si="3"/>
        <v>462</v>
      </c>
      <c r="P26" s="123">
        <f t="shared" si="4"/>
        <v>0</v>
      </c>
      <c r="Q26" s="123">
        <f t="shared" si="5"/>
        <v>0</v>
      </c>
      <c r="R26" s="152">
        <f t="shared" si="6"/>
        <v>462</v>
      </c>
    </row>
    <row r="27" spans="1:18">
      <c r="A27" s="58">
        <v>23</v>
      </c>
      <c r="B27" s="146">
        <v>46104</v>
      </c>
      <c r="C27" s="147"/>
      <c r="D27" s="166"/>
      <c r="E27" s="124"/>
      <c r="F27" s="124"/>
      <c r="G27" s="124"/>
      <c r="H27" s="123">
        <f t="shared" si="7"/>
        <v>21</v>
      </c>
      <c r="I27" s="123"/>
      <c r="J27" s="123"/>
      <c r="K27" s="123">
        <f t="shared" si="0"/>
        <v>0</v>
      </c>
      <c r="L27" s="123">
        <f t="shared" si="1"/>
        <v>0</v>
      </c>
      <c r="M27" s="123">
        <f t="shared" si="2"/>
        <v>0</v>
      </c>
      <c r="N27" s="123">
        <f t="shared" si="2"/>
        <v>0</v>
      </c>
      <c r="O27" s="123">
        <f t="shared" si="3"/>
        <v>462</v>
      </c>
      <c r="P27" s="123">
        <f t="shared" si="4"/>
        <v>0</v>
      </c>
      <c r="Q27" s="123">
        <f t="shared" si="5"/>
        <v>0</v>
      </c>
      <c r="R27" s="123">
        <f t="shared" si="6"/>
        <v>462</v>
      </c>
    </row>
    <row r="28" spans="1:18">
      <c r="A28" s="58">
        <v>24</v>
      </c>
      <c r="B28" s="146">
        <v>46105</v>
      </c>
      <c r="C28" s="147"/>
      <c r="D28" s="166"/>
      <c r="E28" s="124"/>
      <c r="F28" s="124"/>
      <c r="G28" s="124"/>
      <c r="H28" s="123">
        <f t="shared" si="7"/>
        <v>21</v>
      </c>
      <c r="I28" s="123"/>
      <c r="J28" s="123"/>
      <c r="K28" s="123">
        <f t="shared" si="0"/>
        <v>0</v>
      </c>
      <c r="L28" s="123">
        <f t="shared" si="1"/>
        <v>0</v>
      </c>
      <c r="M28" s="123">
        <f t="shared" si="2"/>
        <v>0</v>
      </c>
      <c r="N28" s="123">
        <f t="shared" si="2"/>
        <v>0</v>
      </c>
      <c r="O28" s="123">
        <f t="shared" si="3"/>
        <v>462</v>
      </c>
      <c r="P28" s="123">
        <f t="shared" si="4"/>
        <v>0</v>
      </c>
      <c r="Q28" s="123">
        <f t="shared" si="5"/>
        <v>0</v>
      </c>
      <c r="R28" s="123">
        <f t="shared" si="6"/>
        <v>462</v>
      </c>
    </row>
    <row r="29" spans="1:18">
      <c r="A29" s="160">
        <v>25</v>
      </c>
      <c r="B29" s="146">
        <v>46106</v>
      </c>
      <c r="C29" s="147"/>
      <c r="D29" s="167"/>
      <c r="E29" s="161">
        <v>1</v>
      </c>
      <c r="F29" s="161"/>
      <c r="G29" s="161"/>
      <c r="H29" s="123">
        <f t="shared" si="7"/>
        <v>21</v>
      </c>
      <c r="I29" s="123"/>
      <c r="J29" s="152"/>
      <c r="K29" s="123">
        <f t="shared" si="0"/>
        <v>0</v>
      </c>
      <c r="L29" s="123">
        <f t="shared" si="1"/>
        <v>171</v>
      </c>
      <c r="M29" s="123">
        <f t="shared" si="2"/>
        <v>0</v>
      </c>
      <c r="N29" s="123">
        <f t="shared" si="2"/>
        <v>0</v>
      </c>
      <c r="O29" s="123">
        <f t="shared" si="3"/>
        <v>462</v>
      </c>
      <c r="P29" s="123">
        <f t="shared" si="4"/>
        <v>0</v>
      </c>
      <c r="Q29" s="123">
        <f t="shared" si="5"/>
        <v>0</v>
      </c>
      <c r="R29" s="152">
        <f t="shared" si="6"/>
        <v>633</v>
      </c>
    </row>
    <row r="30" spans="1:18">
      <c r="A30" s="160">
        <v>26</v>
      </c>
      <c r="B30" s="146">
        <v>46107</v>
      </c>
      <c r="C30" s="147"/>
      <c r="D30" s="167"/>
      <c r="E30" s="161"/>
      <c r="F30" s="161"/>
      <c r="G30" s="161"/>
      <c r="H30" s="123">
        <f t="shared" si="7"/>
        <v>20</v>
      </c>
      <c r="I30" s="123"/>
      <c r="J30" s="152"/>
      <c r="K30" s="123">
        <f t="shared" si="0"/>
        <v>0</v>
      </c>
      <c r="L30" s="123">
        <f t="shared" si="1"/>
        <v>0</v>
      </c>
      <c r="M30" s="123">
        <f t="shared" si="2"/>
        <v>0</v>
      </c>
      <c r="N30" s="123">
        <f t="shared" si="2"/>
        <v>0</v>
      </c>
      <c r="O30" s="123">
        <f t="shared" si="3"/>
        <v>440</v>
      </c>
      <c r="P30" s="123">
        <f t="shared" si="4"/>
        <v>0</v>
      </c>
      <c r="Q30" s="123">
        <f t="shared" si="5"/>
        <v>0</v>
      </c>
      <c r="R30" s="152">
        <f t="shared" si="6"/>
        <v>440</v>
      </c>
    </row>
    <row r="31" spans="1:18">
      <c r="A31" s="160">
        <v>27</v>
      </c>
      <c r="B31" s="146">
        <v>46108</v>
      </c>
      <c r="C31" s="147"/>
      <c r="D31" s="167"/>
      <c r="E31" s="161"/>
      <c r="F31" s="161"/>
      <c r="G31" s="161"/>
      <c r="H31" s="123">
        <f t="shared" si="7"/>
        <v>20</v>
      </c>
      <c r="I31" s="123"/>
      <c r="J31" s="152"/>
      <c r="K31" s="123">
        <f t="shared" si="0"/>
        <v>0</v>
      </c>
      <c r="L31" s="123">
        <f t="shared" si="1"/>
        <v>0</v>
      </c>
      <c r="M31" s="123">
        <f t="shared" si="2"/>
        <v>0</v>
      </c>
      <c r="N31" s="123">
        <f t="shared" si="2"/>
        <v>0</v>
      </c>
      <c r="O31" s="123">
        <f t="shared" si="3"/>
        <v>440</v>
      </c>
      <c r="P31" s="123">
        <f t="shared" si="4"/>
        <v>0</v>
      </c>
      <c r="Q31" s="123">
        <f t="shared" si="5"/>
        <v>0</v>
      </c>
      <c r="R31" s="152">
        <f t="shared" si="6"/>
        <v>440</v>
      </c>
    </row>
    <row r="32" spans="1:18">
      <c r="A32" s="160">
        <v>28</v>
      </c>
      <c r="B32" s="146">
        <v>46109</v>
      </c>
      <c r="C32" s="147"/>
      <c r="D32" s="167"/>
      <c r="E32" s="161"/>
      <c r="F32" s="161"/>
      <c r="G32" s="161"/>
      <c r="H32" s="123">
        <f t="shared" si="7"/>
        <v>20</v>
      </c>
      <c r="I32" s="123"/>
      <c r="J32" s="152"/>
      <c r="K32" s="123">
        <f t="shared" si="0"/>
        <v>0</v>
      </c>
      <c r="L32" s="123">
        <f t="shared" si="1"/>
        <v>0</v>
      </c>
      <c r="M32" s="123">
        <f t="shared" si="2"/>
        <v>0</v>
      </c>
      <c r="N32" s="123">
        <f t="shared" si="2"/>
        <v>0</v>
      </c>
      <c r="O32" s="123">
        <f t="shared" si="3"/>
        <v>440</v>
      </c>
      <c r="P32" s="123">
        <f t="shared" si="4"/>
        <v>0</v>
      </c>
      <c r="Q32" s="123">
        <f t="shared" si="5"/>
        <v>0</v>
      </c>
      <c r="R32" s="152">
        <f t="shared" si="6"/>
        <v>440</v>
      </c>
    </row>
    <row r="33" spans="1:18">
      <c r="A33" s="160">
        <v>29</v>
      </c>
      <c r="B33" s="146">
        <v>46110</v>
      </c>
      <c r="C33" s="147"/>
      <c r="D33" s="167"/>
      <c r="E33" s="161"/>
      <c r="F33" s="161"/>
      <c r="G33" s="161"/>
      <c r="H33" s="123">
        <f t="shared" si="7"/>
        <v>20</v>
      </c>
      <c r="I33" s="123"/>
      <c r="J33" s="152"/>
      <c r="K33" s="123">
        <f t="shared" si="0"/>
        <v>0</v>
      </c>
      <c r="L33" s="123">
        <f t="shared" si="1"/>
        <v>0</v>
      </c>
      <c r="M33" s="123">
        <f t="shared" si="2"/>
        <v>0</v>
      </c>
      <c r="N33" s="123">
        <f t="shared" si="2"/>
        <v>0</v>
      </c>
      <c r="O33" s="123">
        <f t="shared" si="3"/>
        <v>440</v>
      </c>
      <c r="P33" s="123">
        <f t="shared" si="4"/>
        <v>0</v>
      </c>
      <c r="Q33" s="123">
        <f t="shared" si="5"/>
        <v>0</v>
      </c>
      <c r="R33" s="152">
        <f t="shared" si="6"/>
        <v>440</v>
      </c>
    </row>
    <row r="34" spans="1:18">
      <c r="A34" s="160">
        <v>30</v>
      </c>
      <c r="B34" s="146">
        <v>46111</v>
      </c>
      <c r="C34" s="147"/>
      <c r="D34" s="167"/>
      <c r="E34" s="161"/>
      <c r="F34" s="161"/>
      <c r="G34" s="161"/>
      <c r="H34" s="123">
        <f t="shared" si="7"/>
        <v>20</v>
      </c>
      <c r="I34" s="123"/>
      <c r="J34" s="152"/>
      <c r="K34" s="123">
        <f t="shared" si="0"/>
        <v>0</v>
      </c>
      <c r="L34" s="123">
        <f t="shared" si="1"/>
        <v>0</v>
      </c>
      <c r="M34" s="123">
        <f t="shared" si="2"/>
        <v>0</v>
      </c>
      <c r="N34" s="123">
        <f t="shared" si="2"/>
        <v>0</v>
      </c>
      <c r="O34" s="123">
        <f t="shared" si="3"/>
        <v>440</v>
      </c>
      <c r="P34" s="123">
        <f t="shared" si="4"/>
        <v>0</v>
      </c>
      <c r="Q34" s="123">
        <f t="shared" si="5"/>
        <v>0</v>
      </c>
      <c r="R34" s="152">
        <f t="shared" si="6"/>
        <v>440</v>
      </c>
    </row>
    <row r="35" spans="1:18" ht="15.75" thickBot="1">
      <c r="A35" s="160">
        <v>31</v>
      </c>
      <c r="B35" s="146">
        <v>46112</v>
      </c>
      <c r="C35" s="147"/>
      <c r="D35" s="167"/>
      <c r="E35" s="161"/>
      <c r="F35" s="161"/>
      <c r="G35" s="161"/>
      <c r="H35" s="123">
        <f t="shared" si="7"/>
        <v>20</v>
      </c>
      <c r="I35" s="123"/>
      <c r="J35" s="152"/>
      <c r="K35" s="123">
        <f t="shared" si="0"/>
        <v>0</v>
      </c>
      <c r="L35" s="123">
        <f t="shared" si="1"/>
        <v>0</v>
      </c>
      <c r="M35" s="123">
        <f t="shared" si="2"/>
        <v>0</v>
      </c>
      <c r="N35" s="123">
        <f t="shared" si="2"/>
        <v>0</v>
      </c>
      <c r="O35" s="123">
        <f t="shared" si="3"/>
        <v>440</v>
      </c>
      <c r="P35" s="123">
        <f t="shared" si="4"/>
        <v>0</v>
      </c>
      <c r="Q35" s="123">
        <f t="shared" si="5"/>
        <v>0</v>
      </c>
      <c r="R35" s="152">
        <f t="shared" ref="R35" si="8">SUM(K35:Q35)</f>
        <v>440</v>
      </c>
    </row>
    <row r="36" spans="1:18" ht="15.75" thickBot="1">
      <c r="D36" s="154">
        <f>SUM(D5:D35)</f>
        <v>0</v>
      </c>
      <c r="E36" s="162">
        <f>SUM(E5:E35)</f>
        <v>15</v>
      </c>
      <c r="F36" s="162">
        <f>SUM(F5:F35)</f>
        <v>0</v>
      </c>
      <c r="G36" s="162"/>
      <c r="H36" s="163">
        <f>SUM(H5:H35)</f>
        <v>829</v>
      </c>
      <c r="I36" s="164"/>
      <c r="J36" s="162"/>
      <c r="K36" s="162">
        <f>SUM(K5:K35)</f>
        <v>0</v>
      </c>
      <c r="L36" s="162">
        <f t="shared" ref="L36:Q36" si="9">SUM(L5:L35)</f>
        <v>2565</v>
      </c>
      <c r="M36" s="162">
        <f t="shared" si="9"/>
        <v>0</v>
      </c>
      <c r="N36" s="162">
        <f t="shared" si="9"/>
        <v>0</v>
      </c>
      <c r="O36" s="162">
        <f t="shared" si="9"/>
        <v>18238</v>
      </c>
      <c r="P36" s="162">
        <f t="shared" si="9"/>
        <v>0</v>
      </c>
      <c r="Q36" s="162">
        <f t="shared" si="9"/>
        <v>0</v>
      </c>
      <c r="R36" s="165">
        <f>SUM(R5:R35)</f>
        <v>20803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7631-522F-489F-B307-744145690C77}">
  <sheetPr codeName="Лист18"/>
  <dimension ref="A1:R36"/>
  <sheetViews>
    <sheetView topLeftCell="A8" workbookViewId="0">
      <selection activeCell="K27" sqref="K27"/>
    </sheetView>
  </sheetViews>
  <sheetFormatPr defaultRowHeight="15"/>
  <cols>
    <col min="1" max="1" width="9.85546875" style="47" customWidth="1"/>
    <col min="2" max="17" width="9.140625" style="47"/>
    <col min="18" max="18" width="10.42578125" style="47" customWidth="1"/>
    <col min="19" max="16384" width="9.140625" style="47"/>
  </cols>
  <sheetData>
    <row r="1" spans="1:18">
      <c r="A1" s="159">
        <f>R36</f>
        <v>8608.8000000000011</v>
      </c>
    </row>
    <row r="2" spans="1:18">
      <c r="B2" s="73" t="s">
        <v>145</v>
      </c>
    </row>
    <row r="3" spans="1:18" ht="28.9" customHeight="1">
      <c r="A3" s="49" t="s">
        <v>0</v>
      </c>
      <c r="B3" s="50" t="s">
        <v>1</v>
      </c>
      <c r="C3" s="51"/>
      <c r="D3" s="49" t="s">
        <v>146</v>
      </c>
      <c r="E3" s="49" t="s">
        <v>147</v>
      </c>
      <c r="F3" s="49" t="s">
        <v>148</v>
      </c>
      <c r="G3" s="49" t="s">
        <v>149</v>
      </c>
      <c r="H3" s="52" t="s">
        <v>4</v>
      </c>
      <c r="I3" s="49" t="s">
        <v>150</v>
      </c>
      <c r="J3" s="49" t="s">
        <v>151</v>
      </c>
      <c r="K3" s="49" t="s">
        <v>11</v>
      </c>
      <c r="L3" s="49" t="s">
        <v>12</v>
      </c>
      <c r="M3" s="49" t="s">
        <v>152</v>
      </c>
      <c r="N3" s="49" t="s">
        <v>153</v>
      </c>
      <c r="O3" s="49" t="s">
        <v>13</v>
      </c>
      <c r="P3" s="49" t="s">
        <v>154</v>
      </c>
      <c r="Q3" s="49" t="s">
        <v>155</v>
      </c>
      <c r="R3" s="49" t="s">
        <v>18</v>
      </c>
    </row>
    <row r="4" spans="1:18" ht="30">
      <c r="A4" s="53"/>
      <c r="B4" s="54"/>
      <c r="C4" s="55"/>
      <c r="D4" s="53"/>
      <c r="E4" s="53"/>
      <c r="F4" s="53"/>
      <c r="G4" s="53"/>
      <c r="H4" s="56" t="s">
        <v>156</v>
      </c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>
      <c r="A5" s="58">
        <v>1</v>
      </c>
      <c r="B5" s="146">
        <v>46082</v>
      </c>
      <c r="C5" s="147"/>
      <c r="D5" s="166"/>
      <c r="E5" s="124"/>
      <c r="F5" s="124"/>
      <c r="G5" s="124"/>
      <c r="H5" s="123">
        <v>11</v>
      </c>
      <c r="I5" s="123"/>
      <c r="J5" s="123"/>
      <c r="K5" s="123">
        <f t="shared" ref="K5:K29" si="0">SUM(D5*168)</f>
        <v>0</v>
      </c>
      <c r="L5" s="123">
        <f>SUM(E5*168)</f>
        <v>0</v>
      </c>
      <c r="M5" s="123">
        <f>F5*1000</f>
        <v>0</v>
      </c>
      <c r="N5" s="123">
        <f>G5*1000</f>
        <v>0</v>
      </c>
      <c r="O5" s="123">
        <f>SUM(H5*21.6)</f>
        <v>237.60000000000002</v>
      </c>
      <c r="P5" s="123">
        <f>I5*500</f>
        <v>0</v>
      </c>
      <c r="Q5" s="123">
        <f>SUM(J5)*600</f>
        <v>0</v>
      </c>
      <c r="R5" s="123">
        <f>SUM(K5:Q5)</f>
        <v>237.60000000000002</v>
      </c>
    </row>
    <row r="6" spans="1:18">
      <c r="A6" s="58">
        <v>2</v>
      </c>
      <c r="B6" s="146">
        <v>46083</v>
      </c>
      <c r="C6" s="147"/>
      <c r="D6" s="166"/>
      <c r="E6" s="124"/>
      <c r="F6" s="124"/>
      <c r="G6" s="124"/>
      <c r="H6" s="123">
        <v>11</v>
      </c>
      <c r="I6" s="123"/>
      <c r="J6" s="123"/>
      <c r="K6" s="123">
        <f t="shared" si="0"/>
        <v>0</v>
      </c>
      <c r="L6" s="123">
        <f t="shared" ref="L6:L34" si="1">SUM(E6*168)</f>
        <v>0</v>
      </c>
      <c r="M6" s="123">
        <f t="shared" ref="M6:N34" si="2">F6*1000</f>
        <v>0</v>
      </c>
      <c r="N6" s="123">
        <f t="shared" si="2"/>
        <v>0</v>
      </c>
      <c r="O6" s="123">
        <f t="shared" ref="O6:O35" si="3">SUM(H6*21.6)</f>
        <v>237.60000000000002</v>
      </c>
      <c r="P6" s="123">
        <f t="shared" ref="P6:P35" si="4">I6*500</f>
        <v>0</v>
      </c>
      <c r="Q6" s="123">
        <f t="shared" ref="Q6:Q35" si="5">SUM(J6)*600</f>
        <v>0</v>
      </c>
      <c r="R6" s="123">
        <f t="shared" ref="R6:R35" si="6">SUM(K6:Q6)</f>
        <v>237.60000000000002</v>
      </c>
    </row>
    <row r="7" spans="1:18">
      <c r="A7" s="58">
        <v>3</v>
      </c>
      <c r="B7" s="146">
        <v>46084</v>
      </c>
      <c r="C7" s="147"/>
      <c r="D7" s="166"/>
      <c r="E7" s="124"/>
      <c r="F7" s="124"/>
      <c r="G7" s="124"/>
      <c r="H7" s="123">
        <v>11</v>
      </c>
      <c r="I7" s="123"/>
      <c r="J7" s="123"/>
      <c r="K7" s="123">
        <f t="shared" si="0"/>
        <v>0</v>
      </c>
      <c r="L7" s="123">
        <f t="shared" si="1"/>
        <v>0</v>
      </c>
      <c r="M7" s="123">
        <f t="shared" si="2"/>
        <v>0</v>
      </c>
      <c r="N7" s="123">
        <f t="shared" si="2"/>
        <v>0</v>
      </c>
      <c r="O7" s="123">
        <f t="shared" si="3"/>
        <v>237.60000000000002</v>
      </c>
      <c r="P7" s="123">
        <f t="shared" si="4"/>
        <v>0</v>
      </c>
      <c r="Q7" s="123">
        <f t="shared" si="5"/>
        <v>0</v>
      </c>
      <c r="R7" s="123">
        <f t="shared" si="6"/>
        <v>237.60000000000002</v>
      </c>
    </row>
    <row r="8" spans="1:18">
      <c r="A8" s="58">
        <v>4</v>
      </c>
      <c r="B8" s="146">
        <v>46085</v>
      </c>
      <c r="C8" s="147"/>
      <c r="D8" s="166"/>
      <c r="E8" s="124"/>
      <c r="F8" s="124"/>
      <c r="G8" s="124"/>
      <c r="H8" s="123">
        <v>11</v>
      </c>
      <c r="I8" s="123"/>
      <c r="J8" s="123"/>
      <c r="K8" s="123">
        <f t="shared" si="0"/>
        <v>0</v>
      </c>
      <c r="L8" s="123">
        <f t="shared" si="1"/>
        <v>0</v>
      </c>
      <c r="M8" s="123">
        <f t="shared" si="2"/>
        <v>0</v>
      </c>
      <c r="N8" s="123">
        <f t="shared" si="2"/>
        <v>0</v>
      </c>
      <c r="O8" s="123">
        <f t="shared" si="3"/>
        <v>237.60000000000002</v>
      </c>
      <c r="P8" s="123">
        <f t="shared" si="4"/>
        <v>0</v>
      </c>
      <c r="Q8" s="123">
        <f t="shared" si="5"/>
        <v>0</v>
      </c>
      <c r="R8" s="123">
        <f t="shared" si="6"/>
        <v>237.60000000000002</v>
      </c>
    </row>
    <row r="9" spans="1:18">
      <c r="A9" s="160">
        <v>5</v>
      </c>
      <c r="B9" s="146">
        <v>46086</v>
      </c>
      <c r="C9" s="147"/>
      <c r="D9" s="167"/>
      <c r="E9" s="161"/>
      <c r="F9" s="161"/>
      <c r="G9" s="161"/>
      <c r="H9" s="123">
        <v>11</v>
      </c>
      <c r="I9" s="123"/>
      <c r="J9" s="152"/>
      <c r="K9" s="123">
        <f t="shared" si="0"/>
        <v>0</v>
      </c>
      <c r="L9" s="123">
        <f t="shared" si="1"/>
        <v>0</v>
      </c>
      <c r="M9" s="123">
        <f t="shared" si="2"/>
        <v>0</v>
      </c>
      <c r="N9" s="123">
        <f t="shared" si="2"/>
        <v>0</v>
      </c>
      <c r="O9" s="123">
        <f t="shared" si="3"/>
        <v>237.60000000000002</v>
      </c>
      <c r="P9" s="123">
        <f t="shared" si="4"/>
        <v>0</v>
      </c>
      <c r="Q9" s="123">
        <f t="shared" si="5"/>
        <v>0</v>
      </c>
      <c r="R9" s="152">
        <f t="shared" si="6"/>
        <v>237.60000000000002</v>
      </c>
    </row>
    <row r="10" spans="1:18">
      <c r="A10" s="160">
        <v>6</v>
      </c>
      <c r="B10" s="146">
        <v>46087</v>
      </c>
      <c r="C10" s="147"/>
      <c r="D10" s="167">
        <v>1</v>
      </c>
      <c r="E10" s="161"/>
      <c r="F10" s="161"/>
      <c r="G10" s="161"/>
      <c r="H10" s="123">
        <v>12</v>
      </c>
      <c r="I10" s="123"/>
      <c r="J10" s="152"/>
      <c r="K10" s="123">
        <f t="shared" si="0"/>
        <v>168</v>
      </c>
      <c r="L10" s="123">
        <f t="shared" si="1"/>
        <v>0</v>
      </c>
      <c r="M10" s="123">
        <f t="shared" si="2"/>
        <v>0</v>
      </c>
      <c r="N10" s="123">
        <f t="shared" si="2"/>
        <v>0</v>
      </c>
      <c r="O10" s="123">
        <f t="shared" si="3"/>
        <v>259.20000000000005</v>
      </c>
      <c r="P10" s="123">
        <f t="shared" si="4"/>
        <v>0</v>
      </c>
      <c r="Q10" s="123">
        <f t="shared" si="5"/>
        <v>0</v>
      </c>
      <c r="R10" s="152">
        <f t="shared" si="6"/>
        <v>427.20000000000005</v>
      </c>
    </row>
    <row r="11" spans="1:18">
      <c r="A11" s="160">
        <v>7</v>
      </c>
      <c r="B11" s="146">
        <v>46088</v>
      </c>
      <c r="C11" s="147"/>
      <c r="D11" s="167"/>
      <c r="E11" s="161"/>
      <c r="F11" s="161"/>
      <c r="G11" s="161"/>
      <c r="H11" s="123">
        <v>12</v>
      </c>
      <c r="I11" s="123"/>
      <c r="J11" s="152"/>
      <c r="K11" s="123">
        <f t="shared" si="0"/>
        <v>0</v>
      </c>
      <c r="L11" s="123">
        <f t="shared" si="1"/>
        <v>0</v>
      </c>
      <c r="M11" s="123">
        <f t="shared" si="2"/>
        <v>0</v>
      </c>
      <c r="N11" s="123">
        <f t="shared" si="2"/>
        <v>0</v>
      </c>
      <c r="O11" s="123">
        <f t="shared" si="3"/>
        <v>259.20000000000005</v>
      </c>
      <c r="P11" s="123">
        <f t="shared" si="4"/>
        <v>0</v>
      </c>
      <c r="Q11" s="123">
        <f t="shared" si="5"/>
        <v>0</v>
      </c>
      <c r="R11" s="152">
        <f t="shared" si="6"/>
        <v>259.20000000000005</v>
      </c>
    </row>
    <row r="12" spans="1:18">
      <c r="A12" s="160">
        <v>8</v>
      </c>
      <c r="B12" s="146">
        <v>46089</v>
      </c>
      <c r="C12" s="147"/>
      <c r="D12" s="167"/>
      <c r="E12" s="161"/>
      <c r="F12" s="161"/>
      <c r="G12" s="161"/>
      <c r="H12" s="123">
        <v>12</v>
      </c>
      <c r="I12" s="123"/>
      <c r="J12" s="152"/>
      <c r="K12" s="123">
        <f t="shared" si="0"/>
        <v>0</v>
      </c>
      <c r="L12" s="123">
        <f t="shared" si="1"/>
        <v>0</v>
      </c>
      <c r="M12" s="123">
        <f t="shared" si="2"/>
        <v>0</v>
      </c>
      <c r="N12" s="123">
        <f t="shared" si="2"/>
        <v>0</v>
      </c>
      <c r="O12" s="123">
        <f t="shared" si="3"/>
        <v>259.20000000000005</v>
      </c>
      <c r="P12" s="123">
        <f t="shared" si="4"/>
        <v>0</v>
      </c>
      <c r="Q12" s="123">
        <f t="shared" si="5"/>
        <v>0</v>
      </c>
      <c r="R12" s="152">
        <f t="shared" si="6"/>
        <v>259.20000000000005</v>
      </c>
    </row>
    <row r="13" spans="1:18">
      <c r="A13" s="58">
        <v>9</v>
      </c>
      <c r="B13" s="146">
        <v>46090</v>
      </c>
      <c r="C13" s="147"/>
      <c r="D13" s="166"/>
      <c r="E13" s="124"/>
      <c r="F13" s="124"/>
      <c r="G13" s="124"/>
      <c r="H13" s="123">
        <v>12</v>
      </c>
      <c r="I13" s="123"/>
      <c r="J13" s="123"/>
      <c r="K13" s="123">
        <f t="shared" si="0"/>
        <v>0</v>
      </c>
      <c r="L13" s="123">
        <f t="shared" si="1"/>
        <v>0</v>
      </c>
      <c r="M13" s="123">
        <f t="shared" si="2"/>
        <v>0</v>
      </c>
      <c r="N13" s="123">
        <f t="shared" si="2"/>
        <v>0</v>
      </c>
      <c r="O13" s="123">
        <f t="shared" si="3"/>
        <v>259.20000000000005</v>
      </c>
      <c r="P13" s="123">
        <f t="shared" si="4"/>
        <v>0</v>
      </c>
      <c r="Q13" s="123">
        <f t="shared" si="5"/>
        <v>0</v>
      </c>
      <c r="R13" s="123">
        <f t="shared" si="6"/>
        <v>259.20000000000005</v>
      </c>
    </row>
    <row r="14" spans="1:18">
      <c r="A14" s="58">
        <v>10</v>
      </c>
      <c r="B14" s="146">
        <v>46091</v>
      </c>
      <c r="C14" s="147"/>
      <c r="D14" s="166"/>
      <c r="E14" s="124"/>
      <c r="F14" s="124"/>
      <c r="G14" s="124"/>
      <c r="H14" s="123">
        <v>12</v>
      </c>
      <c r="I14" s="123"/>
      <c r="J14" s="123"/>
      <c r="K14" s="123">
        <f t="shared" si="0"/>
        <v>0</v>
      </c>
      <c r="L14" s="123">
        <f t="shared" si="1"/>
        <v>0</v>
      </c>
      <c r="M14" s="123">
        <f t="shared" si="2"/>
        <v>0</v>
      </c>
      <c r="N14" s="123">
        <f t="shared" si="2"/>
        <v>0</v>
      </c>
      <c r="O14" s="123">
        <f t="shared" si="3"/>
        <v>259.20000000000005</v>
      </c>
      <c r="P14" s="123">
        <f t="shared" si="4"/>
        <v>0</v>
      </c>
      <c r="Q14" s="123">
        <f t="shared" si="5"/>
        <v>0</v>
      </c>
      <c r="R14" s="123">
        <f t="shared" si="6"/>
        <v>259.20000000000005</v>
      </c>
    </row>
    <row r="15" spans="1:18">
      <c r="A15" s="160">
        <v>11</v>
      </c>
      <c r="B15" s="146">
        <v>46092</v>
      </c>
      <c r="C15" s="147"/>
      <c r="D15" s="167"/>
      <c r="E15" s="161"/>
      <c r="F15" s="161"/>
      <c r="G15" s="124"/>
      <c r="H15" s="123">
        <v>12</v>
      </c>
      <c r="I15" s="123"/>
      <c r="J15" s="152"/>
      <c r="K15" s="123">
        <f t="shared" si="0"/>
        <v>0</v>
      </c>
      <c r="L15" s="123">
        <f t="shared" si="1"/>
        <v>0</v>
      </c>
      <c r="M15" s="123">
        <f t="shared" si="2"/>
        <v>0</v>
      </c>
      <c r="N15" s="123">
        <f t="shared" si="2"/>
        <v>0</v>
      </c>
      <c r="O15" s="123">
        <f t="shared" si="3"/>
        <v>259.20000000000005</v>
      </c>
      <c r="P15" s="123">
        <f t="shared" si="4"/>
        <v>0</v>
      </c>
      <c r="Q15" s="123">
        <f t="shared" si="5"/>
        <v>0</v>
      </c>
      <c r="R15" s="152">
        <f t="shared" si="6"/>
        <v>259.20000000000005</v>
      </c>
    </row>
    <row r="16" spans="1:18">
      <c r="A16" s="160">
        <v>12</v>
      </c>
      <c r="B16" s="146">
        <v>46093</v>
      </c>
      <c r="C16" s="147"/>
      <c r="D16" s="167"/>
      <c r="E16" s="161"/>
      <c r="F16" s="161"/>
      <c r="G16" s="124"/>
      <c r="H16" s="123">
        <v>12</v>
      </c>
      <c r="I16" s="123"/>
      <c r="J16" s="152"/>
      <c r="K16" s="123">
        <f t="shared" si="0"/>
        <v>0</v>
      </c>
      <c r="L16" s="123">
        <f t="shared" si="1"/>
        <v>0</v>
      </c>
      <c r="M16" s="123">
        <f t="shared" si="2"/>
        <v>0</v>
      </c>
      <c r="N16" s="123">
        <f t="shared" si="2"/>
        <v>0</v>
      </c>
      <c r="O16" s="123">
        <f t="shared" si="3"/>
        <v>259.20000000000005</v>
      </c>
      <c r="P16" s="123">
        <f t="shared" si="4"/>
        <v>0</v>
      </c>
      <c r="Q16" s="123">
        <f t="shared" si="5"/>
        <v>0</v>
      </c>
      <c r="R16" s="152">
        <f t="shared" si="6"/>
        <v>259.20000000000005</v>
      </c>
    </row>
    <row r="17" spans="1:18">
      <c r="A17" s="160">
        <v>13</v>
      </c>
      <c r="B17" s="146">
        <v>46094</v>
      </c>
      <c r="C17" s="147"/>
      <c r="D17" s="167"/>
      <c r="E17" s="161"/>
      <c r="F17" s="161"/>
      <c r="G17" s="124"/>
      <c r="H17" s="123">
        <v>12</v>
      </c>
      <c r="I17" s="123"/>
      <c r="J17" s="152"/>
      <c r="K17" s="123">
        <f t="shared" si="0"/>
        <v>0</v>
      </c>
      <c r="L17" s="123">
        <f t="shared" si="1"/>
        <v>0</v>
      </c>
      <c r="M17" s="123">
        <f t="shared" si="2"/>
        <v>0</v>
      </c>
      <c r="N17" s="123">
        <f t="shared" si="2"/>
        <v>0</v>
      </c>
      <c r="O17" s="123">
        <f t="shared" si="3"/>
        <v>259.20000000000005</v>
      </c>
      <c r="P17" s="123">
        <f t="shared" si="4"/>
        <v>0</v>
      </c>
      <c r="Q17" s="123">
        <f t="shared" si="5"/>
        <v>0</v>
      </c>
      <c r="R17" s="152">
        <f t="shared" si="6"/>
        <v>259.20000000000005</v>
      </c>
    </row>
    <row r="18" spans="1:18">
      <c r="A18" s="160">
        <v>14</v>
      </c>
      <c r="B18" s="146">
        <v>46095</v>
      </c>
      <c r="C18" s="147"/>
      <c r="D18" s="167"/>
      <c r="E18" s="161"/>
      <c r="F18" s="161"/>
      <c r="G18" s="124"/>
      <c r="H18" s="123">
        <v>12</v>
      </c>
      <c r="I18" s="123"/>
      <c r="J18" s="152"/>
      <c r="K18" s="123">
        <f t="shared" si="0"/>
        <v>0</v>
      </c>
      <c r="L18" s="123">
        <f t="shared" si="1"/>
        <v>0</v>
      </c>
      <c r="M18" s="123">
        <f t="shared" si="2"/>
        <v>0</v>
      </c>
      <c r="N18" s="123">
        <f t="shared" si="2"/>
        <v>0</v>
      </c>
      <c r="O18" s="123">
        <f t="shared" si="3"/>
        <v>259.20000000000005</v>
      </c>
      <c r="P18" s="123">
        <f t="shared" si="4"/>
        <v>0</v>
      </c>
      <c r="Q18" s="123">
        <f t="shared" si="5"/>
        <v>0</v>
      </c>
      <c r="R18" s="152">
        <f t="shared" si="6"/>
        <v>259.20000000000005</v>
      </c>
    </row>
    <row r="19" spans="1:18">
      <c r="A19" s="160">
        <v>15</v>
      </c>
      <c r="B19" s="146">
        <v>46096</v>
      </c>
      <c r="C19" s="147"/>
      <c r="D19" s="167"/>
      <c r="E19" s="161"/>
      <c r="F19" s="161"/>
      <c r="G19" s="124"/>
      <c r="H19" s="123">
        <v>12</v>
      </c>
      <c r="I19" s="123"/>
      <c r="J19" s="152"/>
      <c r="K19" s="123">
        <f t="shared" si="0"/>
        <v>0</v>
      </c>
      <c r="L19" s="123">
        <f t="shared" si="1"/>
        <v>0</v>
      </c>
      <c r="M19" s="123">
        <f t="shared" si="2"/>
        <v>0</v>
      </c>
      <c r="N19" s="123">
        <f t="shared" si="2"/>
        <v>0</v>
      </c>
      <c r="O19" s="123">
        <f t="shared" si="3"/>
        <v>259.20000000000005</v>
      </c>
      <c r="P19" s="123">
        <f t="shared" si="4"/>
        <v>0</v>
      </c>
      <c r="Q19" s="123">
        <f t="shared" si="5"/>
        <v>0</v>
      </c>
      <c r="R19" s="152">
        <f t="shared" si="6"/>
        <v>259.20000000000005</v>
      </c>
    </row>
    <row r="20" spans="1:18">
      <c r="A20" s="58">
        <v>16</v>
      </c>
      <c r="B20" s="146">
        <v>46097</v>
      </c>
      <c r="C20" s="147"/>
      <c r="D20" s="166">
        <v>1</v>
      </c>
      <c r="E20" s="124"/>
      <c r="F20" s="124"/>
      <c r="G20" s="161"/>
      <c r="H20" s="123">
        <v>13</v>
      </c>
      <c r="I20" s="123"/>
      <c r="J20" s="123"/>
      <c r="K20" s="123">
        <f t="shared" si="0"/>
        <v>168</v>
      </c>
      <c r="L20" s="123">
        <f t="shared" si="1"/>
        <v>0</v>
      </c>
      <c r="M20" s="123">
        <f t="shared" si="2"/>
        <v>0</v>
      </c>
      <c r="N20" s="123">
        <f t="shared" si="2"/>
        <v>0</v>
      </c>
      <c r="O20" s="123">
        <f t="shared" si="3"/>
        <v>280.8</v>
      </c>
      <c r="P20" s="123">
        <f t="shared" si="4"/>
        <v>0</v>
      </c>
      <c r="Q20" s="123">
        <f t="shared" si="5"/>
        <v>0</v>
      </c>
      <c r="R20" s="123">
        <f t="shared" si="6"/>
        <v>448.8</v>
      </c>
    </row>
    <row r="21" spans="1:18">
      <c r="A21" s="58">
        <v>17</v>
      </c>
      <c r="B21" s="146">
        <v>46098</v>
      </c>
      <c r="C21" s="147"/>
      <c r="D21" s="166"/>
      <c r="E21" s="124"/>
      <c r="F21" s="124"/>
      <c r="G21" s="161"/>
      <c r="H21" s="123">
        <v>13</v>
      </c>
      <c r="I21" s="123"/>
      <c r="J21" s="123"/>
      <c r="K21" s="123">
        <f t="shared" si="0"/>
        <v>0</v>
      </c>
      <c r="L21" s="123">
        <f t="shared" si="1"/>
        <v>0</v>
      </c>
      <c r="M21" s="123">
        <f t="shared" si="2"/>
        <v>0</v>
      </c>
      <c r="N21" s="123">
        <f t="shared" si="2"/>
        <v>0</v>
      </c>
      <c r="O21" s="123">
        <f t="shared" si="3"/>
        <v>280.8</v>
      </c>
      <c r="P21" s="123">
        <f t="shared" si="4"/>
        <v>0</v>
      </c>
      <c r="Q21" s="123">
        <f t="shared" si="5"/>
        <v>0</v>
      </c>
      <c r="R21" s="123">
        <f t="shared" si="6"/>
        <v>280.8</v>
      </c>
    </row>
    <row r="22" spans="1:18">
      <c r="A22" s="160">
        <v>18</v>
      </c>
      <c r="B22" s="146">
        <v>46099</v>
      </c>
      <c r="C22" s="147"/>
      <c r="D22" s="167"/>
      <c r="E22" s="161"/>
      <c r="F22" s="161"/>
      <c r="G22" s="161"/>
      <c r="H22" s="123">
        <v>13</v>
      </c>
      <c r="I22" s="152"/>
      <c r="J22" s="152"/>
      <c r="K22" s="123">
        <f t="shared" si="0"/>
        <v>0</v>
      </c>
      <c r="L22" s="123">
        <f t="shared" si="1"/>
        <v>0</v>
      </c>
      <c r="M22" s="123">
        <f t="shared" si="2"/>
        <v>0</v>
      </c>
      <c r="N22" s="123">
        <f t="shared" si="2"/>
        <v>0</v>
      </c>
      <c r="O22" s="123">
        <f t="shared" si="3"/>
        <v>280.8</v>
      </c>
      <c r="P22" s="123">
        <f t="shared" si="4"/>
        <v>0</v>
      </c>
      <c r="Q22" s="123">
        <f t="shared" si="5"/>
        <v>0</v>
      </c>
      <c r="R22" s="152">
        <f t="shared" si="6"/>
        <v>280.8</v>
      </c>
    </row>
    <row r="23" spans="1:18">
      <c r="A23" s="160">
        <v>19</v>
      </c>
      <c r="B23" s="146">
        <v>46100</v>
      </c>
      <c r="C23" s="147"/>
      <c r="D23" s="167"/>
      <c r="E23" s="161"/>
      <c r="F23" s="161"/>
      <c r="G23" s="161"/>
      <c r="H23" s="123">
        <v>13</v>
      </c>
      <c r="I23" s="152"/>
      <c r="J23" s="152"/>
      <c r="K23" s="123">
        <f t="shared" si="0"/>
        <v>0</v>
      </c>
      <c r="L23" s="123">
        <f t="shared" si="1"/>
        <v>0</v>
      </c>
      <c r="M23" s="123">
        <f t="shared" si="2"/>
        <v>0</v>
      </c>
      <c r="N23" s="123">
        <f t="shared" si="2"/>
        <v>0</v>
      </c>
      <c r="O23" s="123">
        <f t="shared" si="3"/>
        <v>280.8</v>
      </c>
      <c r="P23" s="123">
        <f t="shared" si="4"/>
        <v>0</v>
      </c>
      <c r="Q23" s="123">
        <f t="shared" si="5"/>
        <v>0</v>
      </c>
      <c r="R23" s="152">
        <f t="shared" si="6"/>
        <v>280.8</v>
      </c>
    </row>
    <row r="24" spans="1:18">
      <c r="A24" s="160">
        <v>20</v>
      </c>
      <c r="B24" s="146">
        <v>46101</v>
      </c>
      <c r="C24" s="147"/>
      <c r="D24" s="167"/>
      <c r="E24" s="161"/>
      <c r="F24" s="161"/>
      <c r="G24" s="161"/>
      <c r="H24" s="123">
        <v>13</v>
      </c>
      <c r="I24" s="152"/>
      <c r="J24" s="152"/>
      <c r="K24" s="123">
        <f t="shared" si="0"/>
        <v>0</v>
      </c>
      <c r="L24" s="123">
        <f t="shared" si="1"/>
        <v>0</v>
      </c>
      <c r="M24" s="123">
        <f t="shared" si="2"/>
        <v>0</v>
      </c>
      <c r="N24" s="123">
        <f t="shared" si="2"/>
        <v>0</v>
      </c>
      <c r="O24" s="123">
        <f t="shared" si="3"/>
        <v>280.8</v>
      </c>
      <c r="P24" s="123">
        <f t="shared" si="4"/>
        <v>0</v>
      </c>
      <c r="Q24" s="123">
        <f t="shared" si="5"/>
        <v>0</v>
      </c>
      <c r="R24" s="152">
        <f t="shared" si="6"/>
        <v>280.8</v>
      </c>
    </row>
    <row r="25" spans="1:18">
      <c r="A25" s="160">
        <v>21</v>
      </c>
      <c r="B25" s="146">
        <v>46102</v>
      </c>
      <c r="C25" s="147"/>
      <c r="D25" s="167"/>
      <c r="E25" s="161"/>
      <c r="F25" s="161"/>
      <c r="G25" s="161"/>
      <c r="H25" s="123">
        <v>13</v>
      </c>
      <c r="I25" s="152"/>
      <c r="J25" s="152"/>
      <c r="K25" s="123">
        <f t="shared" si="0"/>
        <v>0</v>
      </c>
      <c r="L25" s="123">
        <f t="shared" si="1"/>
        <v>0</v>
      </c>
      <c r="M25" s="123">
        <f t="shared" si="2"/>
        <v>0</v>
      </c>
      <c r="N25" s="123">
        <f t="shared" si="2"/>
        <v>0</v>
      </c>
      <c r="O25" s="123">
        <f t="shared" si="3"/>
        <v>280.8</v>
      </c>
      <c r="P25" s="123">
        <f t="shared" si="4"/>
        <v>0</v>
      </c>
      <c r="Q25" s="123">
        <f t="shared" si="5"/>
        <v>0</v>
      </c>
      <c r="R25" s="152">
        <f t="shared" si="6"/>
        <v>280.8</v>
      </c>
    </row>
    <row r="26" spans="1:18">
      <c r="A26" s="160">
        <v>22</v>
      </c>
      <c r="B26" s="146">
        <v>46103</v>
      </c>
      <c r="C26" s="147"/>
      <c r="D26" s="167"/>
      <c r="E26" s="161"/>
      <c r="F26" s="161"/>
      <c r="G26" s="161"/>
      <c r="H26" s="123">
        <v>13</v>
      </c>
      <c r="I26" s="123"/>
      <c r="J26" s="152"/>
      <c r="K26" s="123">
        <f t="shared" si="0"/>
        <v>0</v>
      </c>
      <c r="L26" s="123">
        <f t="shared" si="1"/>
        <v>0</v>
      </c>
      <c r="M26" s="123">
        <f t="shared" si="2"/>
        <v>0</v>
      </c>
      <c r="N26" s="123">
        <f t="shared" si="2"/>
        <v>0</v>
      </c>
      <c r="O26" s="123">
        <f t="shared" si="3"/>
        <v>280.8</v>
      </c>
      <c r="P26" s="123">
        <f t="shared" si="4"/>
        <v>0</v>
      </c>
      <c r="Q26" s="123">
        <f t="shared" si="5"/>
        <v>0</v>
      </c>
      <c r="R26" s="152">
        <f t="shared" si="6"/>
        <v>280.8</v>
      </c>
    </row>
    <row r="27" spans="1:18">
      <c r="A27" s="58">
        <v>23</v>
      </c>
      <c r="B27" s="146">
        <v>46104</v>
      </c>
      <c r="C27" s="147"/>
      <c r="D27" s="166"/>
      <c r="E27" s="124"/>
      <c r="F27" s="124"/>
      <c r="G27" s="124"/>
      <c r="H27" s="123">
        <v>13</v>
      </c>
      <c r="I27" s="123"/>
      <c r="J27" s="123"/>
      <c r="K27" s="123">
        <f t="shared" si="0"/>
        <v>0</v>
      </c>
      <c r="L27" s="123">
        <f t="shared" si="1"/>
        <v>0</v>
      </c>
      <c r="M27" s="123">
        <f t="shared" si="2"/>
        <v>0</v>
      </c>
      <c r="N27" s="123">
        <f t="shared" si="2"/>
        <v>0</v>
      </c>
      <c r="O27" s="123">
        <f t="shared" si="3"/>
        <v>280.8</v>
      </c>
      <c r="P27" s="123">
        <f t="shared" si="4"/>
        <v>0</v>
      </c>
      <c r="Q27" s="123">
        <f t="shared" si="5"/>
        <v>0</v>
      </c>
      <c r="R27" s="123">
        <f t="shared" si="6"/>
        <v>280.8</v>
      </c>
    </row>
    <row r="28" spans="1:18">
      <c r="A28" s="58">
        <v>24</v>
      </c>
      <c r="B28" s="146">
        <v>46105</v>
      </c>
      <c r="C28" s="147"/>
      <c r="D28" s="166"/>
      <c r="E28" s="124"/>
      <c r="F28" s="124"/>
      <c r="G28" s="124"/>
      <c r="H28" s="123">
        <v>13</v>
      </c>
      <c r="I28" s="123"/>
      <c r="J28" s="123"/>
      <c r="K28" s="123">
        <f t="shared" si="0"/>
        <v>0</v>
      </c>
      <c r="L28" s="123">
        <f t="shared" si="1"/>
        <v>0</v>
      </c>
      <c r="M28" s="123">
        <f t="shared" si="2"/>
        <v>0</v>
      </c>
      <c r="N28" s="123">
        <f t="shared" si="2"/>
        <v>0</v>
      </c>
      <c r="O28" s="123">
        <f t="shared" si="3"/>
        <v>280.8</v>
      </c>
      <c r="P28" s="123">
        <f t="shared" si="4"/>
        <v>0</v>
      </c>
      <c r="Q28" s="123">
        <f t="shared" si="5"/>
        <v>0</v>
      </c>
      <c r="R28" s="123">
        <f t="shared" si="6"/>
        <v>280.8</v>
      </c>
    </row>
    <row r="29" spans="1:18">
      <c r="A29" s="160">
        <v>25</v>
      </c>
      <c r="B29" s="146">
        <v>46106</v>
      </c>
      <c r="C29" s="147"/>
      <c r="D29" s="167"/>
      <c r="E29" s="161"/>
      <c r="F29" s="161"/>
      <c r="G29" s="161"/>
      <c r="H29" s="123">
        <v>13</v>
      </c>
      <c r="I29" s="123"/>
      <c r="J29" s="152"/>
      <c r="K29" s="123">
        <f t="shared" si="0"/>
        <v>0</v>
      </c>
      <c r="L29" s="123">
        <f t="shared" si="1"/>
        <v>0</v>
      </c>
      <c r="M29" s="123">
        <f>F29*1000</f>
        <v>0</v>
      </c>
      <c r="N29" s="123">
        <f t="shared" si="2"/>
        <v>0</v>
      </c>
      <c r="O29" s="123">
        <f t="shared" si="3"/>
        <v>280.8</v>
      </c>
      <c r="P29" s="123">
        <f t="shared" si="4"/>
        <v>0</v>
      </c>
      <c r="Q29" s="123">
        <f t="shared" si="5"/>
        <v>0</v>
      </c>
      <c r="R29" s="152">
        <f t="shared" si="6"/>
        <v>280.8</v>
      </c>
    </row>
    <row r="30" spans="1:18">
      <c r="A30" s="160">
        <v>26</v>
      </c>
      <c r="B30" s="146">
        <v>46107</v>
      </c>
      <c r="C30" s="147"/>
      <c r="D30" s="167"/>
      <c r="E30" s="161"/>
      <c r="F30" s="161"/>
      <c r="G30" s="161"/>
      <c r="H30" s="123">
        <v>13</v>
      </c>
      <c r="I30" s="123"/>
      <c r="J30" s="152"/>
      <c r="K30" s="123">
        <f>SUM(D30*168)</f>
        <v>0</v>
      </c>
      <c r="L30" s="123">
        <f t="shared" si="1"/>
        <v>0</v>
      </c>
      <c r="M30" s="123">
        <f t="shared" si="2"/>
        <v>0</v>
      </c>
      <c r="N30" s="123">
        <f t="shared" si="2"/>
        <v>0</v>
      </c>
      <c r="O30" s="123">
        <f t="shared" si="3"/>
        <v>280.8</v>
      </c>
      <c r="P30" s="123">
        <f t="shared" si="4"/>
        <v>0</v>
      </c>
      <c r="Q30" s="123">
        <f t="shared" si="5"/>
        <v>0</v>
      </c>
      <c r="R30" s="152">
        <f t="shared" si="6"/>
        <v>280.8</v>
      </c>
    </row>
    <row r="31" spans="1:18">
      <c r="A31" s="160">
        <v>27</v>
      </c>
      <c r="B31" s="146">
        <v>46108</v>
      </c>
      <c r="C31" s="147"/>
      <c r="D31" s="167"/>
      <c r="E31" s="161"/>
      <c r="F31" s="161"/>
      <c r="G31" s="161"/>
      <c r="H31" s="123">
        <v>13</v>
      </c>
      <c r="I31" s="123"/>
      <c r="J31" s="152"/>
      <c r="K31" s="123">
        <f t="shared" ref="K31:L35" si="7">SUM(D31*168)</f>
        <v>0</v>
      </c>
      <c r="L31" s="123">
        <f t="shared" si="1"/>
        <v>0</v>
      </c>
      <c r="M31" s="123">
        <f t="shared" si="2"/>
        <v>0</v>
      </c>
      <c r="N31" s="123">
        <f t="shared" si="2"/>
        <v>0</v>
      </c>
      <c r="O31" s="123">
        <f t="shared" si="3"/>
        <v>280.8</v>
      </c>
      <c r="P31" s="123">
        <f t="shared" si="4"/>
        <v>0</v>
      </c>
      <c r="Q31" s="123">
        <f t="shared" si="5"/>
        <v>0</v>
      </c>
      <c r="R31" s="152">
        <f t="shared" si="6"/>
        <v>280.8</v>
      </c>
    </row>
    <row r="32" spans="1:18">
      <c r="A32" s="160">
        <v>28</v>
      </c>
      <c r="B32" s="146">
        <v>46109</v>
      </c>
      <c r="C32" s="147"/>
      <c r="D32" s="167"/>
      <c r="E32" s="161"/>
      <c r="F32" s="161"/>
      <c r="G32" s="161"/>
      <c r="H32" s="123">
        <v>13</v>
      </c>
      <c r="I32" s="123"/>
      <c r="J32" s="152"/>
      <c r="K32" s="123">
        <f t="shared" si="7"/>
        <v>0</v>
      </c>
      <c r="L32" s="123">
        <f t="shared" si="1"/>
        <v>0</v>
      </c>
      <c r="M32" s="123">
        <f t="shared" si="2"/>
        <v>0</v>
      </c>
      <c r="N32" s="123">
        <f t="shared" si="2"/>
        <v>0</v>
      </c>
      <c r="O32" s="123">
        <f t="shared" si="3"/>
        <v>280.8</v>
      </c>
      <c r="P32" s="123">
        <f t="shared" si="4"/>
        <v>0</v>
      </c>
      <c r="Q32" s="123">
        <f t="shared" si="5"/>
        <v>0</v>
      </c>
      <c r="R32" s="152">
        <f t="shared" si="6"/>
        <v>280.8</v>
      </c>
    </row>
    <row r="33" spans="1:18">
      <c r="A33" s="160">
        <v>29</v>
      </c>
      <c r="B33" s="146">
        <v>46110</v>
      </c>
      <c r="C33" s="147"/>
      <c r="D33" s="167"/>
      <c r="E33" s="161"/>
      <c r="F33" s="161"/>
      <c r="G33" s="161"/>
      <c r="H33" s="123">
        <v>13</v>
      </c>
      <c r="I33" s="123"/>
      <c r="J33" s="152"/>
      <c r="K33" s="123">
        <f t="shared" si="7"/>
        <v>0</v>
      </c>
      <c r="L33" s="123">
        <f t="shared" si="1"/>
        <v>0</v>
      </c>
      <c r="M33" s="123">
        <f t="shared" si="2"/>
        <v>0</v>
      </c>
      <c r="N33" s="123">
        <f t="shared" si="2"/>
        <v>0</v>
      </c>
      <c r="O33" s="123">
        <f t="shared" si="3"/>
        <v>280.8</v>
      </c>
      <c r="P33" s="123">
        <f t="shared" si="4"/>
        <v>0</v>
      </c>
      <c r="Q33" s="123">
        <f t="shared" si="5"/>
        <v>0</v>
      </c>
      <c r="R33" s="152">
        <f t="shared" si="6"/>
        <v>280.8</v>
      </c>
    </row>
    <row r="34" spans="1:18">
      <c r="A34" s="160">
        <v>30</v>
      </c>
      <c r="B34" s="146">
        <v>46111</v>
      </c>
      <c r="C34" s="147"/>
      <c r="D34" s="167"/>
      <c r="E34" s="161"/>
      <c r="F34" s="161"/>
      <c r="G34" s="161"/>
      <c r="H34" s="123">
        <v>13</v>
      </c>
      <c r="I34" s="123"/>
      <c r="J34" s="152"/>
      <c r="K34" s="123">
        <f t="shared" si="7"/>
        <v>0</v>
      </c>
      <c r="L34" s="123">
        <f t="shared" si="1"/>
        <v>0</v>
      </c>
      <c r="M34" s="123">
        <f t="shared" si="2"/>
        <v>0</v>
      </c>
      <c r="N34" s="123">
        <f t="shared" si="2"/>
        <v>0</v>
      </c>
      <c r="O34" s="123">
        <f t="shared" si="3"/>
        <v>280.8</v>
      </c>
      <c r="P34" s="123">
        <f t="shared" si="4"/>
        <v>0</v>
      </c>
      <c r="Q34" s="123">
        <f t="shared" si="5"/>
        <v>0</v>
      </c>
      <c r="R34" s="152">
        <f t="shared" si="6"/>
        <v>280.8</v>
      </c>
    </row>
    <row r="35" spans="1:18" ht="15.75" thickBot="1">
      <c r="A35" s="160"/>
      <c r="B35" s="146">
        <v>46112</v>
      </c>
      <c r="C35" s="147"/>
      <c r="D35" s="167"/>
      <c r="E35" s="161"/>
      <c r="F35" s="161"/>
      <c r="G35" s="161"/>
      <c r="H35" s="123">
        <v>13</v>
      </c>
      <c r="I35" s="123"/>
      <c r="J35" s="152"/>
      <c r="K35" s="123">
        <f t="shared" si="7"/>
        <v>0</v>
      </c>
      <c r="L35" s="123">
        <f t="shared" si="7"/>
        <v>0</v>
      </c>
      <c r="M35" s="123">
        <f t="shared" ref="M35:N35" si="8">F35*1000</f>
        <v>0</v>
      </c>
      <c r="N35" s="123">
        <f t="shared" si="8"/>
        <v>0</v>
      </c>
      <c r="O35" s="123">
        <f t="shared" si="3"/>
        <v>280.8</v>
      </c>
      <c r="P35" s="123">
        <f t="shared" si="4"/>
        <v>0</v>
      </c>
      <c r="Q35" s="123">
        <f t="shared" si="5"/>
        <v>0</v>
      </c>
      <c r="R35" s="152">
        <f t="shared" si="6"/>
        <v>280.8</v>
      </c>
    </row>
    <row r="36" spans="1:18" ht="15.75" thickBot="1">
      <c r="D36" s="154">
        <f>SUM(D5:D35)</f>
        <v>2</v>
      </c>
      <c r="E36" s="162">
        <f>SUM(E5:E35)</f>
        <v>0</v>
      </c>
      <c r="F36" s="162">
        <f>SUM(F5:F35)</f>
        <v>0</v>
      </c>
      <c r="G36" s="162"/>
      <c r="H36" s="163">
        <f>SUM(H5:H35)</f>
        <v>383</v>
      </c>
      <c r="I36" s="164"/>
      <c r="J36" s="162"/>
      <c r="K36" s="162">
        <f>SUM(K5:K35)</f>
        <v>336</v>
      </c>
      <c r="L36" s="162">
        <f t="shared" ref="L36:Q36" si="9">SUM(L5:L35)</f>
        <v>0</v>
      </c>
      <c r="M36" s="162">
        <f t="shared" si="9"/>
        <v>0</v>
      </c>
      <c r="N36" s="162">
        <f t="shared" si="9"/>
        <v>0</v>
      </c>
      <c r="O36" s="162">
        <f t="shared" si="9"/>
        <v>8272.8000000000011</v>
      </c>
      <c r="P36" s="162">
        <f t="shared" si="9"/>
        <v>0</v>
      </c>
      <c r="Q36" s="162">
        <f t="shared" si="9"/>
        <v>0</v>
      </c>
      <c r="R36" s="165">
        <f>SUM(R5:R35)</f>
        <v>8608.8000000000011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9C74-D949-4630-997C-C6A4D89C31A2}">
  <sheetPr codeName="Лист19"/>
  <dimension ref="A1:S39"/>
  <sheetViews>
    <sheetView zoomScaleNormal="100" workbookViewId="0">
      <selection activeCell="O27" sqref="O27"/>
    </sheetView>
  </sheetViews>
  <sheetFormatPr defaultRowHeight="15"/>
  <cols>
    <col min="1" max="1" width="12" style="47" bestFit="1" customWidth="1"/>
    <col min="2" max="11" width="9.140625" style="47"/>
    <col min="12" max="12" width="11.7109375" style="47" customWidth="1"/>
    <col min="13" max="13" width="9.140625" style="47"/>
    <col min="14" max="14" width="11.7109375" style="47" customWidth="1"/>
    <col min="15" max="16" width="9.140625" style="47"/>
    <col min="17" max="17" width="11.7109375" style="47" customWidth="1"/>
    <col min="18" max="18" width="11.28515625" style="47" customWidth="1"/>
    <col min="19" max="19" width="15" style="47" customWidth="1"/>
    <col min="20" max="16384" width="9.140625" style="47"/>
  </cols>
  <sheetData>
    <row r="1" spans="1:19">
      <c r="A1" s="168">
        <f>S39</f>
        <v>24151.199999999993</v>
      </c>
      <c r="C1" s="157"/>
      <c r="D1" s="157"/>
      <c r="E1" s="157"/>
      <c r="F1" s="157"/>
      <c r="G1" s="157"/>
      <c r="H1" s="179"/>
      <c r="I1" s="179"/>
      <c r="J1" s="157"/>
      <c r="K1" s="157"/>
      <c r="S1" s="168"/>
    </row>
    <row r="2" spans="1:19">
      <c r="C2" s="157"/>
      <c r="D2" s="157"/>
      <c r="E2" s="157"/>
      <c r="F2" s="157"/>
      <c r="G2" s="157"/>
      <c r="H2" s="179"/>
      <c r="I2" s="179"/>
      <c r="J2" s="157"/>
      <c r="K2" s="157"/>
      <c r="S2" s="168"/>
    </row>
    <row r="3" spans="1:19" ht="15.75" thickBot="1">
      <c r="C3" s="157"/>
      <c r="D3" s="157"/>
      <c r="E3" s="157"/>
      <c r="F3" s="157"/>
      <c r="G3" s="157"/>
      <c r="H3" s="179"/>
      <c r="I3" s="179"/>
      <c r="J3" s="157"/>
      <c r="K3" s="157"/>
      <c r="S3" s="168"/>
    </row>
    <row r="4" spans="1:19" ht="15.75" thickBot="1">
      <c r="A4" s="179" t="s">
        <v>157</v>
      </c>
      <c r="B4" s="169"/>
      <c r="C4" s="169"/>
      <c r="D4" s="169"/>
      <c r="E4" s="169"/>
      <c r="F4" s="169"/>
      <c r="G4" s="169"/>
      <c r="H4" s="180"/>
      <c r="I4" s="180"/>
      <c r="J4" s="157"/>
      <c r="K4" s="157"/>
      <c r="L4" s="181" t="s">
        <v>158</v>
      </c>
      <c r="M4" s="21"/>
      <c r="N4" s="21"/>
      <c r="O4" s="21"/>
      <c r="P4" s="21"/>
      <c r="Q4" s="21"/>
      <c r="R4" s="21"/>
      <c r="S4" s="22"/>
    </row>
    <row r="5" spans="1:19" ht="30">
      <c r="A5" s="23" t="s">
        <v>1</v>
      </c>
      <c r="B5" s="24"/>
      <c r="C5" s="25" t="s">
        <v>159</v>
      </c>
      <c r="D5" s="25" t="s">
        <v>160</v>
      </c>
      <c r="E5" s="25" t="s">
        <v>161</v>
      </c>
      <c r="F5" s="25" t="s">
        <v>162</v>
      </c>
      <c r="G5" s="25" t="s">
        <v>163</v>
      </c>
      <c r="H5" s="25"/>
      <c r="I5" s="25"/>
      <c r="J5" s="25" t="s">
        <v>164</v>
      </c>
      <c r="K5" s="26" t="s">
        <v>4</v>
      </c>
      <c r="L5" s="27" t="s">
        <v>165</v>
      </c>
      <c r="M5" s="25" t="s">
        <v>160</v>
      </c>
      <c r="N5" s="25" t="s">
        <v>161</v>
      </c>
      <c r="O5" s="25" t="s">
        <v>162</v>
      </c>
      <c r="P5" s="25" t="s">
        <v>166</v>
      </c>
      <c r="Q5" s="25" t="s">
        <v>8</v>
      </c>
      <c r="R5" s="25" t="s">
        <v>4</v>
      </c>
      <c r="S5" s="28" t="s">
        <v>18</v>
      </c>
    </row>
    <row r="6" spans="1:19" ht="15.75" thickBot="1">
      <c r="A6" s="29"/>
      <c r="B6" s="30"/>
      <c r="C6" s="31"/>
      <c r="D6" s="31"/>
      <c r="E6" s="31"/>
      <c r="F6" s="31"/>
      <c r="G6" s="31"/>
      <c r="H6" s="32"/>
      <c r="I6" s="32"/>
      <c r="J6" s="31"/>
      <c r="K6" s="33">
        <v>29</v>
      </c>
      <c r="L6" s="34"/>
      <c r="M6" s="31"/>
      <c r="N6" s="31"/>
      <c r="O6" s="31"/>
      <c r="P6" s="31"/>
      <c r="Q6" s="31"/>
      <c r="R6" s="31"/>
      <c r="S6" s="35"/>
    </row>
    <row r="7" spans="1:19">
      <c r="A7" s="182">
        <v>46082</v>
      </c>
      <c r="B7" s="36"/>
      <c r="C7" s="170"/>
      <c r="D7" s="170"/>
      <c r="E7" s="171"/>
      <c r="F7" s="171"/>
      <c r="G7" s="172"/>
      <c r="H7" s="172"/>
      <c r="I7" s="171"/>
      <c r="J7" s="171">
        <v>0</v>
      </c>
      <c r="K7" s="173">
        <v>29</v>
      </c>
      <c r="L7" s="37">
        <f t="shared" ref="L7:L37" si="0">C7*168</f>
        <v>0</v>
      </c>
      <c r="M7" s="37">
        <f t="shared" ref="M7:M37" si="1">D7*4</f>
        <v>0</v>
      </c>
      <c r="N7" s="37">
        <f t="shared" ref="N7:N37" si="2">E7*168</f>
        <v>0</v>
      </c>
      <c r="O7" s="37">
        <f t="shared" ref="O7:P37" si="3">F7*4</f>
        <v>0</v>
      </c>
      <c r="P7" s="37">
        <f t="shared" si="3"/>
        <v>0</v>
      </c>
      <c r="Q7" s="37">
        <f>J7*600</f>
        <v>0</v>
      </c>
      <c r="R7" s="37">
        <f>K7*21.6</f>
        <v>626.40000000000009</v>
      </c>
      <c r="S7" s="38">
        <f t="shared" ref="S7:S37" si="4">SUM(L7:R7)</f>
        <v>626.40000000000009</v>
      </c>
    </row>
    <row r="8" spans="1:19">
      <c r="A8" s="182">
        <v>46083</v>
      </c>
      <c r="B8" s="36"/>
      <c r="C8" s="173"/>
      <c r="D8" s="173"/>
      <c r="E8" s="124"/>
      <c r="F8" s="124"/>
      <c r="G8" s="174"/>
      <c r="H8" s="174"/>
      <c r="I8" s="124"/>
      <c r="J8" s="171">
        <v>0</v>
      </c>
      <c r="K8" s="173">
        <v>29</v>
      </c>
      <c r="L8" s="37">
        <f t="shared" si="0"/>
        <v>0</v>
      </c>
      <c r="M8" s="37">
        <f t="shared" si="1"/>
        <v>0</v>
      </c>
      <c r="N8" s="37">
        <f t="shared" si="2"/>
        <v>0</v>
      </c>
      <c r="O8" s="37">
        <f t="shared" si="3"/>
        <v>0</v>
      </c>
      <c r="P8" s="37">
        <f t="shared" si="3"/>
        <v>0</v>
      </c>
      <c r="Q8" s="37">
        <f t="shared" ref="Q8:Q37" si="5">J8*600</f>
        <v>0</v>
      </c>
      <c r="R8" s="37">
        <f t="shared" ref="R8:R37" si="6">K8*21.6</f>
        <v>626.40000000000009</v>
      </c>
      <c r="S8" s="39">
        <f t="shared" si="4"/>
        <v>626.40000000000009</v>
      </c>
    </row>
    <row r="9" spans="1:19">
      <c r="A9" s="182">
        <v>46084</v>
      </c>
      <c r="B9" s="36"/>
      <c r="C9" s="173"/>
      <c r="D9" s="173"/>
      <c r="E9" s="124"/>
      <c r="F9" s="124"/>
      <c r="G9" s="174"/>
      <c r="H9" s="174"/>
      <c r="I9" s="124"/>
      <c r="J9" s="171">
        <v>0</v>
      </c>
      <c r="K9" s="173">
        <v>29</v>
      </c>
      <c r="L9" s="37">
        <f t="shared" si="0"/>
        <v>0</v>
      </c>
      <c r="M9" s="37">
        <f t="shared" si="1"/>
        <v>0</v>
      </c>
      <c r="N9" s="37">
        <f t="shared" si="2"/>
        <v>0</v>
      </c>
      <c r="O9" s="37">
        <f t="shared" si="3"/>
        <v>0</v>
      </c>
      <c r="P9" s="37">
        <f t="shared" si="3"/>
        <v>0</v>
      </c>
      <c r="Q9" s="37">
        <f t="shared" si="5"/>
        <v>0</v>
      </c>
      <c r="R9" s="37">
        <f t="shared" si="6"/>
        <v>626.40000000000009</v>
      </c>
      <c r="S9" s="39">
        <f t="shared" si="4"/>
        <v>626.40000000000009</v>
      </c>
    </row>
    <row r="10" spans="1:19">
      <c r="A10" s="182">
        <v>46085</v>
      </c>
      <c r="B10" s="36"/>
      <c r="C10" s="173"/>
      <c r="D10" s="173"/>
      <c r="E10" s="124"/>
      <c r="F10" s="124"/>
      <c r="G10" s="174"/>
      <c r="H10" s="174"/>
      <c r="I10" s="124"/>
      <c r="J10" s="171">
        <v>0</v>
      </c>
      <c r="K10" s="173">
        <v>29</v>
      </c>
      <c r="L10" s="37">
        <f t="shared" si="0"/>
        <v>0</v>
      </c>
      <c r="M10" s="37">
        <f t="shared" si="1"/>
        <v>0</v>
      </c>
      <c r="N10" s="37">
        <f t="shared" si="2"/>
        <v>0</v>
      </c>
      <c r="O10" s="37">
        <f t="shared" si="3"/>
        <v>0</v>
      </c>
      <c r="P10" s="37">
        <f t="shared" si="3"/>
        <v>0</v>
      </c>
      <c r="Q10" s="37">
        <f t="shared" si="5"/>
        <v>0</v>
      </c>
      <c r="R10" s="37">
        <f t="shared" si="6"/>
        <v>626.40000000000009</v>
      </c>
      <c r="S10" s="39">
        <f t="shared" si="4"/>
        <v>626.40000000000009</v>
      </c>
    </row>
    <row r="11" spans="1:19">
      <c r="A11" s="182">
        <v>46086</v>
      </c>
      <c r="B11" s="36"/>
      <c r="C11" s="173"/>
      <c r="D11" s="173"/>
      <c r="E11" s="124"/>
      <c r="F11" s="124"/>
      <c r="G11" s="174"/>
      <c r="H11" s="174"/>
      <c r="I11" s="124"/>
      <c r="J11" s="171">
        <v>0</v>
      </c>
      <c r="K11" s="173">
        <v>29</v>
      </c>
      <c r="L11" s="37">
        <f t="shared" si="0"/>
        <v>0</v>
      </c>
      <c r="M11" s="37">
        <f t="shared" si="1"/>
        <v>0</v>
      </c>
      <c r="N11" s="37">
        <f t="shared" si="2"/>
        <v>0</v>
      </c>
      <c r="O11" s="37">
        <f t="shared" si="3"/>
        <v>0</v>
      </c>
      <c r="P11" s="37">
        <f t="shared" si="3"/>
        <v>0</v>
      </c>
      <c r="Q11" s="37">
        <f t="shared" si="5"/>
        <v>0</v>
      </c>
      <c r="R11" s="37">
        <f t="shared" si="6"/>
        <v>626.40000000000009</v>
      </c>
      <c r="S11" s="39">
        <f t="shared" si="4"/>
        <v>626.40000000000009</v>
      </c>
    </row>
    <row r="12" spans="1:19">
      <c r="A12" s="182">
        <v>46087</v>
      </c>
      <c r="B12" s="36"/>
      <c r="C12" s="173"/>
      <c r="D12" s="173"/>
      <c r="E12" s="124"/>
      <c r="F12" s="124"/>
      <c r="G12" s="174"/>
      <c r="H12" s="174"/>
      <c r="I12" s="124"/>
      <c r="J12" s="171">
        <v>0</v>
      </c>
      <c r="K12" s="173">
        <v>29</v>
      </c>
      <c r="L12" s="37">
        <f t="shared" si="0"/>
        <v>0</v>
      </c>
      <c r="M12" s="37">
        <f t="shared" si="1"/>
        <v>0</v>
      </c>
      <c r="N12" s="37">
        <f t="shared" si="2"/>
        <v>0</v>
      </c>
      <c r="O12" s="37">
        <f t="shared" si="3"/>
        <v>0</v>
      </c>
      <c r="P12" s="37">
        <f t="shared" si="3"/>
        <v>0</v>
      </c>
      <c r="Q12" s="37">
        <f t="shared" si="5"/>
        <v>0</v>
      </c>
      <c r="R12" s="37">
        <f t="shared" si="6"/>
        <v>626.40000000000009</v>
      </c>
      <c r="S12" s="39">
        <f t="shared" si="4"/>
        <v>626.40000000000009</v>
      </c>
    </row>
    <row r="13" spans="1:19">
      <c r="A13" s="182">
        <v>46088</v>
      </c>
      <c r="B13" s="36"/>
      <c r="C13" s="173"/>
      <c r="D13" s="173"/>
      <c r="E13" s="124"/>
      <c r="F13" s="124"/>
      <c r="G13" s="174"/>
      <c r="H13" s="174"/>
      <c r="I13" s="124"/>
      <c r="J13" s="171">
        <v>0</v>
      </c>
      <c r="K13" s="173">
        <v>29</v>
      </c>
      <c r="L13" s="37">
        <f t="shared" si="0"/>
        <v>0</v>
      </c>
      <c r="M13" s="37">
        <f t="shared" si="1"/>
        <v>0</v>
      </c>
      <c r="N13" s="37">
        <f t="shared" si="2"/>
        <v>0</v>
      </c>
      <c r="O13" s="37">
        <f t="shared" si="3"/>
        <v>0</v>
      </c>
      <c r="P13" s="37">
        <f t="shared" si="3"/>
        <v>0</v>
      </c>
      <c r="Q13" s="37">
        <f t="shared" si="5"/>
        <v>0</v>
      </c>
      <c r="R13" s="37">
        <f t="shared" si="6"/>
        <v>626.40000000000009</v>
      </c>
      <c r="S13" s="39">
        <f t="shared" si="4"/>
        <v>626.40000000000009</v>
      </c>
    </row>
    <row r="14" spans="1:19">
      <c r="A14" s="182">
        <v>46089</v>
      </c>
      <c r="B14" s="36"/>
      <c r="C14" s="173"/>
      <c r="D14" s="173"/>
      <c r="E14" s="124"/>
      <c r="F14" s="124"/>
      <c r="G14" s="174"/>
      <c r="H14" s="174"/>
      <c r="I14" s="124"/>
      <c r="J14" s="171">
        <v>0</v>
      </c>
      <c r="K14" s="173">
        <v>29</v>
      </c>
      <c r="L14" s="37">
        <f t="shared" si="0"/>
        <v>0</v>
      </c>
      <c r="M14" s="37">
        <f t="shared" si="1"/>
        <v>0</v>
      </c>
      <c r="N14" s="37">
        <f t="shared" si="2"/>
        <v>0</v>
      </c>
      <c r="O14" s="37">
        <f t="shared" si="3"/>
        <v>0</v>
      </c>
      <c r="P14" s="37">
        <f t="shared" si="3"/>
        <v>0</v>
      </c>
      <c r="Q14" s="37">
        <f t="shared" si="5"/>
        <v>0</v>
      </c>
      <c r="R14" s="37">
        <f t="shared" si="6"/>
        <v>626.40000000000009</v>
      </c>
      <c r="S14" s="39">
        <f t="shared" si="4"/>
        <v>626.40000000000009</v>
      </c>
    </row>
    <row r="15" spans="1:19">
      <c r="A15" s="182">
        <v>46090</v>
      </c>
      <c r="B15" s="36"/>
      <c r="C15" s="173"/>
      <c r="D15" s="173"/>
      <c r="E15" s="124"/>
      <c r="F15" s="124"/>
      <c r="G15" s="174"/>
      <c r="H15" s="174"/>
      <c r="I15" s="124"/>
      <c r="J15" s="171">
        <v>0</v>
      </c>
      <c r="K15" s="173">
        <v>29</v>
      </c>
      <c r="L15" s="37">
        <f t="shared" si="0"/>
        <v>0</v>
      </c>
      <c r="M15" s="37">
        <f t="shared" si="1"/>
        <v>0</v>
      </c>
      <c r="N15" s="37">
        <f t="shared" si="2"/>
        <v>0</v>
      </c>
      <c r="O15" s="37">
        <f t="shared" si="3"/>
        <v>0</v>
      </c>
      <c r="P15" s="37">
        <f t="shared" si="3"/>
        <v>0</v>
      </c>
      <c r="Q15" s="37">
        <f t="shared" si="5"/>
        <v>0</v>
      </c>
      <c r="R15" s="37">
        <f t="shared" si="6"/>
        <v>626.40000000000009</v>
      </c>
      <c r="S15" s="39">
        <f t="shared" si="4"/>
        <v>626.40000000000009</v>
      </c>
    </row>
    <row r="16" spans="1:19">
      <c r="A16" s="182">
        <v>46091</v>
      </c>
      <c r="B16" s="36"/>
      <c r="C16" s="173"/>
      <c r="D16" s="173"/>
      <c r="E16" s="124"/>
      <c r="F16" s="124"/>
      <c r="G16" s="174"/>
      <c r="H16" s="174"/>
      <c r="I16" s="124"/>
      <c r="J16" s="171">
        <v>0</v>
      </c>
      <c r="K16" s="173">
        <v>29</v>
      </c>
      <c r="L16" s="37">
        <f t="shared" si="0"/>
        <v>0</v>
      </c>
      <c r="M16" s="37">
        <f t="shared" si="1"/>
        <v>0</v>
      </c>
      <c r="N16" s="37">
        <f t="shared" si="2"/>
        <v>0</v>
      </c>
      <c r="O16" s="37">
        <f t="shared" si="3"/>
        <v>0</v>
      </c>
      <c r="P16" s="37">
        <f t="shared" si="3"/>
        <v>0</v>
      </c>
      <c r="Q16" s="37">
        <f t="shared" si="5"/>
        <v>0</v>
      </c>
      <c r="R16" s="37">
        <f t="shared" si="6"/>
        <v>626.40000000000009</v>
      </c>
      <c r="S16" s="39">
        <f t="shared" si="4"/>
        <v>626.40000000000009</v>
      </c>
    </row>
    <row r="17" spans="1:19">
      <c r="A17" s="182">
        <v>46092</v>
      </c>
      <c r="B17" s="36"/>
      <c r="C17" s="173"/>
      <c r="D17" s="173"/>
      <c r="E17" s="124"/>
      <c r="F17" s="124"/>
      <c r="G17" s="174"/>
      <c r="H17" s="174"/>
      <c r="I17" s="124"/>
      <c r="J17" s="171">
        <v>0</v>
      </c>
      <c r="K17" s="173">
        <v>29</v>
      </c>
      <c r="L17" s="37">
        <f t="shared" si="0"/>
        <v>0</v>
      </c>
      <c r="M17" s="37">
        <f t="shared" si="1"/>
        <v>0</v>
      </c>
      <c r="N17" s="37">
        <f t="shared" si="2"/>
        <v>0</v>
      </c>
      <c r="O17" s="37">
        <f t="shared" si="3"/>
        <v>0</v>
      </c>
      <c r="P17" s="37">
        <f t="shared" si="3"/>
        <v>0</v>
      </c>
      <c r="Q17" s="37">
        <f t="shared" si="5"/>
        <v>0</v>
      </c>
      <c r="R17" s="37">
        <f t="shared" si="6"/>
        <v>626.40000000000009</v>
      </c>
      <c r="S17" s="39">
        <f t="shared" si="4"/>
        <v>626.40000000000009</v>
      </c>
    </row>
    <row r="18" spans="1:19">
      <c r="A18" s="182">
        <v>46093</v>
      </c>
      <c r="B18" s="36"/>
      <c r="C18" s="175"/>
      <c r="D18" s="175"/>
      <c r="E18" s="176"/>
      <c r="F18" s="176"/>
      <c r="G18" s="177"/>
      <c r="H18" s="177"/>
      <c r="I18" s="176"/>
      <c r="J18" s="171">
        <v>0</v>
      </c>
      <c r="K18" s="173">
        <v>29</v>
      </c>
      <c r="L18" s="37">
        <f t="shared" si="0"/>
        <v>0</v>
      </c>
      <c r="M18" s="37">
        <f t="shared" si="1"/>
        <v>0</v>
      </c>
      <c r="N18" s="37">
        <f t="shared" si="2"/>
        <v>0</v>
      </c>
      <c r="O18" s="37">
        <f t="shared" si="3"/>
        <v>0</v>
      </c>
      <c r="P18" s="37">
        <f t="shared" si="3"/>
        <v>0</v>
      </c>
      <c r="Q18" s="37">
        <f t="shared" si="5"/>
        <v>0</v>
      </c>
      <c r="R18" s="37">
        <f t="shared" si="6"/>
        <v>626.40000000000009</v>
      </c>
      <c r="S18" s="39">
        <f t="shared" si="4"/>
        <v>626.40000000000009</v>
      </c>
    </row>
    <row r="19" spans="1:19">
      <c r="A19" s="182">
        <v>46094</v>
      </c>
      <c r="B19" s="36"/>
      <c r="C19" s="173"/>
      <c r="D19" s="173"/>
      <c r="E19" s="124"/>
      <c r="F19" s="124"/>
      <c r="G19" s="174"/>
      <c r="H19" s="174"/>
      <c r="I19" s="124"/>
      <c r="J19" s="171">
        <v>0</v>
      </c>
      <c r="K19" s="173">
        <v>29</v>
      </c>
      <c r="L19" s="37">
        <f t="shared" si="0"/>
        <v>0</v>
      </c>
      <c r="M19" s="37">
        <f t="shared" si="1"/>
        <v>0</v>
      </c>
      <c r="N19" s="37">
        <f t="shared" si="2"/>
        <v>0</v>
      </c>
      <c r="O19" s="37">
        <f t="shared" si="3"/>
        <v>0</v>
      </c>
      <c r="P19" s="37">
        <f t="shared" si="3"/>
        <v>0</v>
      </c>
      <c r="Q19" s="37">
        <f t="shared" si="5"/>
        <v>0</v>
      </c>
      <c r="R19" s="37">
        <f t="shared" si="6"/>
        <v>626.40000000000009</v>
      </c>
      <c r="S19" s="39">
        <f t="shared" si="4"/>
        <v>626.40000000000009</v>
      </c>
    </row>
    <row r="20" spans="1:19">
      <c r="A20" s="182">
        <v>46095</v>
      </c>
      <c r="B20" s="36"/>
      <c r="C20" s="173"/>
      <c r="D20" s="173"/>
      <c r="E20" s="124"/>
      <c r="F20" s="124"/>
      <c r="G20" s="174"/>
      <c r="H20" s="174"/>
      <c r="I20" s="124"/>
      <c r="J20" s="171">
        <v>0</v>
      </c>
      <c r="K20" s="173">
        <v>29</v>
      </c>
      <c r="L20" s="37">
        <f t="shared" si="0"/>
        <v>0</v>
      </c>
      <c r="M20" s="37">
        <f t="shared" si="1"/>
        <v>0</v>
      </c>
      <c r="N20" s="37">
        <f t="shared" si="2"/>
        <v>0</v>
      </c>
      <c r="O20" s="37">
        <f t="shared" si="3"/>
        <v>0</v>
      </c>
      <c r="P20" s="37">
        <f t="shared" si="3"/>
        <v>0</v>
      </c>
      <c r="Q20" s="37">
        <f t="shared" si="5"/>
        <v>0</v>
      </c>
      <c r="R20" s="37">
        <f t="shared" si="6"/>
        <v>626.40000000000009</v>
      </c>
      <c r="S20" s="39">
        <f t="shared" si="4"/>
        <v>626.40000000000009</v>
      </c>
    </row>
    <row r="21" spans="1:19">
      <c r="A21" s="182">
        <v>46096</v>
      </c>
      <c r="B21" s="36"/>
      <c r="C21" s="173"/>
      <c r="D21" s="173"/>
      <c r="E21" s="124"/>
      <c r="F21" s="124"/>
      <c r="G21" s="174"/>
      <c r="H21" s="174"/>
      <c r="I21" s="124"/>
      <c r="J21" s="171">
        <v>0</v>
      </c>
      <c r="K21" s="173">
        <v>29</v>
      </c>
      <c r="L21" s="37">
        <f t="shared" si="0"/>
        <v>0</v>
      </c>
      <c r="M21" s="37">
        <f t="shared" si="1"/>
        <v>0</v>
      </c>
      <c r="N21" s="37">
        <f t="shared" si="2"/>
        <v>0</v>
      </c>
      <c r="O21" s="37">
        <f t="shared" si="3"/>
        <v>0</v>
      </c>
      <c r="P21" s="37">
        <f t="shared" si="3"/>
        <v>0</v>
      </c>
      <c r="Q21" s="37">
        <f t="shared" si="5"/>
        <v>0</v>
      </c>
      <c r="R21" s="37">
        <f t="shared" si="6"/>
        <v>626.40000000000009</v>
      </c>
      <c r="S21" s="39">
        <f t="shared" si="4"/>
        <v>626.40000000000009</v>
      </c>
    </row>
    <row r="22" spans="1:19">
      <c r="A22" s="182">
        <v>46097</v>
      </c>
      <c r="B22" s="36"/>
      <c r="C22" s="173"/>
      <c r="D22" s="173"/>
      <c r="E22" s="124"/>
      <c r="F22" s="124"/>
      <c r="G22" s="174"/>
      <c r="H22" s="174"/>
      <c r="I22" s="124"/>
      <c r="J22" s="171">
        <v>0</v>
      </c>
      <c r="K22" s="173">
        <v>29</v>
      </c>
      <c r="L22" s="37">
        <f t="shared" si="0"/>
        <v>0</v>
      </c>
      <c r="M22" s="37">
        <f t="shared" si="1"/>
        <v>0</v>
      </c>
      <c r="N22" s="37">
        <f t="shared" si="2"/>
        <v>0</v>
      </c>
      <c r="O22" s="37">
        <f t="shared" si="3"/>
        <v>0</v>
      </c>
      <c r="P22" s="37">
        <f t="shared" si="3"/>
        <v>0</v>
      </c>
      <c r="Q22" s="37">
        <f t="shared" si="5"/>
        <v>0</v>
      </c>
      <c r="R22" s="37">
        <f t="shared" si="6"/>
        <v>626.40000000000009</v>
      </c>
      <c r="S22" s="39">
        <f t="shared" si="4"/>
        <v>626.40000000000009</v>
      </c>
    </row>
    <row r="23" spans="1:19">
      <c r="A23" s="182">
        <v>46098</v>
      </c>
      <c r="B23" s="36"/>
      <c r="C23" s="173"/>
      <c r="D23" s="173"/>
      <c r="E23" s="124"/>
      <c r="F23" s="124"/>
      <c r="G23" s="174"/>
      <c r="H23" s="174"/>
      <c r="I23" s="124"/>
      <c r="J23" s="171">
        <v>0</v>
      </c>
      <c r="K23" s="173">
        <v>29</v>
      </c>
      <c r="L23" s="37">
        <f t="shared" si="0"/>
        <v>0</v>
      </c>
      <c r="M23" s="37">
        <f t="shared" si="1"/>
        <v>0</v>
      </c>
      <c r="N23" s="37">
        <f t="shared" si="2"/>
        <v>0</v>
      </c>
      <c r="O23" s="37">
        <f t="shared" si="3"/>
        <v>0</v>
      </c>
      <c r="P23" s="37">
        <f t="shared" si="3"/>
        <v>0</v>
      </c>
      <c r="Q23" s="37">
        <f t="shared" si="5"/>
        <v>0</v>
      </c>
      <c r="R23" s="37">
        <f t="shared" si="6"/>
        <v>626.40000000000009</v>
      </c>
      <c r="S23" s="39">
        <f t="shared" si="4"/>
        <v>626.40000000000009</v>
      </c>
    </row>
    <row r="24" spans="1:19">
      <c r="A24" s="182">
        <v>46099</v>
      </c>
      <c r="B24" s="36"/>
      <c r="C24" s="173"/>
      <c r="D24" s="173"/>
      <c r="E24" s="124"/>
      <c r="F24" s="124"/>
      <c r="G24" s="174"/>
      <c r="H24" s="174"/>
      <c r="I24" s="124"/>
      <c r="J24" s="171">
        <v>0</v>
      </c>
      <c r="K24" s="173">
        <v>29</v>
      </c>
      <c r="L24" s="37">
        <f t="shared" si="0"/>
        <v>0</v>
      </c>
      <c r="M24" s="37">
        <f t="shared" si="1"/>
        <v>0</v>
      </c>
      <c r="N24" s="37">
        <f t="shared" si="2"/>
        <v>0</v>
      </c>
      <c r="O24" s="37">
        <f t="shared" si="3"/>
        <v>0</v>
      </c>
      <c r="P24" s="37">
        <f t="shared" si="3"/>
        <v>0</v>
      </c>
      <c r="Q24" s="37">
        <f t="shared" si="5"/>
        <v>0</v>
      </c>
      <c r="R24" s="37">
        <f t="shared" si="6"/>
        <v>626.40000000000009</v>
      </c>
      <c r="S24" s="39">
        <f t="shared" si="4"/>
        <v>626.40000000000009</v>
      </c>
    </row>
    <row r="25" spans="1:19">
      <c r="A25" s="182">
        <v>46100</v>
      </c>
      <c r="B25" s="36"/>
      <c r="C25" s="173"/>
      <c r="D25" s="173"/>
      <c r="E25" s="124"/>
      <c r="F25" s="124"/>
      <c r="G25" s="174"/>
      <c r="H25" s="174"/>
      <c r="I25" s="124"/>
      <c r="J25" s="171">
        <v>0</v>
      </c>
      <c r="K25" s="173">
        <v>29</v>
      </c>
      <c r="L25" s="37">
        <f t="shared" si="0"/>
        <v>0</v>
      </c>
      <c r="M25" s="37">
        <f t="shared" si="1"/>
        <v>0</v>
      </c>
      <c r="N25" s="37">
        <f t="shared" si="2"/>
        <v>0</v>
      </c>
      <c r="O25" s="37">
        <f t="shared" si="3"/>
        <v>0</v>
      </c>
      <c r="P25" s="37">
        <f t="shared" si="3"/>
        <v>0</v>
      </c>
      <c r="Q25" s="37">
        <f t="shared" si="5"/>
        <v>0</v>
      </c>
      <c r="R25" s="37">
        <f t="shared" si="6"/>
        <v>626.40000000000009</v>
      </c>
      <c r="S25" s="39">
        <f t="shared" si="4"/>
        <v>626.40000000000009</v>
      </c>
    </row>
    <row r="26" spans="1:19">
      <c r="A26" s="182">
        <v>46101</v>
      </c>
      <c r="B26" s="36"/>
      <c r="C26" s="173">
        <v>11</v>
      </c>
      <c r="D26" s="173"/>
      <c r="E26" s="124"/>
      <c r="F26" s="124"/>
      <c r="G26" s="174"/>
      <c r="H26" s="174"/>
      <c r="I26" s="124"/>
      <c r="J26" s="171">
        <v>0</v>
      </c>
      <c r="K26" s="173">
        <v>40</v>
      </c>
      <c r="L26" s="37">
        <f t="shared" si="0"/>
        <v>1848</v>
      </c>
      <c r="M26" s="37">
        <f t="shared" si="1"/>
        <v>0</v>
      </c>
      <c r="N26" s="37">
        <f t="shared" si="2"/>
        <v>0</v>
      </c>
      <c r="O26" s="37">
        <f t="shared" si="3"/>
        <v>0</v>
      </c>
      <c r="P26" s="37">
        <f t="shared" si="3"/>
        <v>0</v>
      </c>
      <c r="Q26" s="37">
        <f t="shared" si="5"/>
        <v>0</v>
      </c>
      <c r="R26" s="37">
        <f t="shared" si="6"/>
        <v>864</v>
      </c>
      <c r="S26" s="39">
        <f t="shared" si="4"/>
        <v>2712</v>
      </c>
    </row>
    <row r="27" spans="1:19">
      <c r="A27" s="182">
        <v>46102</v>
      </c>
      <c r="B27" s="36"/>
      <c r="C27" s="173"/>
      <c r="D27" s="173"/>
      <c r="E27" s="124"/>
      <c r="F27" s="124"/>
      <c r="G27" s="174"/>
      <c r="H27" s="174"/>
      <c r="I27" s="124"/>
      <c r="J27" s="171">
        <v>0</v>
      </c>
      <c r="K27" s="173">
        <v>40</v>
      </c>
      <c r="L27" s="37">
        <f t="shared" si="0"/>
        <v>0</v>
      </c>
      <c r="M27" s="37">
        <f t="shared" si="1"/>
        <v>0</v>
      </c>
      <c r="N27" s="37">
        <f t="shared" si="2"/>
        <v>0</v>
      </c>
      <c r="O27" s="37">
        <f t="shared" si="3"/>
        <v>0</v>
      </c>
      <c r="P27" s="37">
        <f t="shared" si="3"/>
        <v>0</v>
      </c>
      <c r="Q27" s="37">
        <f t="shared" si="5"/>
        <v>0</v>
      </c>
      <c r="R27" s="37">
        <f t="shared" si="6"/>
        <v>864</v>
      </c>
      <c r="S27" s="39">
        <f t="shared" si="4"/>
        <v>864</v>
      </c>
    </row>
    <row r="28" spans="1:19">
      <c r="A28" s="182">
        <v>46103</v>
      </c>
      <c r="B28" s="36"/>
      <c r="C28" s="173"/>
      <c r="D28" s="173"/>
      <c r="E28" s="124"/>
      <c r="F28" s="124"/>
      <c r="G28" s="174"/>
      <c r="H28" s="174"/>
      <c r="I28" s="124"/>
      <c r="J28" s="171">
        <v>0</v>
      </c>
      <c r="K28" s="173">
        <v>40</v>
      </c>
      <c r="L28" s="37">
        <f t="shared" si="0"/>
        <v>0</v>
      </c>
      <c r="M28" s="37">
        <f t="shared" si="1"/>
        <v>0</v>
      </c>
      <c r="N28" s="37">
        <f t="shared" si="2"/>
        <v>0</v>
      </c>
      <c r="O28" s="37">
        <f t="shared" si="3"/>
        <v>0</v>
      </c>
      <c r="P28" s="37">
        <f t="shared" si="3"/>
        <v>0</v>
      </c>
      <c r="Q28" s="37">
        <f t="shared" si="5"/>
        <v>0</v>
      </c>
      <c r="R28" s="37">
        <f t="shared" si="6"/>
        <v>864</v>
      </c>
      <c r="S28" s="39">
        <f t="shared" si="4"/>
        <v>864</v>
      </c>
    </row>
    <row r="29" spans="1:19">
      <c r="A29" s="182">
        <v>46104</v>
      </c>
      <c r="B29" s="36"/>
      <c r="C29" s="58"/>
      <c r="D29" s="58"/>
      <c r="E29" s="58"/>
      <c r="F29" s="58"/>
      <c r="G29" s="58"/>
      <c r="H29" s="58"/>
      <c r="I29" s="58"/>
      <c r="J29" s="171">
        <v>0</v>
      </c>
      <c r="K29" s="173">
        <v>40</v>
      </c>
      <c r="L29" s="37">
        <f t="shared" si="0"/>
        <v>0</v>
      </c>
      <c r="M29" s="37">
        <f t="shared" si="1"/>
        <v>0</v>
      </c>
      <c r="N29" s="37">
        <f t="shared" si="2"/>
        <v>0</v>
      </c>
      <c r="O29" s="37">
        <f t="shared" si="3"/>
        <v>0</v>
      </c>
      <c r="P29" s="37">
        <f t="shared" si="3"/>
        <v>0</v>
      </c>
      <c r="Q29" s="37">
        <f t="shared" si="5"/>
        <v>0</v>
      </c>
      <c r="R29" s="37">
        <f t="shared" si="6"/>
        <v>864</v>
      </c>
      <c r="S29" s="39">
        <f t="shared" si="4"/>
        <v>864</v>
      </c>
    </row>
    <row r="30" spans="1:19">
      <c r="A30" s="182">
        <v>46105</v>
      </c>
      <c r="B30" s="36"/>
      <c r="C30" s="173"/>
      <c r="D30" s="173"/>
      <c r="E30" s="124">
        <v>2</v>
      </c>
      <c r="F30" s="124"/>
      <c r="G30" s="174"/>
      <c r="H30" s="174"/>
      <c r="I30" s="124"/>
      <c r="J30" s="171">
        <v>0</v>
      </c>
      <c r="K30" s="173">
        <v>40</v>
      </c>
      <c r="L30" s="37">
        <f t="shared" si="0"/>
        <v>0</v>
      </c>
      <c r="M30" s="37">
        <f t="shared" si="1"/>
        <v>0</v>
      </c>
      <c r="N30" s="37">
        <f t="shared" si="2"/>
        <v>336</v>
      </c>
      <c r="O30" s="37">
        <f t="shared" si="3"/>
        <v>0</v>
      </c>
      <c r="P30" s="37">
        <f t="shared" si="3"/>
        <v>0</v>
      </c>
      <c r="Q30" s="37">
        <f t="shared" si="5"/>
        <v>0</v>
      </c>
      <c r="R30" s="37">
        <f t="shared" si="6"/>
        <v>864</v>
      </c>
      <c r="S30" s="39">
        <f t="shared" si="4"/>
        <v>1200</v>
      </c>
    </row>
    <row r="31" spans="1:19">
      <c r="A31" s="182">
        <v>46106</v>
      </c>
      <c r="B31" s="36"/>
      <c r="C31" s="173"/>
      <c r="D31" s="173"/>
      <c r="E31" s="124"/>
      <c r="F31" s="124"/>
      <c r="G31" s="174"/>
      <c r="H31" s="174"/>
      <c r="I31" s="124"/>
      <c r="J31" s="171">
        <v>0</v>
      </c>
      <c r="K31" s="173">
        <v>38</v>
      </c>
      <c r="L31" s="37">
        <f t="shared" si="0"/>
        <v>0</v>
      </c>
      <c r="M31" s="37">
        <f t="shared" si="1"/>
        <v>0</v>
      </c>
      <c r="N31" s="37">
        <f t="shared" si="2"/>
        <v>0</v>
      </c>
      <c r="O31" s="37">
        <f t="shared" si="3"/>
        <v>0</v>
      </c>
      <c r="P31" s="37">
        <f t="shared" si="3"/>
        <v>0</v>
      </c>
      <c r="Q31" s="37">
        <f t="shared" si="5"/>
        <v>0</v>
      </c>
      <c r="R31" s="37">
        <f t="shared" si="6"/>
        <v>820.80000000000007</v>
      </c>
      <c r="S31" s="39">
        <f t="shared" si="4"/>
        <v>820.80000000000007</v>
      </c>
    </row>
    <row r="32" spans="1:19">
      <c r="A32" s="182">
        <v>46107</v>
      </c>
      <c r="B32" s="36"/>
      <c r="C32" s="173"/>
      <c r="D32" s="173"/>
      <c r="E32" s="124"/>
      <c r="F32" s="124"/>
      <c r="G32" s="174"/>
      <c r="H32" s="174"/>
      <c r="I32" s="124"/>
      <c r="J32" s="171">
        <v>0</v>
      </c>
      <c r="K32" s="173">
        <v>38</v>
      </c>
      <c r="L32" s="37">
        <f t="shared" si="0"/>
        <v>0</v>
      </c>
      <c r="M32" s="37">
        <f t="shared" si="1"/>
        <v>0</v>
      </c>
      <c r="N32" s="37">
        <f t="shared" si="2"/>
        <v>0</v>
      </c>
      <c r="O32" s="37">
        <f t="shared" si="3"/>
        <v>0</v>
      </c>
      <c r="P32" s="37">
        <f t="shared" si="3"/>
        <v>0</v>
      </c>
      <c r="Q32" s="37">
        <f t="shared" si="5"/>
        <v>0</v>
      </c>
      <c r="R32" s="37">
        <f t="shared" si="6"/>
        <v>820.80000000000007</v>
      </c>
      <c r="S32" s="39">
        <f t="shared" si="4"/>
        <v>820.80000000000007</v>
      </c>
    </row>
    <row r="33" spans="1:19">
      <c r="A33" s="182">
        <v>46108</v>
      </c>
      <c r="B33" s="36"/>
      <c r="C33" s="173"/>
      <c r="D33" s="173"/>
      <c r="E33" s="124"/>
      <c r="F33" s="124"/>
      <c r="G33" s="174"/>
      <c r="H33" s="174"/>
      <c r="I33" s="124"/>
      <c r="J33" s="171">
        <v>0</v>
      </c>
      <c r="K33" s="173">
        <v>38</v>
      </c>
      <c r="L33" s="37">
        <f t="shared" si="0"/>
        <v>0</v>
      </c>
      <c r="M33" s="37">
        <f t="shared" si="1"/>
        <v>0</v>
      </c>
      <c r="N33" s="37">
        <f t="shared" si="2"/>
        <v>0</v>
      </c>
      <c r="O33" s="37">
        <f t="shared" si="3"/>
        <v>0</v>
      </c>
      <c r="P33" s="37">
        <f t="shared" si="3"/>
        <v>0</v>
      </c>
      <c r="Q33" s="37">
        <f t="shared" si="5"/>
        <v>0</v>
      </c>
      <c r="R33" s="37">
        <f t="shared" si="6"/>
        <v>820.80000000000007</v>
      </c>
      <c r="S33" s="39">
        <f t="shared" si="4"/>
        <v>820.80000000000007</v>
      </c>
    </row>
    <row r="34" spans="1:19">
      <c r="A34" s="182">
        <v>46109</v>
      </c>
      <c r="B34" s="36"/>
      <c r="C34" s="173"/>
      <c r="D34" s="173"/>
      <c r="E34" s="124"/>
      <c r="F34" s="124"/>
      <c r="G34" s="124"/>
      <c r="H34" s="174"/>
      <c r="I34" s="124"/>
      <c r="J34" s="171">
        <v>0</v>
      </c>
      <c r="K34" s="173">
        <v>38</v>
      </c>
      <c r="L34" s="37">
        <f t="shared" si="0"/>
        <v>0</v>
      </c>
      <c r="M34" s="37">
        <f t="shared" si="1"/>
        <v>0</v>
      </c>
      <c r="N34" s="37">
        <f t="shared" si="2"/>
        <v>0</v>
      </c>
      <c r="O34" s="37">
        <f t="shared" si="3"/>
        <v>0</v>
      </c>
      <c r="P34" s="37">
        <f t="shared" si="3"/>
        <v>0</v>
      </c>
      <c r="Q34" s="37">
        <f t="shared" si="5"/>
        <v>0</v>
      </c>
      <c r="R34" s="37">
        <f t="shared" si="6"/>
        <v>820.80000000000007</v>
      </c>
      <c r="S34" s="39">
        <f t="shared" si="4"/>
        <v>820.80000000000007</v>
      </c>
    </row>
    <row r="35" spans="1:19">
      <c r="A35" s="182">
        <v>46110</v>
      </c>
      <c r="B35" s="36"/>
      <c r="C35" s="173"/>
      <c r="D35" s="173"/>
      <c r="E35" s="124"/>
      <c r="F35" s="124"/>
      <c r="G35" s="124"/>
      <c r="H35" s="174"/>
      <c r="I35" s="124"/>
      <c r="J35" s="171"/>
      <c r="K35" s="173">
        <v>38</v>
      </c>
      <c r="L35" s="37">
        <f t="shared" si="0"/>
        <v>0</v>
      </c>
      <c r="M35" s="37">
        <f t="shared" si="1"/>
        <v>0</v>
      </c>
      <c r="N35" s="37">
        <f t="shared" si="2"/>
        <v>0</v>
      </c>
      <c r="O35" s="37">
        <f t="shared" si="3"/>
        <v>0</v>
      </c>
      <c r="P35" s="37">
        <f t="shared" si="3"/>
        <v>0</v>
      </c>
      <c r="Q35" s="37">
        <f t="shared" si="5"/>
        <v>0</v>
      </c>
      <c r="R35" s="37">
        <f t="shared" si="6"/>
        <v>820.80000000000007</v>
      </c>
      <c r="S35" s="39">
        <f t="shared" si="4"/>
        <v>820.80000000000007</v>
      </c>
    </row>
    <row r="36" spans="1:19">
      <c r="A36" s="182">
        <v>46111</v>
      </c>
      <c r="B36" s="36"/>
      <c r="C36" s="173"/>
      <c r="D36" s="173"/>
      <c r="E36" s="124"/>
      <c r="F36" s="124"/>
      <c r="G36" s="124"/>
      <c r="H36" s="174"/>
      <c r="I36" s="124"/>
      <c r="J36" s="171"/>
      <c r="K36" s="173">
        <v>38</v>
      </c>
      <c r="L36" s="37">
        <f t="shared" si="0"/>
        <v>0</v>
      </c>
      <c r="M36" s="37">
        <f t="shared" si="1"/>
        <v>0</v>
      </c>
      <c r="N36" s="37">
        <f t="shared" si="2"/>
        <v>0</v>
      </c>
      <c r="O36" s="37">
        <f t="shared" si="3"/>
        <v>0</v>
      </c>
      <c r="P36" s="37">
        <f t="shared" si="3"/>
        <v>0</v>
      </c>
      <c r="Q36" s="37">
        <f t="shared" si="5"/>
        <v>0</v>
      </c>
      <c r="R36" s="37">
        <f t="shared" si="6"/>
        <v>820.80000000000007</v>
      </c>
      <c r="S36" s="39">
        <f t="shared" si="4"/>
        <v>820.80000000000007</v>
      </c>
    </row>
    <row r="37" spans="1:19" ht="15.75" thickBot="1">
      <c r="A37" s="182">
        <v>46112</v>
      </c>
      <c r="B37" s="36"/>
      <c r="C37" s="173"/>
      <c r="D37" s="173"/>
      <c r="E37" s="124"/>
      <c r="F37" s="124"/>
      <c r="G37" s="124"/>
      <c r="H37" s="174"/>
      <c r="I37" s="124"/>
      <c r="J37" s="171"/>
      <c r="K37" s="173">
        <v>38</v>
      </c>
      <c r="L37" s="37">
        <f t="shared" si="0"/>
        <v>0</v>
      </c>
      <c r="M37" s="37">
        <f t="shared" si="1"/>
        <v>0</v>
      </c>
      <c r="N37" s="37">
        <f t="shared" si="2"/>
        <v>0</v>
      </c>
      <c r="O37" s="37">
        <f t="shared" si="3"/>
        <v>0</v>
      </c>
      <c r="P37" s="37">
        <f t="shared" si="3"/>
        <v>0</v>
      </c>
      <c r="Q37" s="37">
        <f t="shared" si="5"/>
        <v>0</v>
      </c>
      <c r="R37" s="37">
        <f t="shared" si="6"/>
        <v>820.80000000000007</v>
      </c>
      <c r="S37" s="39">
        <f t="shared" si="4"/>
        <v>820.80000000000007</v>
      </c>
    </row>
    <row r="38" spans="1:19" ht="15.75" thickBot="1">
      <c r="A38" s="183" t="s">
        <v>26</v>
      </c>
      <c r="B38" s="40"/>
      <c r="C38" s="41">
        <f t="shared" ref="C38:K38" si="7">SUM(C7:C37)</f>
        <v>11</v>
      </c>
      <c r="D38" s="41">
        <f t="shared" si="7"/>
        <v>0</v>
      </c>
      <c r="E38" s="41">
        <f t="shared" si="7"/>
        <v>2</v>
      </c>
      <c r="F38" s="41">
        <f t="shared" si="7"/>
        <v>0</v>
      </c>
      <c r="G38" s="41">
        <f t="shared" si="7"/>
        <v>0</v>
      </c>
      <c r="H38" s="41">
        <f t="shared" si="7"/>
        <v>0</v>
      </c>
      <c r="I38" s="41">
        <f t="shared" si="7"/>
        <v>0</v>
      </c>
      <c r="J38" s="41">
        <f t="shared" si="7"/>
        <v>0</v>
      </c>
      <c r="K38" s="41">
        <f t="shared" si="7"/>
        <v>1017</v>
      </c>
      <c r="L38" s="42">
        <f>SUM(L7:L37)</f>
        <v>1848</v>
      </c>
      <c r="M38" s="42">
        <f t="shared" ref="M38:R38" si="8">SUM(M7:M37)</f>
        <v>0</v>
      </c>
      <c r="N38" s="42">
        <f t="shared" si="8"/>
        <v>336</v>
      </c>
      <c r="O38" s="42">
        <f t="shared" si="8"/>
        <v>0</v>
      </c>
      <c r="P38" s="42">
        <f t="shared" si="8"/>
        <v>0</v>
      </c>
      <c r="Q38" s="42">
        <f t="shared" si="8"/>
        <v>0</v>
      </c>
      <c r="R38" s="43">
        <f t="shared" si="8"/>
        <v>21967.199999999993</v>
      </c>
      <c r="S38" s="44">
        <f>SUM(S7:S37)</f>
        <v>24151.199999999993</v>
      </c>
    </row>
    <row r="39" spans="1:19">
      <c r="C39" s="157"/>
      <c r="D39" s="157"/>
      <c r="E39" s="157"/>
      <c r="F39" s="157"/>
      <c r="G39" s="157"/>
      <c r="H39" s="157"/>
      <c r="I39" s="157"/>
      <c r="J39" s="157"/>
      <c r="K39" s="157"/>
      <c r="R39" s="178" t="s">
        <v>26</v>
      </c>
      <c r="S39" s="184">
        <f>S38</f>
        <v>24151.199999999993</v>
      </c>
    </row>
  </sheetData>
  <mergeCells count="55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S5:S6"/>
    <mergeCell ref="A7:B7"/>
    <mergeCell ref="H5:H6"/>
    <mergeCell ref="I5:I6"/>
    <mergeCell ref="J5:J6"/>
    <mergeCell ref="L5:L6"/>
    <mergeCell ref="M5:M6"/>
    <mergeCell ref="N5:N6"/>
    <mergeCell ref="A5:B6"/>
    <mergeCell ref="C5:C6"/>
    <mergeCell ref="D5:D6"/>
    <mergeCell ref="E5:E6"/>
    <mergeCell ref="F5:F6"/>
    <mergeCell ref="G5:G6"/>
    <mergeCell ref="H1:I1"/>
    <mergeCell ref="H2:I2"/>
    <mergeCell ref="H3:I3"/>
    <mergeCell ref="A4:G4"/>
    <mergeCell ref="H4:I4"/>
    <mergeCell ref="L4:S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1952-614F-4CA7-9D1F-5CF434552E18}">
  <sheetPr codeName="Лист20"/>
  <dimension ref="A1:K36"/>
  <sheetViews>
    <sheetView workbookViewId="0">
      <selection activeCell="G7" sqref="G7:G35"/>
    </sheetView>
  </sheetViews>
  <sheetFormatPr defaultRowHeight="15"/>
  <cols>
    <col min="1" max="4" width="9.140625" style="47"/>
    <col min="5" max="5" width="12.85546875" style="47" customWidth="1"/>
    <col min="6" max="10" width="9.140625" style="47"/>
    <col min="11" max="11" width="10.85546875" style="47" customWidth="1"/>
    <col min="12" max="16384" width="9.140625" style="47"/>
  </cols>
  <sheetData>
    <row r="1" spans="1:11">
      <c r="A1" s="185">
        <f>K36</f>
        <v>24355</v>
      </c>
    </row>
    <row r="2" spans="1:11">
      <c r="A2" s="76" t="s">
        <v>167</v>
      </c>
      <c r="B2" s="76"/>
      <c r="C2" s="76"/>
      <c r="D2" s="76"/>
      <c r="E2" s="76"/>
      <c r="F2" s="76"/>
      <c r="G2" s="76"/>
      <c r="H2" s="76"/>
    </row>
    <row r="3" spans="1:11" ht="28.9" customHeight="1">
      <c r="A3" s="49" t="s">
        <v>0</v>
      </c>
      <c r="B3" s="50" t="s">
        <v>1</v>
      </c>
      <c r="C3" s="51"/>
      <c r="D3" s="49" t="s">
        <v>146</v>
      </c>
      <c r="E3" s="186" t="s">
        <v>168</v>
      </c>
      <c r="F3" s="187"/>
      <c r="G3" s="52" t="s">
        <v>4</v>
      </c>
      <c r="H3" s="49" t="s">
        <v>11</v>
      </c>
      <c r="I3" s="49" t="s">
        <v>169</v>
      </c>
      <c r="J3" s="49" t="s">
        <v>13</v>
      </c>
      <c r="K3" s="49" t="s">
        <v>18</v>
      </c>
    </row>
    <row r="4" spans="1:11" ht="30">
      <c r="A4" s="53"/>
      <c r="B4" s="54"/>
      <c r="C4" s="55"/>
      <c r="D4" s="53"/>
      <c r="E4" s="188" t="s">
        <v>170</v>
      </c>
      <c r="F4" s="188" t="s">
        <v>171</v>
      </c>
      <c r="G4" s="56" t="s">
        <v>156</v>
      </c>
      <c r="H4" s="53"/>
      <c r="I4" s="53"/>
      <c r="J4" s="53"/>
      <c r="K4" s="53"/>
    </row>
    <row r="5" spans="1:11">
      <c r="A5" s="58">
        <v>1</v>
      </c>
      <c r="B5" s="77">
        <v>46082</v>
      </c>
      <c r="C5" s="78"/>
      <c r="D5" s="166"/>
      <c r="E5" s="123"/>
      <c r="F5" s="123"/>
      <c r="G5" s="190">
        <v>55</v>
      </c>
      <c r="H5" s="123">
        <f t="shared" ref="H5:H35" si="0">SUM(D5*60)</f>
        <v>0</v>
      </c>
      <c r="I5" s="123">
        <f>SUM(E5*25+F5*7)</f>
        <v>0</v>
      </c>
      <c r="J5" s="123">
        <f t="shared" ref="J5:J35" si="1">SUM(G5*15)</f>
        <v>825</v>
      </c>
      <c r="K5" s="123">
        <f t="shared" ref="K5:K35" si="2">SUM(H5:J5)</f>
        <v>825</v>
      </c>
    </row>
    <row r="6" spans="1:11">
      <c r="A6" s="58">
        <v>2</v>
      </c>
      <c r="B6" s="77">
        <v>46083</v>
      </c>
      <c r="C6" s="78"/>
      <c r="D6" s="166"/>
      <c r="E6" s="123">
        <v>18</v>
      </c>
      <c r="F6" s="123">
        <v>10</v>
      </c>
      <c r="G6" s="190">
        <v>55</v>
      </c>
      <c r="H6" s="123">
        <f t="shared" si="0"/>
        <v>0</v>
      </c>
      <c r="I6" s="123">
        <f>SUM(E6*25+F6*7)</f>
        <v>520</v>
      </c>
      <c r="J6" s="123">
        <f t="shared" si="1"/>
        <v>825</v>
      </c>
      <c r="K6" s="123">
        <f t="shared" si="2"/>
        <v>1345</v>
      </c>
    </row>
    <row r="7" spans="1:11">
      <c r="A7" s="58">
        <v>3</v>
      </c>
      <c r="B7" s="77">
        <v>46084</v>
      </c>
      <c r="C7" s="78"/>
      <c r="D7" s="166"/>
      <c r="E7" s="123"/>
      <c r="F7" s="123"/>
      <c r="G7" s="190">
        <v>51</v>
      </c>
      <c r="H7" s="123">
        <f t="shared" si="0"/>
        <v>0</v>
      </c>
      <c r="I7" s="123">
        <f>SUM(E7*25+F7*7)</f>
        <v>0</v>
      </c>
      <c r="J7" s="123">
        <f t="shared" si="1"/>
        <v>765</v>
      </c>
      <c r="K7" s="123">
        <f t="shared" si="2"/>
        <v>765</v>
      </c>
    </row>
    <row r="8" spans="1:11">
      <c r="A8" s="58">
        <v>4</v>
      </c>
      <c r="B8" s="77">
        <v>46085</v>
      </c>
      <c r="C8" s="78"/>
      <c r="D8" s="166"/>
      <c r="E8" s="123"/>
      <c r="F8" s="123"/>
      <c r="G8" s="190">
        <v>51</v>
      </c>
      <c r="H8" s="123">
        <f t="shared" si="0"/>
        <v>0</v>
      </c>
      <c r="I8" s="123">
        <f t="shared" ref="I8:I35" si="3">SUM(E8*25+F8*7)</f>
        <v>0</v>
      </c>
      <c r="J8" s="123">
        <f t="shared" si="1"/>
        <v>765</v>
      </c>
      <c r="K8" s="123">
        <f t="shared" si="2"/>
        <v>765</v>
      </c>
    </row>
    <row r="9" spans="1:11">
      <c r="A9" s="58">
        <v>5</v>
      </c>
      <c r="B9" s="77">
        <v>46086</v>
      </c>
      <c r="C9" s="78"/>
      <c r="D9" s="166"/>
      <c r="E9" s="123"/>
      <c r="F9" s="123"/>
      <c r="G9" s="190">
        <v>51</v>
      </c>
      <c r="H9" s="123">
        <f t="shared" si="0"/>
        <v>0</v>
      </c>
      <c r="I9" s="123">
        <f t="shared" si="3"/>
        <v>0</v>
      </c>
      <c r="J9" s="123">
        <f t="shared" si="1"/>
        <v>765</v>
      </c>
      <c r="K9" s="123">
        <f t="shared" si="2"/>
        <v>765</v>
      </c>
    </row>
    <row r="10" spans="1:11">
      <c r="A10" s="58">
        <v>6</v>
      </c>
      <c r="B10" s="77">
        <v>46087</v>
      </c>
      <c r="C10" s="78"/>
      <c r="D10" s="166"/>
      <c r="E10" s="123"/>
      <c r="F10" s="123"/>
      <c r="G10" s="190">
        <v>51</v>
      </c>
      <c r="H10" s="123">
        <f t="shared" si="0"/>
        <v>0</v>
      </c>
      <c r="I10" s="123">
        <f t="shared" si="3"/>
        <v>0</v>
      </c>
      <c r="J10" s="123">
        <f t="shared" si="1"/>
        <v>765</v>
      </c>
      <c r="K10" s="123">
        <f t="shared" si="2"/>
        <v>765</v>
      </c>
    </row>
    <row r="11" spans="1:11">
      <c r="A11" s="58">
        <v>7</v>
      </c>
      <c r="B11" s="77">
        <v>46088</v>
      </c>
      <c r="C11" s="78"/>
      <c r="D11" s="166"/>
      <c r="E11" s="123"/>
      <c r="F11" s="123"/>
      <c r="G11" s="190">
        <v>51</v>
      </c>
      <c r="H11" s="123">
        <f t="shared" si="0"/>
        <v>0</v>
      </c>
      <c r="I11" s="123">
        <f t="shared" si="3"/>
        <v>0</v>
      </c>
      <c r="J11" s="123">
        <f t="shared" si="1"/>
        <v>765</v>
      </c>
      <c r="K11" s="123">
        <f t="shared" si="2"/>
        <v>765</v>
      </c>
    </row>
    <row r="12" spans="1:11">
      <c r="A12" s="58">
        <v>8</v>
      </c>
      <c r="B12" s="77">
        <v>46089</v>
      </c>
      <c r="C12" s="78"/>
      <c r="D12" s="166"/>
      <c r="E12" s="123"/>
      <c r="F12" s="123"/>
      <c r="G12" s="190">
        <v>51</v>
      </c>
      <c r="H12" s="123">
        <f t="shared" si="0"/>
        <v>0</v>
      </c>
      <c r="I12" s="123">
        <f t="shared" si="3"/>
        <v>0</v>
      </c>
      <c r="J12" s="123">
        <f t="shared" si="1"/>
        <v>765</v>
      </c>
      <c r="K12" s="123">
        <f t="shared" si="2"/>
        <v>765</v>
      </c>
    </row>
    <row r="13" spans="1:11">
      <c r="A13" s="58">
        <v>9</v>
      </c>
      <c r="B13" s="77">
        <v>46090</v>
      </c>
      <c r="C13" s="78"/>
      <c r="D13" s="166"/>
      <c r="E13" s="123"/>
      <c r="F13" s="123"/>
      <c r="G13" s="190">
        <v>51</v>
      </c>
      <c r="H13" s="123">
        <f t="shared" si="0"/>
        <v>0</v>
      </c>
      <c r="I13" s="123">
        <f t="shared" si="3"/>
        <v>0</v>
      </c>
      <c r="J13" s="123">
        <f t="shared" si="1"/>
        <v>765</v>
      </c>
      <c r="K13" s="123">
        <f t="shared" si="2"/>
        <v>765</v>
      </c>
    </row>
    <row r="14" spans="1:11">
      <c r="A14" s="58">
        <v>10</v>
      </c>
      <c r="B14" s="77">
        <v>46091</v>
      </c>
      <c r="C14" s="78"/>
      <c r="D14" s="166"/>
      <c r="E14" s="123"/>
      <c r="F14" s="123"/>
      <c r="G14" s="190">
        <v>51</v>
      </c>
      <c r="H14" s="123">
        <f t="shared" si="0"/>
        <v>0</v>
      </c>
      <c r="I14" s="123">
        <f t="shared" si="3"/>
        <v>0</v>
      </c>
      <c r="J14" s="123">
        <f t="shared" si="1"/>
        <v>765</v>
      </c>
      <c r="K14" s="123">
        <f t="shared" si="2"/>
        <v>765</v>
      </c>
    </row>
    <row r="15" spans="1:11">
      <c r="A15" s="58">
        <v>11</v>
      </c>
      <c r="B15" s="77">
        <v>46092</v>
      </c>
      <c r="C15" s="78"/>
      <c r="D15" s="166"/>
      <c r="E15" s="123"/>
      <c r="F15" s="123"/>
      <c r="G15" s="190">
        <v>51</v>
      </c>
      <c r="H15" s="123">
        <f t="shared" si="0"/>
        <v>0</v>
      </c>
      <c r="I15" s="123">
        <f t="shared" si="3"/>
        <v>0</v>
      </c>
      <c r="J15" s="123">
        <f t="shared" si="1"/>
        <v>765</v>
      </c>
      <c r="K15" s="123">
        <f t="shared" si="2"/>
        <v>765</v>
      </c>
    </row>
    <row r="16" spans="1:11">
      <c r="A16" s="58">
        <v>12</v>
      </c>
      <c r="B16" s="77">
        <v>46093</v>
      </c>
      <c r="C16" s="78"/>
      <c r="D16" s="166"/>
      <c r="E16" s="123"/>
      <c r="F16" s="123"/>
      <c r="G16" s="190">
        <v>51</v>
      </c>
      <c r="H16" s="123">
        <f t="shared" si="0"/>
        <v>0</v>
      </c>
      <c r="I16" s="123">
        <f t="shared" si="3"/>
        <v>0</v>
      </c>
      <c r="J16" s="123">
        <f t="shared" si="1"/>
        <v>765</v>
      </c>
      <c r="K16" s="123">
        <f t="shared" si="2"/>
        <v>765</v>
      </c>
    </row>
    <row r="17" spans="1:11">
      <c r="A17" s="58">
        <v>13</v>
      </c>
      <c r="B17" s="77">
        <v>46094</v>
      </c>
      <c r="C17" s="78"/>
      <c r="D17" s="166"/>
      <c r="E17" s="123"/>
      <c r="F17" s="123"/>
      <c r="G17" s="190">
        <v>51</v>
      </c>
      <c r="H17" s="123">
        <f t="shared" si="0"/>
        <v>0</v>
      </c>
      <c r="I17" s="123">
        <f t="shared" si="3"/>
        <v>0</v>
      </c>
      <c r="J17" s="123">
        <f t="shared" si="1"/>
        <v>765</v>
      </c>
      <c r="K17" s="123">
        <f t="shared" si="2"/>
        <v>765</v>
      </c>
    </row>
    <row r="18" spans="1:11">
      <c r="A18" s="58">
        <v>14</v>
      </c>
      <c r="B18" s="77">
        <v>46095</v>
      </c>
      <c r="C18" s="78"/>
      <c r="D18" s="166"/>
      <c r="E18" s="123"/>
      <c r="F18" s="123"/>
      <c r="G18" s="190">
        <v>51</v>
      </c>
      <c r="H18" s="123">
        <f t="shared" si="0"/>
        <v>0</v>
      </c>
      <c r="I18" s="123">
        <f t="shared" si="3"/>
        <v>0</v>
      </c>
      <c r="J18" s="123">
        <f t="shared" si="1"/>
        <v>765</v>
      </c>
      <c r="K18" s="123">
        <f t="shared" si="2"/>
        <v>765</v>
      </c>
    </row>
    <row r="19" spans="1:11">
      <c r="A19" s="58">
        <v>15</v>
      </c>
      <c r="B19" s="77">
        <v>46096</v>
      </c>
      <c r="C19" s="78"/>
      <c r="D19" s="166"/>
      <c r="E19" s="123"/>
      <c r="F19" s="123"/>
      <c r="G19" s="190">
        <v>51</v>
      </c>
      <c r="H19" s="123">
        <f t="shared" si="0"/>
        <v>0</v>
      </c>
      <c r="I19" s="123">
        <f t="shared" si="3"/>
        <v>0</v>
      </c>
      <c r="J19" s="123">
        <f t="shared" si="1"/>
        <v>765</v>
      </c>
      <c r="K19" s="123">
        <f t="shared" si="2"/>
        <v>765</v>
      </c>
    </row>
    <row r="20" spans="1:11">
      <c r="A20" s="58">
        <v>16</v>
      </c>
      <c r="B20" s="77">
        <v>46097</v>
      </c>
      <c r="C20" s="78"/>
      <c r="D20" s="166"/>
      <c r="E20" s="123"/>
      <c r="F20" s="123"/>
      <c r="G20" s="190">
        <v>51</v>
      </c>
      <c r="H20" s="123">
        <f t="shared" si="0"/>
        <v>0</v>
      </c>
      <c r="I20" s="123">
        <f t="shared" si="3"/>
        <v>0</v>
      </c>
      <c r="J20" s="123">
        <f t="shared" si="1"/>
        <v>765</v>
      </c>
      <c r="K20" s="123">
        <f t="shared" si="2"/>
        <v>765</v>
      </c>
    </row>
    <row r="21" spans="1:11">
      <c r="A21" s="58">
        <v>17</v>
      </c>
      <c r="B21" s="77">
        <v>46098</v>
      </c>
      <c r="C21" s="78"/>
      <c r="D21" s="166"/>
      <c r="E21" s="123"/>
      <c r="F21" s="123"/>
      <c r="G21" s="190">
        <v>51</v>
      </c>
      <c r="H21" s="123">
        <f t="shared" si="0"/>
        <v>0</v>
      </c>
      <c r="I21" s="123">
        <f t="shared" si="3"/>
        <v>0</v>
      </c>
      <c r="J21" s="123">
        <f t="shared" si="1"/>
        <v>765</v>
      </c>
      <c r="K21" s="123">
        <f t="shared" si="2"/>
        <v>765</v>
      </c>
    </row>
    <row r="22" spans="1:11">
      <c r="A22" s="58">
        <v>18</v>
      </c>
      <c r="B22" s="77">
        <v>46099</v>
      </c>
      <c r="C22" s="78"/>
      <c r="D22" s="166"/>
      <c r="E22" s="123"/>
      <c r="F22" s="123"/>
      <c r="G22" s="190">
        <v>51</v>
      </c>
      <c r="H22" s="123">
        <f t="shared" si="0"/>
        <v>0</v>
      </c>
      <c r="I22" s="123">
        <f t="shared" si="3"/>
        <v>0</v>
      </c>
      <c r="J22" s="123">
        <f t="shared" si="1"/>
        <v>765</v>
      </c>
      <c r="K22" s="123">
        <f t="shared" si="2"/>
        <v>765</v>
      </c>
    </row>
    <row r="23" spans="1:11">
      <c r="A23" s="58">
        <v>19</v>
      </c>
      <c r="B23" s="77">
        <v>46100</v>
      </c>
      <c r="C23" s="78"/>
      <c r="D23" s="166"/>
      <c r="E23" s="123"/>
      <c r="F23" s="123"/>
      <c r="G23" s="190">
        <v>51</v>
      </c>
      <c r="H23" s="123">
        <f t="shared" si="0"/>
        <v>0</v>
      </c>
      <c r="I23" s="123">
        <f t="shared" si="3"/>
        <v>0</v>
      </c>
      <c r="J23" s="123">
        <f t="shared" si="1"/>
        <v>765</v>
      </c>
      <c r="K23" s="123">
        <f t="shared" si="2"/>
        <v>765</v>
      </c>
    </row>
    <row r="24" spans="1:11">
      <c r="A24" s="58">
        <v>20</v>
      </c>
      <c r="B24" s="77">
        <v>46101</v>
      </c>
      <c r="C24" s="78"/>
      <c r="D24" s="166"/>
      <c r="E24" s="123"/>
      <c r="F24" s="123"/>
      <c r="G24" s="190">
        <v>51</v>
      </c>
      <c r="H24" s="123">
        <f t="shared" si="0"/>
        <v>0</v>
      </c>
      <c r="I24" s="123">
        <f t="shared" si="3"/>
        <v>0</v>
      </c>
      <c r="J24" s="123">
        <f t="shared" si="1"/>
        <v>765</v>
      </c>
      <c r="K24" s="123">
        <f t="shared" si="2"/>
        <v>765</v>
      </c>
    </row>
    <row r="25" spans="1:11">
      <c r="A25" s="58">
        <v>21</v>
      </c>
      <c r="B25" s="77">
        <v>46102</v>
      </c>
      <c r="C25" s="78"/>
      <c r="D25" s="166"/>
      <c r="E25" s="123"/>
      <c r="F25" s="123"/>
      <c r="G25" s="190">
        <v>51</v>
      </c>
      <c r="H25" s="123">
        <f t="shared" si="0"/>
        <v>0</v>
      </c>
      <c r="I25" s="123">
        <f t="shared" si="3"/>
        <v>0</v>
      </c>
      <c r="J25" s="123">
        <f t="shared" si="1"/>
        <v>765</v>
      </c>
      <c r="K25" s="123">
        <f t="shared" si="2"/>
        <v>765</v>
      </c>
    </row>
    <row r="26" spans="1:11">
      <c r="A26" s="58">
        <v>22</v>
      </c>
      <c r="B26" s="77">
        <v>46103</v>
      </c>
      <c r="C26" s="78"/>
      <c r="D26" s="166"/>
      <c r="E26" s="123"/>
      <c r="F26" s="123"/>
      <c r="G26" s="190">
        <v>51</v>
      </c>
      <c r="H26" s="123">
        <f t="shared" si="0"/>
        <v>0</v>
      </c>
      <c r="I26" s="123">
        <f t="shared" si="3"/>
        <v>0</v>
      </c>
      <c r="J26" s="123">
        <f t="shared" si="1"/>
        <v>765</v>
      </c>
      <c r="K26" s="123">
        <f t="shared" si="2"/>
        <v>765</v>
      </c>
    </row>
    <row r="27" spans="1:11">
      <c r="A27" s="58">
        <v>23</v>
      </c>
      <c r="B27" s="77">
        <v>46104</v>
      </c>
      <c r="C27" s="78"/>
      <c r="D27" s="166"/>
      <c r="E27" s="123"/>
      <c r="F27" s="123"/>
      <c r="G27" s="190">
        <v>51</v>
      </c>
      <c r="H27" s="123">
        <f t="shared" si="0"/>
        <v>0</v>
      </c>
      <c r="I27" s="123">
        <f t="shared" si="3"/>
        <v>0</v>
      </c>
      <c r="J27" s="123">
        <f t="shared" si="1"/>
        <v>765</v>
      </c>
      <c r="K27" s="123">
        <f t="shared" si="2"/>
        <v>765</v>
      </c>
    </row>
    <row r="28" spans="1:11">
      <c r="A28" s="58">
        <v>24</v>
      </c>
      <c r="B28" s="77">
        <v>46105</v>
      </c>
      <c r="C28" s="78"/>
      <c r="D28" s="166"/>
      <c r="E28" s="123"/>
      <c r="F28" s="123"/>
      <c r="G28" s="190">
        <v>51</v>
      </c>
      <c r="H28" s="123">
        <f t="shared" si="0"/>
        <v>0</v>
      </c>
      <c r="I28" s="123">
        <f t="shared" si="3"/>
        <v>0</v>
      </c>
      <c r="J28" s="123">
        <f t="shared" si="1"/>
        <v>765</v>
      </c>
      <c r="K28" s="123">
        <f t="shared" si="2"/>
        <v>765</v>
      </c>
    </row>
    <row r="29" spans="1:11">
      <c r="A29" s="58">
        <v>25</v>
      </c>
      <c r="B29" s="77">
        <v>46106</v>
      </c>
      <c r="C29" s="78"/>
      <c r="D29" s="166"/>
      <c r="E29" s="123"/>
      <c r="F29" s="123"/>
      <c r="G29" s="190">
        <v>51</v>
      </c>
      <c r="H29" s="123">
        <f t="shared" si="0"/>
        <v>0</v>
      </c>
      <c r="I29" s="123">
        <f t="shared" si="3"/>
        <v>0</v>
      </c>
      <c r="J29" s="123">
        <f t="shared" si="1"/>
        <v>765</v>
      </c>
      <c r="K29" s="123">
        <f t="shared" si="2"/>
        <v>765</v>
      </c>
    </row>
    <row r="30" spans="1:11">
      <c r="A30" s="58">
        <v>26</v>
      </c>
      <c r="B30" s="77">
        <v>46107</v>
      </c>
      <c r="C30" s="78"/>
      <c r="D30" s="166"/>
      <c r="E30" s="123"/>
      <c r="F30" s="123"/>
      <c r="G30" s="190">
        <v>51</v>
      </c>
      <c r="H30" s="123">
        <f t="shared" si="0"/>
        <v>0</v>
      </c>
      <c r="I30" s="123">
        <f t="shared" si="3"/>
        <v>0</v>
      </c>
      <c r="J30" s="123">
        <f t="shared" si="1"/>
        <v>765</v>
      </c>
      <c r="K30" s="123">
        <f t="shared" si="2"/>
        <v>765</v>
      </c>
    </row>
    <row r="31" spans="1:11">
      <c r="A31" s="58">
        <v>27</v>
      </c>
      <c r="B31" s="77">
        <v>46108</v>
      </c>
      <c r="C31" s="78"/>
      <c r="D31" s="166"/>
      <c r="E31" s="123"/>
      <c r="F31" s="123"/>
      <c r="G31" s="190">
        <v>51</v>
      </c>
      <c r="H31" s="123">
        <f t="shared" si="0"/>
        <v>0</v>
      </c>
      <c r="I31" s="123">
        <f t="shared" si="3"/>
        <v>0</v>
      </c>
      <c r="J31" s="123">
        <f t="shared" si="1"/>
        <v>765</v>
      </c>
      <c r="K31" s="123">
        <f t="shared" si="2"/>
        <v>765</v>
      </c>
    </row>
    <row r="32" spans="1:11">
      <c r="A32" s="58">
        <v>28</v>
      </c>
      <c r="B32" s="77">
        <v>46109</v>
      </c>
      <c r="C32" s="78"/>
      <c r="D32" s="166"/>
      <c r="E32" s="123"/>
      <c r="F32" s="123"/>
      <c r="G32" s="190">
        <v>51</v>
      </c>
      <c r="H32" s="123">
        <f t="shared" si="0"/>
        <v>0</v>
      </c>
      <c r="I32" s="123">
        <f t="shared" si="3"/>
        <v>0</v>
      </c>
      <c r="J32" s="123">
        <f t="shared" si="1"/>
        <v>765</v>
      </c>
      <c r="K32" s="123">
        <f t="shared" si="2"/>
        <v>765</v>
      </c>
    </row>
    <row r="33" spans="1:11">
      <c r="A33" s="58">
        <v>29</v>
      </c>
      <c r="B33" s="77">
        <v>46110</v>
      </c>
      <c r="C33" s="78"/>
      <c r="D33" s="166"/>
      <c r="E33" s="123"/>
      <c r="F33" s="123"/>
      <c r="G33" s="190">
        <v>51</v>
      </c>
      <c r="H33" s="123">
        <f t="shared" si="0"/>
        <v>0</v>
      </c>
      <c r="I33" s="123">
        <f t="shared" si="3"/>
        <v>0</v>
      </c>
      <c r="J33" s="123">
        <f t="shared" si="1"/>
        <v>765</v>
      </c>
      <c r="K33" s="123">
        <f t="shared" si="2"/>
        <v>765</v>
      </c>
    </row>
    <row r="34" spans="1:11">
      <c r="A34" s="58">
        <v>30</v>
      </c>
      <c r="B34" s="77">
        <v>46111</v>
      </c>
      <c r="C34" s="78"/>
      <c r="D34" s="166"/>
      <c r="E34" s="123"/>
      <c r="F34" s="123"/>
      <c r="G34" s="190">
        <v>51</v>
      </c>
      <c r="H34" s="123">
        <f t="shared" si="0"/>
        <v>0</v>
      </c>
      <c r="I34" s="123">
        <f t="shared" si="3"/>
        <v>0</v>
      </c>
      <c r="J34" s="123">
        <f t="shared" si="1"/>
        <v>765</v>
      </c>
      <c r="K34" s="123">
        <f t="shared" si="2"/>
        <v>765</v>
      </c>
    </row>
    <row r="35" spans="1:11">
      <c r="A35" s="58"/>
      <c r="B35" s="77">
        <v>46112</v>
      </c>
      <c r="C35" s="78"/>
      <c r="D35" s="166"/>
      <c r="E35" s="123"/>
      <c r="F35" s="123"/>
      <c r="G35" s="190">
        <v>51</v>
      </c>
      <c r="H35" s="123">
        <f t="shared" si="0"/>
        <v>0</v>
      </c>
      <c r="I35" s="123">
        <f t="shared" si="3"/>
        <v>0</v>
      </c>
      <c r="J35" s="123">
        <f t="shared" si="1"/>
        <v>765</v>
      </c>
      <c r="K35" s="123">
        <f t="shared" si="2"/>
        <v>765</v>
      </c>
    </row>
    <row r="36" spans="1:11">
      <c r="D36" s="123"/>
      <c r="E36" s="123"/>
      <c r="F36" s="123"/>
      <c r="G36" s="123">
        <f>SUM(G5:G35)</f>
        <v>1589</v>
      </c>
      <c r="H36" s="123">
        <f>SUM(H5:H35)</f>
        <v>0</v>
      </c>
      <c r="I36" s="123">
        <f>SUM(I5:I35)</f>
        <v>520</v>
      </c>
      <c r="J36" s="123">
        <f>SUM(J5:J35)</f>
        <v>23835</v>
      </c>
      <c r="K36" s="189">
        <f>SUM(K5:K35)</f>
        <v>24355</v>
      </c>
    </row>
  </sheetData>
  <mergeCells count="4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3:I4"/>
    <mergeCell ref="J3:J4"/>
    <mergeCell ref="K3:K4"/>
    <mergeCell ref="B5:C5"/>
    <mergeCell ref="B6:C6"/>
    <mergeCell ref="B7:C7"/>
    <mergeCell ref="A2:H2"/>
    <mergeCell ref="A3:A4"/>
    <mergeCell ref="B3:C4"/>
    <mergeCell ref="D3:D4"/>
    <mergeCell ref="E3:F3"/>
    <mergeCell ref="H3:H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C0F8-59BC-472D-B8E3-650464F03657}">
  <sheetPr codeName="Лист21"/>
  <dimension ref="A1:J35"/>
  <sheetViews>
    <sheetView topLeftCell="A7" workbookViewId="0">
      <selection activeCell="F31" sqref="F31:F34"/>
    </sheetView>
  </sheetViews>
  <sheetFormatPr defaultRowHeight="15"/>
  <cols>
    <col min="1" max="16384" width="9.140625" style="47"/>
  </cols>
  <sheetData>
    <row r="1" spans="1:10">
      <c r="A1" s="185">
        <f>J35</f>
        <v>8928</v>
      </c>
      <c r="B1" s="76" t="s">
        <v>172</v>
      </c>
      <c r="C1" s="76"/>
      <c r="D1" s="76"/>
      <c r="E1" s="76"/>
      <c r="F1" s="76"/>
      <c r="G1" s="76"/>
      <c r="H1" s="76"/>
    </row>
    <row r="2" spans="1:10" ht="28.9" customHeight="1">
      <c r="A2" s="49" t="s">
        <v>0</v>
      </c>
      <c r="B2" s="50" t="s">
        <v>1</v>
      </c>
      <c r="C2" s="51"/>
      <c r="D2" s="49" t="s">
        <v>146</v>
      </c>
      <c r="E2" s="49" t="s">
        <v>147</v>
      </c>
      <c r="F2" s="52" t="s">
        <v>4</v>
      </c>
      <c r="G2" s="49" t="s">
        <v>11</v>
      </c>
      <c r="H2" s="49" t="s">
        <v>12</v>
      </c>
      <c r="I2" s="49" t="s">
        <v>13</v>
      </c>
      <c r="J2" s="49" t="s">
        <v>18</v>
      </c>
    </row>
    <row r="3" spans="1:10" ht="30">
      <c r="A3" s="53"/>
      <c r="B3" s="54"/>
      <c r="C3" s="55"/>
      <c r="D3" s="53"/>
      <c r="E3" s="53"/>
      <c r="F3" s="56" t="s">
        <v>156</v>
      </c>
      <c r="G3" s="53"/>
      <c r="H3" s="53"/>
      <c r="I3" s="53"/>
      <c r="J3" s="53"/>
    </row>
    <row r="4" spans="1:10">
      <c r="A4" s="58">
        <v>1</v>
      </c>
      <c r="B4" s="77">
        <v>46082</v>
      </c>
      <c r="C4" s="78"/>
      <c r="D4" s="166"/>
      <c r="E4" s="124"/>
      <c r="F4" s="191">
        <v>24</v>
      </c>
      <c r="G4" s="123">
        <f>SUM(D4*120)</f>
        <v>0</v>
      </c>
      <c r="H4" s="123">
        <f>SUM(E4*120)</f>
        <v>0</v>
      </c>
      <c r="I4" s="123">
        <f>SUM(F4*12)</f>
        <v>288</v>
      </c>
      <c r="J4" s="123">
        <f>SUM(G4:I4)</f>
        <v>288</v>
      </c>
    </row>
    <row r="5" spans="1:10">
      <c r="A5" s="58">
        <v>2</v>
      </c>
      <c r="B5" s="77">
        <v>46083</v>
      </c>
      <c r="C5" s="78"/>
      <c r="D5" s="166"/>
      <c r="E5" s="124"/>
      <c r="F5" s="191">
        <v>24</v>
      </c>
      <c r="G5" s="123">
        <f t="shared" ref="G5:G34" si="0">SUM(D5*120)</f>
        <v>0</v>
      </c>
      <c r="H5" s="123">
        <f t="shared" ref="H5:H34" si="1">SUM(E5*120)</f>
        <v>0</v>
      </c>
      <c r="I5" s="123">
        <f t="shared" ref="I5:I34" si="2">SUM(F5*12)</f>
        <v>288</v>
      </c>
      <c r="J5" s="123">
        <f t="shared" ref="J5:J34" si="3">SUM(G5:I5)</f>
        <v>288</v>
      </c>
    </row>
    <row r="6" spans="1:10">
      <c r="A6" s="58">
        <v>3</v>
      </c>
      <c r="B6" s="77">
        <v>46084</v>
      </c>
      <c r="C6" s="78"/>
      <c r="D6" s="166"/>
      <c r="E6" s="124"/>
      <c r="F6" s="191">
        <v>24</v>
      </c>
      <c r="G6" s="123">
        <f t="shared" si="0"/>
        <v>0</v>
      </c>
      <c r="H6" s="123">
        <f t="shared" si="1"/>
        <v>0</v>
      </c>
      <c r="I6" s="123">
        <f t="shared" si="2"/>
        <v>288</v>
      </c>
      <c r="J6" s="123">
        <f t="shared" si="3"/>
        <v>288</v>
      </c>
    </row>
    <row r="7" spans="1:10">
      <c r="A7" s="58">
        <v>4</v>
      </c>
      <c r="B7" s="77">
        <v>46085</v>
      </c>
      <c r="C7" s="78"/>
      <c r="D7" s="166"/>
      <c r="E7" s="124"/>
      <c r="F7" s="191">
        <v>24</v>
      </c>
      <c r="G7" s="123">
        <f t="shared" si="0"/>
        <v>0</v>
      </c>
      <c r="H7" s="123">
        <f t="shared" si="1"/>
        <v>0</v>
      </c>
      <c r="I7" s="123">
        <f t="shared" si="2"/>
        <v>288</v>
      </c>
      <c r="J7" s="123">
        <f t="shared" si="3"/>
        <v>288</v>
      </c>
    </row>
    <row r="8" spans="1:10">
      <c r="A8" s="58">
        <v>5</v>
      </c>
      <c r="B8" s="77">
        <v>46086</v>
      </c>
      <c r="C8" s="78"/>
      <c r="D8" s="166"/>
      <c r="E8" s="124"/>
      <c r="F8" s="191">
        <v>24</v>
      </c>
      <c r="G8" s="123">
        <f t="shared" si="0"/>
        <v>0</v>
      </c>
      <c r="H8" s="123">
        <f t="shared" si="1"/>
        <v>0</v>
      </c>
      <c r="I8" s="123">
        <f t="shared" si="2"/>
        <v>288</v>
      </c>
      <c r="J8" s="123">
        <f t="shared" si="3"/>
        <v>288</v>
      </c>
    </row>
    <row r="9" spans="1:10">
      <c r="A9" s="58">
        <v>6</v>
      </c>
      <c r="B9" s="77">
        <v>46087</v>
      </c>
      <c r="C9" s="78"/>
      <c r="D9" s="166"/>
      <c r="E9" s="124"/>
      <c r="F9" s="191">
        <v>24</v>
      </c>
      <c r="G9" s="123">
        <f t="shared" si="0"/>
        <v>0</v>
      </c>
      <c r="H9" s="123">
        <f t="shared" si="1"/>
        <v>0</v>
      </c>
      <c r="I9" s="123">
        <f t="shared" si="2"/>
        <v>288</v>
      </c>
      <c r="J9" s="123">
        <f t="shared" si="3"/>
        <v>288</v>
      </c>
    </row>
    <row r="10" spans="1:10">
      <c r="A10" s="58">
        <v>7</v>
      </c>
      <c r="B10" s="77">
        <v>46088</v>
      </c>
      <c r="C10" s="78"/>
      <c r="D10" s="166"/>
      <c r="E10" s="124"/>
      <c r="F10" s="191">
        <v>24</v>
      </c>
      <c r="G10" s="123">
        <f t="shared" si="0"/>
        <v>0</v>
      </c>
      <c r="H10" s="123">
        <f t="shared" si="1"/>
        <v>0</v>
      </c>
      <c r="I10" s="123">
        <f t="shared" si="2"/>
        <v>288</v>
      </c>
      <c r="J10" s="123">
        <f t="shared" si="3"/>
        <v>288</v>
      </c>
    </row>
    <row r="11" spans="1:10">
      <c r="A11" s="58">
        <v>8</v>
      </c>
      <c r="B11" s="77">
        <v>46089</v>
      </c>
      <c r="C11" s="78"/>
      <c r="D11" s="166"/>
      <c r="E11" s="124"/>
      <c r="F11" s="191">
        <v>24</v>
      </c>
      <c r="G11" s="123">
        <f t="shared" si="0"/>
        <v>0</v>
      </c>
      <c r="H11" s="123">
        <f t="shared" si="1"/>
        <v>0</v>
      </c>
      <c r="I11" s="123">
        <f t="shared" si="2"/>
        <v>288</v>
      </c>
      <c r="J11" s="123">
        <f t="shared" si="3"/>
        <v>288</v>
      </c>
    </row>
    <row r="12" spans="1:10">
      <c r="A12" s="58">
        <v>9</v>
      </c>
      <c r="B12" s="77">
        <v>46090</v>
      </c>
      <c r="C12" s="78"/>
      <c r="D12" s="166"/>
      <c r="E12" s="124"/>
      <c r="F12" s="191">
        <v>24</v>
      </c>
      <c r="G12" s="123">
        <f t="shared" si="0"/>
        <v>0</v>
      </c>
      <c r="H12" s="123">
        <f t="shared" si="1"/>
        <v>0</v>
      </c>
      <c r="I12" s="123">
        <f t="shared" si="2"/>
        <v>288</v>
      </c>
      <c r="J12" s="123">
        <f t="shared" si="3"/>
        <v>288</v>
      </c>
    </row>
    <row r="13" spans="1:10">
      <c r="A13" s="58">
        <v>10</v>
      </c>
      <c r="B13" s="77">
        <v>46091</v>
      </c>
      <c r="C13" s="78"/>
      <c r="D13" s="166"/>
      <c r="E13" s="124"/>
      <c r="F13" s="191">
        <v>24</v>
      </c>
      <c r="G13" s="123">
        <f t="shared" si="0"/>
        <v>0</v>
      </c>
      <c r="H13" s="123">
        <f t="shared" si="1"/>
        <v>0</v>
      </c>
      <c r="I13" s="123">
        <f t="shared" si="2"/>
        <v>288</v>
      </c>
      <c r="J13" s="123">
        <f t="shared" si="3"/>
        <v>288</v>
      </c>
    </row>
    <row r="14" spans="1:10">
      <c r="A14" s="58">
        <v>11</v>
      </c>
      <c r="B14" s="77">
        <v>46092</v>
      </c>
      <c r="C14" s="78"/>
      <c r="D14" s="166"/>
      <c r="E14" s="124"/>
      <c r="F14" s="191">
        <v>24</v>
      </c>
      <c r="G14" s="123">
        <f t="shared" si="0"/>
        <v>0</v>
      </c>
      <c r="H14" s="123">
        <f t="shared" si="1"/>
        <v>0</v>
      </c>
      <c r="I14" s="123">
        <f t="shared" si="2"/>
        <v>288</v>
      </c>
      <c r="J14" s="123">
        <f t="shared" si="3"/>
        <v>288</v>
      </c>
    </row>
    <row r="15" spans="1:10">
      <c r="A15" s="58">
        <v>12</v>
      </c>
      <c r="B15" s="77">
        <v>46093</v>
      </c>
      <c r="C15" s="78"/>
      <c r="D15" s="166"/>
      <c r="E15" s="124"/>
      <c r="F15" s="191">
        <v>24</v>
      </c>
      <c r="G15" s="123">
        <f t="shared" si="0"/>
        <v>0</v>
      </c>
      <c r="H15" s="123">
        <f t="shared" si="1"/>
        <v>0</v>
      </c>
      <c r="I15" s="123">
        <f t="shared" si="2"/>
        <v>288</v>
      </c>
      <c r="J15" s="123">
        <f t="shared" si="3"/>
        <v>288</v>
      </c>
    </row>
    <row r="16" spans="1:10">
      <c r="A16" s="58">
        <v>13</v>
      </c>
      <c r="B16" s="77">
        <v>46094</v>
      </c>
      <c r="C16" s="78"/>
      <c r="D16" s="166"/>
      <c r="E16" s="124"/>
      <c r="F16" s="191">
        <v>24</v>
      </c>
      <c r="G16" s="123">
        <f t="shared" si="0"/>
        <v>0</v>
      </c>
      <c r="H16" s="123">
        <f t="shared" si="1"/>
        <v>0</v>
      </c>
      <c r="I16" s="123">
        <f t="shared" si="2"/>
        <v>288</v>
      </c>
      <c r="J16" s="123">
        <f t="shared" si="3"/>
        <v>288</v>
      </c>
    </row>
    <row r="17" spans="1:10">
      <c r="A17" s="58">
        <v>14</v>
      </c>
      <c r="B17" s="77">
        <v>46095</v>
      </c>
      <c r="C17" s="78"/>
      <c r="D17" s="166"/>
      <c r="E17" s="124"/>
      <c r="F17" s="191">
        <v>24</v>
      </c>
      <c r="G17" s="123">
        <f t="shared" si="0"/>
        <v>0</v>
      </c>
      <c r="H17" s="123">
        <f t="shared" si="1"/>
        <v>0</v>
      </c>
      <c r="I17" s="123">
        <f t="shared" si="2"/>
        <v>288</v>
      </c>
      <c r="J17" s="123">
        <f t="shared" si="3"/>
        <v>288</v>
      </c>
    </row>
    <row r="18" spans="1:10">
      <c r="A18" s="58">
        <v>15</v>
      </c>
      <c r="B18" s="77">
        <v>46096</v>
      </c>
      <c r="C18" s="78"/>
      <c r="D18" s="166"/>
      <c r="E18" s="124"/>
      <c r="F18" s="191">
        <v>24</v>
      </c>
      <c r="G18" s="123">
        <f t="shared" si="0"/>
        <v>0</v>
      </c>
      <c r="H18" s="123">
        <f t="shared" si="1"/>
        <v>0</v>
      </c>
      <c r="I18" s="123">
        <f t="shared" si="2"/>
        <v>288</v>
      </c>
      <c r="J18" s="123">
        <f t="shared" si="3"/>
        <v>288</v>
      </c>
    </row>
    <row r="19" spans="1:10">
      <c r="A19" s="58">
        <v>16</v>
      </c>
      <c r="B19" s="77">
        <v>46097</v>
      </c>
      <c r="C19" s="78"/>
      <c r="D19" s="166"/>
      <c r="E19" s="124"/>
      <c r="F19" s="191">
        <v>24</v>
      </c>
      <c r="G19" s="123">
        <f t="shared" si="0"/>
        <v>0</v>
      </c>
      <c r="H19" s="123">
        <f t="shared" si="1"/>
        <v>0</v>
      </c>
      <c r="I19" s="123">
        <f t="shared" si="2"/>
        <v>288</v>
      </c>
      <c r="J19" s="123">
        <f t="shared" si="3"/>
        <v>288</v>
      </c>
    </row>
    <row r="20" spans="1:10">
      <c r="A20" s="58">
        <v>17</v>
      </c>
      <c r="B20" s="77">
        <v>46098</v>
      </c>
      <c r="C20" s="78"/>
      <c r="D20" s="166"/>
      <c r="E20" s="124"/>
      <c r="F20" s="191">
        <v>24</v>
      </c>
      <c r="G20" s="123">
        <f t="shared" si="0"/>
        <v>0</v>
      </c>
      <c r="H20" s="123">
        <f t="shared" si="1"/>
        <v>0</v>
      </c>
      <c r="I20" s="123">
        <f t="shared" si="2"/>
        <v>288</v>
      </c>
      <c r="J20" s="123">
        <f t="shared" si="3"/>
        <v>288</v>
      </c>
    </row>
    <row r="21" spans="1:10">
      <c r="A21" s="58">
        <v>18</v>
      </c>
      <c r="B21" s="77">
        <v>46099</v>
      </c>
      <c r="C21" s="78"/>
      <c r="D21" s="166"/>
      <c r="E21" s="124"/>
      <c r="F21" s="191">
        <v>24</v>
      </c>
      <c r="G21" s="123">
        <f t="shared" si="0"/>
        <v>0</v>
      </c>
      <c r="H21" s="123">
        <f t="shared" si="1"/>
        <v>0</v>
      </c>
      <c r="I21" s="123">
        <f t="shared" si="2"/>
        <v>288</v>
      </c>
      <c r="J21" s="123">
        <f t="shared" si="3"/>
        <v>288</v>
      </c>
    </row>
    <row r="22" spans="1:10">
      <c r="A22" s="58">
        <v>19</v>
      </c>
      <c r="B22" s="77">
        <v>46100</v>
      </c>
      <c r="C22" s="78"/>
      <c r="D22" s="166"/>
      <c r="E22" s="124"/>
      <c r="F22" s="191">
        <v>24</v>
      </c>
      <c r="G22" s="123">
        <f t="shared" si="0"/>
        <v>0</v>
      </c>
      <c r="H22" s="123">
        <f t="shared" si="1"/>
        <v>0</v>
      </c>
      <c r="I22" s="123">
        <f t="shared" si="2"/>
        <v>288</v>
      </c>
      <c r="J22" s="123">
        <f t="shared" si="3"/>
        <v>288</v>
      </c>
    </row>
    <row r="23" spans="1:10">
      <c r="A23" s="58">
        <v>20</v>
      </c>
      <c r="B23" s="77">
        <v>46101</v>
      </c>
      <c r="C23" s="78"/>
      <c r="D23" s="166"/>
      <c r="E23" s="124"/>
      <c r="F23" s="191">
        <v>24</v>
      </c>
      <c r="G23" s="123">
        <f t="shared" si="0"/>
        <v>0</v>
      </c>
      <c r="H23" s="123">
        <f t="shared" si="1"/>
        <v>0</v>
      </c>
      <c r="I23" s="123">
        <f t="shared" si="2"/>
        <v>288</v>
      </c>
      <c r="J23" s="123">
        <f t="shared" si="3"/>
        <v>288</v>
      </c>
    </row>
    <row r="24" spans="1:10">
      <c r="A24" s="58">
        <v>21</v>
      </c>
      <c r="B24" s="77">
        <v>46102</v>
      </c>
      <c r="C24" s="78"/>
      <c r="D24" s="166"/>
      <c r="E24" s="124"/>
      <c r="F24" s="191">
        <v>24</v>
      </c>
      <c r="G24" s="123">
        <f t="shared" si="0"/>
        <v>0</v>
      </c>
      <c r="H24" s="123">
        <f t="shared" si="1"/>
        <v>0</v>
      </c>
      <c r="I24" s="123">
        <f t="shared" si="2"/>
        <v>288</v>
      </c>
      <c r="J24" s="123">
        <f t="shared" si="3"/>
        <v>288</v>
      </c>
    </row>
    <row r="25" spans="1:10">
      <c r="A25" s="58">
        <v>22</v>
      </c>
      <c r="B25" s="77">
        <v>46103</v>
      </c>
      <c r="C25" s="78"/>
      <c r="D25" s="166"/>
      <c r="E25" s="124"/>
      <c r="F25" s="191">
        <v>24</v>
      </c>
      <c r="G25" s="123">
        <f t="shared" si="0"/>
        <v>0</v>
      </c>
      <c r="H25" s="123">
        <f t="shared" si="1"/>
        <v>0</v>
      </c>
      <c r="I25" s="123">
        <f t="shared" si="2"/>
        <v>288</v>
      </c>
      <c r="J25" s="123">
        <f t="shared" si="3"/>
        <v>288</v>
      </c>
    </row>
    <row r="26" spans="1:10">
      <c r="A26" s="58">
        <v>23</v>
      </c>
      <c r="B26" s="77">
        <v>46104</v>
      </c>
      <c r="C26" s="78"/>
      <c r="D26" s="166"/>
      <c r="E26" s="124"/>
      <c r="F26" s="191">
        <v>24</v>
      </c>
      <c r="G26" s="123">
        <f t="shared" si="0"/>
        <v>0</v>
      </c>
      <c r="H26" s="123">
        <f t="shared" si="1"/>
        <v>0</v>
      </c>
      <c r="I26" s="123">
        <f t="shared" si="2"/>
        <v>288</v>
      </c>
      <c r="J26" s="123">
        <f t="shared" si="3"/>
        <v>288</v>
      </c>
    </row>
    <row r="27" spans="1:10">
      <c r="A27" s="58">
        <v>24</v>
      </c>
      <c r="B27" s="77">
        <v>46105</v>
      </c>
      <c r="C27" s="78"/>
      <c r="D27" s="166"/>
      <c r="E27" s="124"/>
      <c r="F27" s="191">
        <v>24</v>
      </c>
      <c r="G27" s="123">
        <f t="shared" si="0"/>
        <v>0</v>
      </c>
      <c r="H27" s="123">
        <f t="shared" si="1"/>
        <v>0</v>
      </c>
      <c r="I27" s="123">
        <f t="shared" si="2"/>
        <v>288</v>
      </c>
      <c r="J27" s="123">
        <f t="shared" si="3"/>
        <v>288</v>
      </c>
    </row>
    <row r="28" spans="1:10">
      <c r="A28" s="58">
        <v>25</v>
      </c>
      <c r="B28" s="77">
        <v>46106</v>
      </c>
      <c r="C28" s="78"/>
      <c r="D28" s="166"/>
      <c r="E28" s="124"/>
      <c r="F28" s="191">
        <v>24</v>
      </c>
      <c r="G28" s="123">
        <f t="shared" si="0"/>
        <v>0</v>
      </c>
      <c r="H28" s="123">
        <f t="shared" si="1"/>
        <v>0</v>
      </c>
      <c r="I28" s="123">
        <f t="shared" si="2"/>
        <v>288</v>
      </c>
      <c r="J28" s="123">
        <f t="shared" si="3"/>
        <v>288</v>
      </c>
    </row>
    <row r="29" spans="1:10">
      <c r="A29" s="58">
        <v>26</v>
      </c>
      <c r="B29" s="77">
        <v>46107</v>
      </c>
      <c r="C29" s="78"/>
      <c r="D29" s="166"/>
      <c r="E29" s="124"/>
      <c r="F29" s="191">
        <v>24</v>
      </c>
      <c r="G29" s="123">
        <f t="shared" si="0"/>
        <v>0</v>
      </c>
      <c r="H29" s="123">
        <f t="shared" si="1"/>
        <v>0</v>
      </c>
      <c r="I29" s="123">
        <f t="shared" si="2"/>
        <v>288</v>
      </c>
      <c r="J29" s="123">
        <f t="shared" si="3"/>
        <v>288</v>
      </c>
    </row>
    <row r="30" spans="1:10">
      <c r="A30" s="58">
        <v>27</v>
      </c>
      <c r="B30" s="77">
        <v>46108</v>
      </c>
      <c r="C30" s="78"/>
      <c r="D30" s="166"/>
      <c r="E30" s="124"/>
      <c r="F30" s="191">
        <v>24</v>
      </c>
      <c r="G30" s="123">
        <f t="shared" si="0"/>
        <v>0</v>
      </c>
      <c r="H30" s="123">
        <f t="shared" si="1"/>
        <v>0</v>
      </c>
      <c r="I30" s="123">
        <f t="shared" si="2"/>
        <v>288</v>
      </c>
      <c r="J30" s="123">
        <f t="shared" si="3"/>
        <v>288</v>
      </c>
    </row>
    <row r="31" spans="1:10">
      <c r="A31" s="58">
        <v>28</v>
      </c>
      <c r="B31" s="77">
        <v>46109</v>
      </c>
      <c r="C31" s="78"/>
      <c r="D31" s="166"/>
      <c r="E31" s="124"/>
      <c r="F31" s="191">
        <v>24</v>
      </c>
      <c r="G31" s="123">
        <f t="shared" si="0"/>
        <v>0</v>
      </c>
      <c r="H31" s="123">
        <f t="shared" si="1"/>
        <v>0</v>
      </c>
      <c r="I31" s="123">
        <f t="shared" si="2"/>
        <v>288</v>
      </c>
      <c r="J31" s="123">
        <f t="shared" si="3"/>
        <v>288</v>
      </c>
    </row>
    <row r="32" spans="1:10">
      <c r="A32" s="58">
        <v>29</v>
      </c>
      <c r="B32" s="77">
        <v>46110</v>
      </c>
      <c r="C32" s="78"/>
      <c r="D32" s="166"/>
      <c r="E32" s="124"/>
      <c r="F32" s="191">
        <v>24</v>
      </c>
      <c r="G32" s="123">
        <f t="shared" si="0"/>
        <v>0</v>
      </c>
      <c r="H32" s="123">
        <f t="shared" si="1"/>
        <v>0</v>
      </c>
      <c r="I32" s="123">
        <f t="shared" si="2"/>
        <v>288</v>
      </c>
      <c r="J32" s="123">
        <f t="shared" si="3"/>
        <v>288</v>
      </c>
    </row>
    <row r="33" spans="1:10">
      <c r="A33" s="58">
        <v>30</v>
      </c>
      <c r="B33" s="77">
        <v>46111</v>
      </c>
      <c r="C33" s="78"/>
      <c r="D33" s="166"/>
      <c r="E33" s="124"/>
      <c r="F33" s="191">
        <v>24</v>
      </c>
      <c r="G33" s="123">
        <f t="shared" si="0"/>
        <v>0</v>
      </c>
      <c r="H33" s="123">
        <f t="shared" si="1"/>
        <v>0</v>
      </c>
      <c r="I33" s="123">
        <f t="shared" si="2"/>
        <v>288</v>
      </c>
      <c r="J33" s="123">
        <f t="shared" si="3"/>
        <v>288</v>
      </c>
    </row>
    <row r="34" spans="1:10">
      <c r="A34" s="58">
        <v>31</v>
      </c>
      <c r="B34" s="77">
        <v>46112</v>
      </c>
      <c r="C34" s="78"/>
      <c r="D34" s="166"/>
      <c r="E34" s="124"/>
      <c r="F34" s="191">
        <v>24</v>
      </c>
      <c r="G34" s="123">
        <f t="shared" si="0"/>
        <v>0</v>
      </c>
      <c r="H34" s="123">
        <f t="shared" si="1"/>
        <v>0</v>
      </c>
      <c r="I34" s="123">
        <f t="shared" si="2"/>
        <v>288</v>
      </c>
      <c r="J34" s="123">
        <f t="shared" si="3"/>
        <v>288</v>
      </c>
    </row>
    <row r="35" spans="1:10">
      <c r="D35" s="123"/>
      <c r="E35" s="123"/>
      <c r="F35" s="123"/>
      <c r="G35" s="123">
        <f>SUM(G4:G34)</f>
        <v>0</v>
      </c>
      <c r="H35" s="123">
        <f>SUM(H4:H34)</f>
        <v>0</v>
      </c>
      <c r="I35" s="123">
        <f>SUM(I4:I34)</f>
        <v>8928</v>
      </c>
      <c r="J35" s="189">
        <f>SUM(J4:J34)</f>
        <v>8928</v>
      </c>
    </row>
  </sheetData>
  <mergeCells count="40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2:I3"/>
    <mergeCell ref="J2:J3"/>
    <mergeCell ref="B4:C4"/>
    <mergeCell ref="B5:C5"/>
    <mergeCell ref="B6:C6"/>
    <mergeCell ref="B7:C7"/>
    <mergeCell ref="B1:H1"/>
    <mergeCell ref="A2:A3"/>
    <mergeCell ref="B2:C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4A46-73A1-4635-B207-1BB61F58EB8A}">
  <sheetPr codeName="Лист22"/>
  <dimension ref="A1:R37"/>
  <sheetViews>
    <sheetView topLeftCell="A11" workbookViewId="0">
      <selection activeCell="J28" sqref="J28"/>
    </sheetView>
  </sheetViews>
  <sheetFormatPr defaultRowHeight="15"/>
  <cols>
    <col min="1" max="1" width="13.85546875" style="47" customWidth="1"/>
    <col min="2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0.5703125" style="47" bestFit="1" customWidth="1"/>
    <col min="8" max="8" width="9.42578125" style="47" bestFit="1" customWidth="1"/>
    <col min="9" max="9" width="15.140625" style="47" customWidth="1"/>
    <col min="10" max="10" width="13.5703125" style="47" customWidth="1"/>
    <col min="11" max="11" width="14.5703125" style="47" customWidth="1"/>
    <col min="12" max="12" width="13.28515625" style="47" customWidth="1"/>
    <col min="13" max="13" width="11.7109375" style="47" customWidth="1"/>
    <col min="14" max="14" width="24.28515625" style="47" customWidth="1"/>
    <col min="15" max="16" width="9.140625" style="47"/>
    <col min="17" max="17" width="19.28515625" style="47" customWidth="1"/>
    <col min="18" max="16384" width="9.140625" style="47"/>
  </cols>
  <sheetData>
    <row r="1" spans="1:18">
      <c r="A1" s="46">
        <f>N37</f>
        <v>1747.2839999999997</v>
      </c>
      <c r="G1" s="48"/>
    </row>
    <row r="2" spans="1:18" ht="28.9" customHeight="1">
      <c r="A2" s="76" t="str">
        <f>"Отчет по хранению товара за " &amp; TEXT(B5,"ММММ ГГГГ")</f>
        <v>Отчет по хранению товара за Март 2026</v>
      </c>
      <c r="B2" s="76"/>
      <c r="C2" s="76"/>
      <c r="D2" s="76"/>
      <c r="E2" s="76"/>
      <c r="F2" s="76"/>
      <c r="G2" s="76"/>
      <c r="H2" s="76"/>
      <c r="I2" s="47" t="s">
        <v>36</v>
      </c>
    </row>
    <row r="3" spans="1:18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7</v>
      </c>
      <c r="H3" s="49" t="s">
        <v>8</v>
      </c>
      <c r="I3" s="49" t="s">
        <v>11</v>
      </c>
      <c r="J3" s="49" t="s">
        <v>12</v>
      </c>
      <c r="K3" s="49" t="s">
        <v>13</v>
      </c>
      <c r="L3" s="49" t="s">
        <v>16</v>
      </c>
      <c r="M3" s="49" t="s">
        <v>17</v>
      </c>
      <c r="N3" s="49" t="s">
        <v>18</v>
      </c>
      <c r="Q3" s="179" t="s">
        <v>173</v>
      </c>
      <c r="R3" s="179"/>
    </row>
    <row r="4" spans="1:18">
      <c r="A4" s="53"/>
      <c r="B4" s="54"/>
      <c r="C4" s="55"/>
      <c r="D4" s="53"/>
      <c r="E4" s="53"/>
      <c r="F4" s="56"/>
      <c r="G4" s="53"/>
      <c r="H4" s="53"/>
      <c r="I4" s="53"/>
      <c r="J4" s="53"/>
      <c r="K4" s="53"/>
      <c r="L4" s="53"/>
      <c r="M4" s="53"/>
      <c r="N4" s="53"/>
      <c r="Q4" s="192" t="s">
        <v>110</v>
      </c>
      <c r="R4" s="193">
        <v>130</v>
      </c>
    </row>
    <row r="5" spans="1:18">
      <c r="A5" s="58">
        <v>1</v>
      </c>
      <c r="B5" s="77">
        <v>46082</v>
      </c>
      <c r="C5" s="78"/>
      <c r="D5" s="194"/>
      <c r="E5" s="194"/>
      <c r="F5" s="195">
        <v>0</v>
      </c>
      <c r="G5" s="195">
        <v>0</v>
      </c>
      <c r="H5" s="195">
        <v>0</v>
      </c>
      <c r="I5" s="64">
        <f>SUM(D5*$R$4)</f>
        <v>0</v>
      </c>
      <c r="J5" s="64">
        <f>SUM(E5*$R$5)</f>
        <v>0</v>
      </c>
      <c r="K5" s="64">
        <f>SUM(F5*$R$6)</f>
        <v>0</v>
      </c>
      <c r="L5" s="64">
        <f>SUM(G5*$R$7)</f>
        <v>0</v>
      </c>
      <c r="M5" s="64">
        <f>SUM(H5*$R$8)</f>
        <v>0</v>
      </c>
      <c r="N5" s="64">
        <f t="shared" ref="N5:N35" si="0">SUM(I5:M5)</f>
        <v>0</v>
      </c>
      <c r="Q5" s="196" t="s">
        <v>174</v>
      </c>
      <c r="R5" s="197">
        <v>130</v>
      </c>
    </row>
    <row r="6" spans="1:18">
      <c r="A6" s="65">
        <v>2</v>
      </c>
      <c r="B6" s="77">
        <v>46083</v>
      </c>
      <c r="C6" s="78"/>
      <c r="D6" s="194"/>
      <c r="E6" s="198"/>
      <c r="F6" s="195">
        <f>F5-E5+D6</f>
        <v>0</v>
      </c>
      <c r="G6" s="195">
        <v>0</v>
      </c>
      <c r="H6" s="195">
        <v>0</v>
      </c>
      <c r="I6" s="64">
        <f t="shared" ref="I6:I35" si="1">SUM(D6*$R$4)</f>
        <v>0</v>
      </c>
      <c r="J6" s="64">
        <f t="shared" ref="J6:J35" si="2">SUM(E6*$R$5)</f>
        <v>0</v>
      </c>
      <c r="K6" s="64">
        <f t="shared" ref="K6:K35" si="3">SUM(F6*$R$6)</f>
        <v>0</v>
      </c>
      <c r="L6" s="64">
        <f t="shared" ref="L6:L35" si="4">SUM(G6*$R$7)</f>
        <v>0</v>
      </c>
      <c r="M6" s="64">
        <f t="shared" ref="M6:M35" si="5">SUM(H6*$R$8)</f>
        <v>0</v>
      </c>
      <c r="N6" s="64">
        <f t="shared" si="0"/>
        <v>0</v>
      </c>
      <c r="Q6" s="196" t="s">
        <v>4</v>
      </c>
      <c r="R6" s="197">
        <v>22</v>
      </c>
    </row>
    <row r="7" spans="1:18">
      <c r="A7" s="65">
        <v>3</v>
      </c>
      <c r="B7" s="77">
        <v>46084</v>
      </c>
      <c r="C7" s="78"/>
      <c r="D7" s="194"/>
      <c r="E7" s="194"/>
      <c r="F7" s="195">
        <f t="shared" ref="F7:F15" si="6">F6-E6+D7</f>
        <v>0</v>
      </c>
      <c r="G7" s="195">
        <v>0</v>
      </c>
      <c r="H7" s="195">
        <v>0</v>
      </c>
      <c r="I7" s="64">
        <f t="shared" si="1"/>
        <v>0</v>
      </c>
      <c r="J7" s="64">
        <f t="shared" si="2"/>
        <v>0</v>
      </c>
      <c r="K7" s="64">
        <f t="shared" si="3"/>
        <v>0</v>
      </c>
      <c r="L7" s="64">
        <f t="shared" si="4"/>
        <v>0</v>
      </c>
      <c r="M7" s="64">
        <f t="shared" si="5"/>
        <v>0</v>
      </c>
      <c r="N7" s="64">
        <f t="shared" si="0"/>
        <v>0</v>
      </c>
      <c r="Q7" s="196" t="s">
        <v>175</v>
      </c>
      <c r="R7" s="197">
        <v>950</v>
      </c>
    </row>
    <row r="8" spans="1:18">
      <c r="A8" s="65">
        <v>4</v>
      </c>
      <c r="B8" s="77">
        <v>46085</v>
      </c>
      <c r="C8" s="78"/>
      <c r="D8" s="194"/>
      <c r="E8" s="198"/>
      <c r="F8" s="195">
        <f t="shared" si="6"/>
        <v>0</v>
      </c>
      <c r="G8" s="195">
        <v>0</v>
      </c>
      <c r="H8" s="195">
        <v>0</v>
      </c>
      <c r="I8" s="64">
        <f t="shared" si="1"/>
        <v>0</v>
      </c>
      <c r="J8" s="64">
        <f t="shared" si="2"/>
        <v>0</v>
      </c>
      <c r="K8" s="64">
        <f t="shared" si="3"/>
        <v>0</v>
      </c>
      <c r="L8" s="64">
        <f t="shared" si="4"/>
        <v>0</v>
      </c>
      <c r="M8" s="64">
        <f t="shared" si="5"/>
        <v>0</v>
      </c>
      <c r="N8" s="64">
        <f t="shared" si="0"/>
        <v>0</v>
      </c>
      <c r="Q8" s="196" t="s">
        <v>8</v>
      </c>
      <c r="R8" s="197">
        <v>120</v>
      </c>
    </row>
    <row r="9" spans="1:18">
      <c r="A9" s="65">
        <v>5</v>
      </c>
      <c r="B9" s="77">
        <v>46086</v>
      </c>
      <c r="C9" s="78"/>
      <c r="D9" s="194"/>
      <c r="E9" s="199"/>
      <c r="F9" s="195">
        <f t="shared" si="6"/>
        <v>0</v>
      </c>
      <c r="G9" s="195">
        <v>0</v>
      </c>
      <c r="H9" s="195">
        <v>0</v>
      </c>
      <c r="I9" s="64">
        <f t="shared" si="1"/>
        <v>0</v>
      </c>
      <c r="J9" s="64">
        <f t="shared" si="2"/>
        <v>0</v>
      </c>
      <c r="K9" s="64">
        <f t="shared" si="3"/>
        <v>0</v>
      </c>
      <c r="L9" s="64">
        <f t="shared" si="4"/>
        <v>0</v>
      </c>
      <c r="M9" s="64">
        <f t="shared" si="5"/>
        <v>0</v>
      </c>
      <c r="N9" s="64">
        <f t="shared" si="0"/>
        <v>0</v>
      </c>
    </row>
    <row r="10" spans="1:18">
      <c r="A10" s="65">
        <v>6</v>
      </c>
      <c r="B10" s="77">
        <v>46087</v>
      </c>
      <c r="C10" s="78"/>
      <c r="D10" s="202"/>
      <c r="E10" s="194"/>
      <c r="F10" s="195">
        <f t="shared" si="6"/>
        <v>0</v>
      </c>
      <c r="G10" s="195">
        <v>0</v>
      </c>
      <c r="H10" s="195">
        <v>0</v>
      </c>
      <c r="I10" s="64">
        <f t="shared" si="1"/>
        <v>0</v>
      </c>
      <c r="J10" s="64">
        <f t="shared" si="2"/>
        <v>0</v>
      </c>
      <c r="K10" s="64">
        <f t="shared" si="3"/>
        <v>0</v>
      </c>
      <c r="L10" s="64">
        <f t="shared" si="4"/>
        <v>0</v>
      </c>
      <c r="M10" s="64">
        <f t="shared" si="5"/>
        <v>0</v>
      </c>
      <c r="N10" s="64">
        <f t="shared" si="0"/>
        <v>0</v>
      </c>
    </row>
    <row r="11" spans="1:18">
      <c r="A11" s="65">
        <v>7</v>
      </c>
      <c r="B11" s="77">
        <v>46088</v>
      </c>
      <c r="C11" s="78"/>
      <c r="D11" s="194"/>
      <c r="E11" s="194"/>
      <c r="F11" s="195">
        <f t="shared" si="6"/>
        <v>0</v>
      </c>
      <c r="G11" s="195">
        <v>0</v>
      </c>
      <c r="H11" s="195">
        <v>0</v>
      </c>
      <c r="I11" s="64">
        <f t="shared" si="1"/>
        <v>0</v>
      </c>
      <c r="J11" s="64">
        <f t="shared" si="2"/>
        <v>0</v>
      </c>
      <c r="K11" s="64">
        <f t="shared" si="3"/>
        <v>0</v>
      </c>
      <c r="L11" s="64">
        <f t="shared" si="4"/>
        <v>0</v>
      </c>
      <c r="M11" s="64">
        <f t="shared" si="5"/>
        <v>0</v>
      </c>
      <c r="N11" s="64">
        <f t="shared" si="0"/>
        <v>0</v>
      </c>
    </row>
    <row r="12" spans="1:18">
      <c r="A12" s="65">
        <v>8</v>
      </c>
      <c r="B12" s="77">
        <v>46089</v>
      </c>
      <c r="C12" s="78"/>
      <c r="D12" s="202"/>
      <c r="E12" s="194"/>
      <c r="F12" s="195">
        <f t="shared" si="6"/>
        <v>0</v>
      </c>
      <c r="G12" s="195">
        <v>0</v>
      </c>
      <c r="H12" s="195">
        <v>0</v>
      </c>
      <c r="I12" s="64">
        <f t="shared" si="1"/>
        <v>0</v>
      </c>
      <c r="J12" s="64">
        <f t="shared" si="2"/>
        <v>0</v>
      </c>
      <c r="K12" s="64">
        <f t="shared" si="3"/>
        <v>0</v>
      </c>
      <c r="L12" s="64">
        <f t="shared" si="4"/>
        <v>0</v>
      </c>
      <c r="M12" s="64">
        <f t="shared" si="5"/>
        <v>0</v>
      </c>
      <c r="N12" s="64">
        <f t="shared" si="0"/>
        <v>0</v>
      </c>
    </row>
    <row r="13" spans="1:18">
      <c r="A13" s="65">
        <v>9</v>
      </c>
      <c r="B13" s="77">
        <v>46090</v>
      </c>
      <c r="C13" s="78"/>
      <c r="D13" s="194"/>
      <c r="E13" s="200"/>
      <c r="F13" s="195">
        <f t="shared" si="6"/>
        <v>0</v>
      </c>
      <c r="G13" s="195">
        <v>0</v>
      </c>
      <c r="H13" s="195">
        <v>0</v>
      </c>
      <c r="I13" s="64">
        <f t="shared" si="1"/>
        <v>0</v>
      </c>
      <c r="J13" s="64">
        <f t="shared" si="2"/>
        <v>0</v>
      </c>
      <c r="K13" s="64">
        <f t="shared" si="3"/>
        <v>0</v>
      </c>
      <c r="L13" s="64">
        <f t="shared" si="4"/>
        <v>0</v>
      </c>
      <c r="M13" s="64">
        <f t="shared" si="5"/>
        <v>0</v>
      </c>
      <c r="N13" s="64">
        <f t="shared" si="0"/>
        <v>0</v>
      </c>
    </row>
    <row r="14" spans="1:18">
      <c r="A14" s="65">
        <v>10</v>
      </c>
      <c r="B14" s="77">
        <v>46091</v>
      </c>
      <c r="C14" s="78"/>
      <c r="D14" s="194"/>
      <c r="E14" s="194"/>
      <c r="F14" s="195">
        <f t="shared" si="6"/>
        <v>0</v>
      </c>
      <c r="G14" s="195">
        <v>0</v>
      </c>
      <c r="H14" s="195">
        <v>0</v>
      </c>
      <c r="I14" s="64">
        <f t="shared" si="1"/>
        <v>0</v>
      </c>
      <c r="J14" s="64">
        <f t="shared" si="2"/>
        <v>0</v>
      </c>
      <c r="K14" s="64">
        <f t="shared" si="3"/>
        <v>0</v>
      </c>
      <c r="L14" s="64">
        <f t="shared" si="4"/>
        <v>0</v>
      </c>
      <c r="M14" s="64">
        <f t="shared" si="5"/>
        <v>0</v>
      </c>
      <c r="N14" s="64">
        <f t="shared" si="0"/>
        <v>0</v>
      </c>
    </row>
    <row r="15" spans="1:18">
      <c r="A15" s="65">
        <v>11</v>
      </c>
      <c r="B15" s="77">
        <v>46092</v>
      </c>
      <c r="C15" s="78"/>
      <c r="D15" s="194"/>
      <c r="E15" s="199"/>
      <c r="F15" s="195">
        <f t="shared" si="6"/>
        <v>0</v>
      </c>
      <c r="G15" s="195">
        <v>0</v>
      </c>
      <c r="H15" s="195">
        <v>0</v>
      </c>
      <c r="I15" s="64">
        <f t="shared" si="1"/>
        <v>0</v>
      </c>
      <c r="J15" s="64">
        <f t="shared" si="2"/>
        <v>0</v>
      </c>
      <c r="K15" s="64">
        <f t="shared" si="3"/>
        <v>0</v>
      </c>
      <c r="L15" s="64">
        <f t="shared" si="4"/>
        <v>0</v>
      </c>
      <c r="M15" s="64">
        <f t="shared" si="5"/>
        <v>0</v>
      </c>
      <c r="N15" s="64">
        <f t="shared" si="0"/>
        <v>0</v>
      </c>
    </row>
    <row r="16" spans="1:18">
      <c r="A16" s="65">
        <v>12</v>
      </c>
      <c r="B16" s="77">
        <v>46093</v>
      </c>
      <c r="C16" s="78"/>
      <c r="D16" s="194"/>
      <c r="E16" s="194"/>
      <c r="F16" s="195">
        <f>F15-E15+D16</f>
        <v>0</v>
      </c>
      <c r="G16" s="195">
        <v>0</v>
      </c>
      <c r="H16" s="195">
        <v>0</v>
      </c>
      <c r="I16" s="64">
        <f t="shared" si="1"/>
        <v>0</v>
      </c>
      <c r="J16" s="64">
        <f t="shared" si="2"/>
        <v>0</v>
      </c>
      <c r="K16" s="64">
        <f t="shared" si="3"/>
        <v>0</v>
      </c>
      <c r="L16" s="64">
        <f t="shared" si="4"/>
        <v>0</v>
      </c>
      <c r="M16" s="64">
        <f t="shared" si="5"/>
        <v>0</v>
      </c>
      <c r="N16" s="64">
        <f t="shared" si="0"/>
        <v>0</v>
      </c>
    </row>
    <row r="17" spans="1:14">
      <c r="A17" s="65">
        <v>13</v>
      </c>
      <c r="B17" s="77">
        <v>46094</v>
      </c>
      <c r="C17" s="78"/>
      <c r="D17" s="202"/>
      <c r="E17" s="194"/>
      <c r="F17" s="195">
        <f t="shared" ref="F17:F35" si="7">F16-E16+D17</f>
        <v>0</v>
      </c>
      <c r="G17" s="195">
        <v>0</v>
      </c>
      <c r="H17" s="195">
        <v>0</v>
      </c>
      <c r="I17" s="64">
        <f t="shared" si="1"/>
        <v>0</v>
      </c>
      <c r="J17" s="64">
        <f t="shared" si="2"/>
        <v>0</v>
      </c>
      <c r="K17" s="64">
        <f t="shared" si="3"/>
        <v>0</v>
      </c>
      <c r="L17" s="64">
        <f t="shared" si="4"/>
        <v>0</v>
      </c>
      <c r="M17" s="64">
        <f t="shared" si="5"/>
        <v>0</v>
      </c>
      <c r="N17" s="64">
        <f t="shared" si="0"/>
        <v>0</v>
      </c>
    </row>
    <row r="18" spans="1:14">
      <c r="A18" s="65">
        <v>14</v>
      </c>
      <c r="B18" s="77">
        <v>46095</v>
      </c>
      <c r="C18" s="78"/>
      <c r="D18" s="194"/>
      <c r="E18" s="194"/>
      <c r="F18" s="195">
        <f t="shared" si="7"/>
        <v>0</v>
      </c>
      <c r="G18" s="195">
        <v>0</v>
      </c>
      <c r="H18" s="195">
        <v>0</v>
      </c>
      <c r="I18" s="64">
        <f t="shared" si="1"/>
        <v>0</v>
      </c>
      <c r="J18" s="64">
        <f t="shared" si="2"/>
        <v>0</v>
      </c>
      <c r="K18" s="64">
        <f t="shared" si="3"/>
        <v>0</v>
      </c>
      <c r="L18" s="64">
        <f t="shared" si="4"/>
        <v>0</v>
      </c>
      <c r="M18" s="64">
        <f t="shared" si="5"/>
        <v>0</v>
      </c>
      <c r="N18" s="64">
        <f t="shared" si="0"/>
        <v>0</v>
      </c>
    </row>
    <row r="19" spans="1:14">
      <c r="A19" s="65">
        <v>15</v>
      </c>
      <c r="B19" s="77">
        <v>46096</v>
      </c>
      <c r="C19" s="78"/>
      <c r="D19" s="194"/>
      <c r="E19" s="194"/>
      <c r="F19" s="195">
        <f t="shared" si="7"/>
        <v>0</v>
      </c>
      <c r="G19" s="195">
        <v>0</v>
      </c>
      <c r="H19" s="195">
        <v>0</v>
      </c>
      <c r="I19" s="64">
        <f t="shared" si="1"/>
        <v>0</v>
      </c>
      <c r="J19" s="64">
        <f t="shared" si="2"/>
        <v>0</v>
      </c>
      <c r="K19" s="64">
        <f t="shared" si="3"/>
        <v>0</v>
      </c>
      <c r="L19" s="64">
        <f t="shared" si="4"/>
        <v>0</v>
      </c>
      <c r="M19" s="64">
        <f t="shared" si="5"/>
        <v>0</v>
      </c>
      <c r="N19" s="64">
        <f t="shared" si="0"/>
        <v>0</v>
      </c>
    </row>
    <row r="20" spans="1:14">
      <c r="A20" s="65">
        <v>16</v>
      </c>
      <c r="B20" s="77">
        <v>46097</v>
      </c>
      <c r="C20" s="78"/>
      <c r="D20" s="194"/>
      <c r="E20" s="201"/>
      <c r="F20" s="195">
        <f t="shared" si="7"/>
        <v>0</v>
      </c>
      <c r="G20" s="195">
        <v>0</v>
      </c>
      <c r="H20" s="195">
        <v>0</v>
      </c>
      <c r="I20" s="64">
        <f t="shared" si="1"/>
        <v>0</v>
      </c>
      <c r="J20" s="64">
        <f t="shared" si="2"/>
        <v>0</v>
      </c>
      <c r="K20" s="64">
        <f t="shared" si="3"/>
        <v>0</v>
      </c>
      <c r="L20" s="64">
        <f t="shared" si="4"/>
        <v>0</v>
      </c>
      <c r="M20" s="64">
        <f t="shared" si="5"/>
        <v>0</v>
      </c>
      <c r="N20" s="64">
        <f t="shared" si="0"/>
        <v>0</v>
      </c>
    </row>
    <row r="21" spans="1:14">
      <c r="A21" s="65">
        <v>17</v>
      </c>
      <c r="B21" s="77">
        <v>46098</v>
      </c>
      <c r="C21" s="78"/>
      <c r="D21" s="194"/>
      <c r="E21" s="194"/>
      <c r="F21" s="195">
        <f t="shared" si="7"/>
        <v>0</v>
      </c>
      <c r="G21" s="195">
        <v>0</v>
      </c>
      <c r="H21" s="195">
        <v>0</v>
      </c>
      <c r="I21" s="64">
        <f t="shared" si="1"/>
        <v>0</v>
      </c>
      <c r="J21" s="64">
        <f t="shared" si="2"/>
        <v>0</v>
      </c>
      <c r="K21" s="64">
        <f t="shared" si="3"/>
        <v>0</v>
      </c>
      <c r="L21" s="64">
        <f t="shared" si="4"/>
        <v>0</v>
      </c>
      <c r="M21" s="64">
        <f t="shared" si="5"/>
        <v>0</v>
      </c>
      <c r="N21" s="64">
        <f t="shared" si="0"/>
        <v>0</v>
      </c>
    </row>
    <row r="22" spans="1:14">
      <c r="A22" s="65">
        <v>18</v>
      </c>
      <c r="B22" s="77">
        <v>46099</v>
      </c>
      <c r="C22" s="78"/>
      <c r="D22" s="194"/>
      <c r="E22" s="199"/>
      <c r="F22" s="195">
        <f t="shared" si="7"/>
        <v>0</v>
      </c>
      <c r="G22" s="195">
        <v>0</v>
      </c>
      <c r="H22" s="195">
        <v>0</v>
      </c>
      <c r="I22" s="64">
        <f t="shared" si="1"/>
        <v>0</v>
      </c>
      <c r="J22" s="64">
        <f t="shared" si="2"/>
        <v>0</v>
      </c>
      <c r="K22" s="64">
        <f t="shared" si="3"/>
        <v>0</v>
      </c>
      <c r="L22" s="64">
        <f t="shared" si="4"/>
        <v>0</v>
      </c>
      <c r="M22" s="64">
        <f t="shared" si="5"/>
        <v>0</v>
      </c>
      <c r="N22" s="64">
        <f t="shared" si="0"/>
        <v>0</v>
      </c>
    </row>
    <row r="23" spans="1:14">
      <c r="A23" s="65">
        <v>19</v>
      </c>
      <c r="B23" s="77">
        <v>46100</v>
      </c>
      <c r="C23" s="78"/>
      <c r="D23" s="194"/>
      <c r="E23" s="194"/>
      <c r="F23" s="195">
        <f t="shared" si="7"/>
        <v>0</v>
      </c>
      <c r="G23" s="195">
        <v>0</v>
      </c>
      <c r="H23" s="195">
        <v>0</v>
      </c>
      <c r="I23" s="64">
        <f t="shared" si="1"/>
        <v>0</v>
      </c>
      <c r="J23" s="64">
        <f t="shared" si="2"/>
        <v>0</v>
      </c>
      <c r="K23" s="64">
        <f t="shared" si="3"/>
        <v>0</v>
      </c>
      <c r="L23" s="64">
        <f t="shared" si="4"/>
        <v>0</v>
      </c>
      <c r="M23" s="64">
        <f t="shared" si="5"/>
        <v>0</v>
      </c>
      <c r="N23" s="64">
        <f t="shared" si="0"/>
        <v>0</v>
      </c>
    </row>
    <row r="24" spans="1:14">
      <c r="A24" s="65">
        <v>20</v>
      </c>
      <c r="B24" s="77">
        <v>46101</v>
      </c>
      <c r="C24" s="78"/>
      <c r="D24" s="202"/>
      <c r="E24" s="194"/>
      <c r="F24" s="195">
        <f t="shared" si="7"/>
        <v>0</v>
      </c>
      <c r="G24" s="195">
        <v>0</v>
      </c>
      <c r="H24" s="195">
        <v>0</v>
      </c>
      <c r="I24" s="64">
        <f t="shared" si="1"/>
        <v>0</v>
      </c>
      <c r="J24" s="64">
        <f t="shared" si="2"/>
        <v>0</v>
      </c>
      <c r="K24" s="64">
        <f t="shared" si="3"/>
        <v>0</v>
      </c>
      <c r="L24" s="64">
        <f t="shared" si="4"/>
        <v>0</v>
      </c>
      <c r="M24" s="64">
        <f t="shared" si="5"/>
        <v>0</v>
      </c>
      <c r="N24" s="64">
        <f t="shared" si="0"/>
        <v>0</v>
      </c>
    </row>
    <row r="25" spans="1:14">
      <c r="A25" s="65">
        <v>21</v>
      </c>
      <c r="B25" s="77">
        <v>46102</v>
      </c>
      <c r="C25" s="78"/>
      <c r="D25" s="194"/>
      <c r="E25" s="194"/>
      <c r="F25" s="195">
        <f t="shared" si="7"/>
        <v>0</v>
      </c>
      <c r="G25" s="195">
        <v>0</v>
      </c>
      <c r="H25" s="195">
        <v>0</v>
      </c>
      <c r="I25" s="64">
        <f t="shared" si="1"/>
        <v>0</v>
      </c>
      <c r="J25" s="64">
        <f t="shared" si="2"/>
        <v>0</v>
      </c>
      <c r="K25" s="64">
        <f t="shared" si="3"/>
        <v>0</v>
      </c>
      <c r="L25" s="64">
        <f t="shared" si="4"/>
        <v>0</v>
      </c>
      <c r="M25" s="64">
        <f t="shared" si="5"/>
        <v>0</v>
      </c>
      <c r="N25" s="64">
        <f t="shared" si="0"/>
        <v>0</v>
      </c>
    </row>
    <row r="26" spans="1:14">
      <c r="A26" s="65">
        <v>22</v>
      </c>
      <c r="B26" s="77">
        <v>46103</v>
      </c>
      <c r="C26" s="78"/>
      <c r="D26" s="194"/>
      <c r="E26" s="194"/>
      <c r="F26" s="195">
        <f t="shared" si="7"/>
        <v>0</v>
      </c>
      <c r="G26" s="195">
        <v>0</v>
      </c>
      <c r="H26" s="195">
        <v>0</v>
      </c>
      <c r="I26" s="64">
        <f t="shared" si="1"/>
        <v>0</v>
      </c>
      <c r="J26" s="64">
        <f t="shared" si="2"/>
        <v>0</v>
      </c>
      <c r="K26" s="64">
        <f t="shared" si="3"/>
        <v>0</v>
      </c>
      <c r="L26" s="64">
        <f t="shared" si="4"/>
        <v>0</v>
      </c>
      <c r="M26" s="64">
        <f t="shared" si="5"/>
        <v>0</v>
      </c>
      <c r="N26" s="64">
        <f t="shared" si="0"/>
        <v>0</v>
      </c>
    </row>
    <row r="27" spans="1:14">
      <c r="A27" s="65">
        <v>23</v>
      </c>
      <c r="B27" s="77">
        <v>46104</v>
      </c>
      <c r="C27" s="78"/>
      <c r="D27" s="194"/>
      <c r="E27" s="194"/>
      <c r="F27" s="195">
        <f t="shared" si="7"/>
        <v>0</v>
      </c>
      <c r="G27" s="195">
        <v>0</v>
      </c>
      <c r="H27" s="195">
        <v>0</v>
      </c>
      <c r="I27" s="64">
        <f t="shared" si="1"/>
        <v>0</v>
      </c>
      <c r="J27" s="64">
        <f t="shared" si="2"/>
        <v>0</v>
      </c>
      <c r="K27" s="64">
        <f t="shared" si="3"/>
        <v>0</v>
      </c>
      <c r="L27" s="64">
        <f t="shared" si="4"/>
        <v>0</v>
      </c>
      <c r="M27" s="64">
        <f t="shared" si="5"/>
        <v>0</v>
      </c>
      <c r="N27" s="64">
        <f t="shared" si="0"/>
        <v>0</v>
      </c>
    </row>
    <row r="28" spans="1:14">
      <c r="A28" s="65">
        <v>24</v>
      </c>
      <c r="B28" s="77">
        <v>46105</v>
      </c>
      <c r="C28" s="78"/>
      <c r="D28" s="194"/>
      <c r="E28" s="201"/>
      <c r="F28" s="195">
        <f t="shared" si="7"/>
        <v>0</v>
      </c>
      <c r="G28" s="195">
        <v>0</v>
      </c>
      <c r="H28" s="195">
        <v>0</v>
      </c>
      <c r="I28" s="64">
        <f t="shared" si="1"/>
        <v>0</v>
      </c>
      <c r="J28" s="64">
        <f t="shared" si="2"/>
        <v>0</v>
      </c>
      <c r="K28" s="64">
        <f t="shared" si="3"/>
        <v>0</v>
      </c>
      <c r="L28" s="64">
        <f t="shared" si="4"/>
        <v>0</v>
      </c>
      <c r="M28" s="64">
        <f t="shared" si="5"/>
        <v>0</v>
      </c>
      <c r="N28" s="64">
        <f t="shared" si="0"/>
        <v>0</v>
      </c>
    </row>
    <row r="29" spans="1:14">
      <c r="A29" s="65">
        <v>25</v>
      </c>
      <c r="B29" s="77">
        <v>46106</v>
      </c>
      <c r="C29" s="78"/>
      <c r="D29" s="194"/>
      <c r="E29" s="201"/>
      <c r="F29" s="195">
        <f t="shared" si="7"/>
        <v>0</v>
      </c>
      <c r="G29" s="195">
        <v>0</v>
      </c>
      <c r="H29" s="195">
        <v>0</v>
      </c>
      <c r="I29" s="64">
        <f t="shared" si="1"/>
        <v>0</v>
      </c>
      <c r="J29" s="64">
        <f t="shared" si="2"/>
        <v>0</v>
      </c>
      <c r="K29" s="64">
        <f t="shared" si="3"/>
        <v>0</v>
      </c>
      <c r="L29" s="64">
        <f t="shared" si="4"/>
        <v>0</v>
      </c>
      <c r="M29" s="64">
        <f t="shared" si="5"/>
        <v>0</v>
      </c>
      <c r="N29" s="64">
        <f t="shared" si="0"/>
        <v>0</v>
      </c>
    </row>
    <row r="30" spans="1:14">
      <c r="A30" s="65">
        <v>26</v>
      </c>
      <c r="B30" s="77">
        <v>46107</v>
      </c>
      <c r="C30" s="78"/>
      <c r="D30" s="194"/>
      <c r="E30" s="200"/>
      <c r="F30" s="195">
        <f t="shared" si="7"/>
        <v>0</v>
      </c>
      <c r="G30" s="195">
        <v>0</v>
      </c>
      <c r="H30" s="195">
        <v>0</v>
      </c>
      <c r="I30" s="64">
        <f t="shared" si="1"/>
        <v>0</v>
      </c>
      <c r="J30" s="64">
        <f t="shared" si="2"/>
        <v>0</v>
      </c>
      <c r="K30" s="64">
        <f t="shared" si="3"/>
        <v>0</v>
      </c>
      <c r="L30" s="64">
        <f t="shared" si="4"/>
        <v>0</v>
      </c>
      <c r="M30" s="64">
        <f t="shared" si="5"/>
        <v>0</v>
      </c>
      <c r="N30" s="64">
        <f t="shared" si="0"/>
        <v>0</v>
      </c>
    </row>
    <row r="31" spans="1:14">
      <c r="A31" s="65">
        <v>27</v>
      </c>
      <c r="B31" s="77">
        <v>46108</v>
      </c>
      <c r="C31" s="78"/>
      <c r="D31" s="194"/>
      <c r="E31" s="194"/>
      <c r="F31" s="195">
        <f t="shared" si="7"/>
        <v>0</v>
      </c>
      <c r="G31" s="195">
        <v>0</v>
      </c>
      <c r="H31" s="195">
        <v>0</v>
      </c>
      <c r="I31" s="64">
        <f t="shared" si="1"/>
        <v>0</v>
      </c>
      <c r="J31" s="64">
        <f t="shared" si="2"/>
        <v>0</v>
      </c>
      <c r="K31" s="64">
        <f t="shared" si="3"/>
        <v>0</v>
      </c>
      <c r="L31" s="64">
        <f t="shared" si="4"/>
        <v>0</v>
      </c>
      <c r="M31" s="64">
        <f t="shared" si="5"/>
        <v>0</v>
      </c>
      <c r="N31" s="64">
        <f t="shared" si="0"/>
        <v>0</v>
      </c>
    </row>
    <row r="32" spans="1:14">
      <c r="A32" s="65">
        <v>28</v>
      </c>
      <c r="B32" s="77">
        <v>46109</v>
      </c>
      <c r="C32" s="78"/>
      <c r="D32" s="194"/>
      <c r="E32" s="194"/>
      <c r="F32" s="195">
        <f t="shared" si="7"/>
        <v>0</v>
      </c>
      <c r="G32" s="195">
        <v>0</v>
      </c>
      <c r="H32" s="195">
        <v>0</v>
      </c>
      <c r="I32" s="64">
        <f t="shared" si="1"/>
        <v>0</v>
      </c>
      <c r="J32" s="64">
        <f t="shared" si="2"/>
        <v>0</v>
      </c>
      <c r="K32" s="64">
        <f t="shared" si="3"/>
        <v>0</v>
      </c>
      <c r="L32" s="64">
        <f t="shared" si="4"/>
        <v>0</v>
      </c>
      <c r="M32" s="64">
        <f t="shared" si="5"/>
        <v>0</v>
      </c>
      <c r="N32" s="64">
        <f t="shared" si="0"/>
        <v>0</v>
      </c>
    </row>
    <row r="33" spans="1:14">
      <c r="A33" s="65">
        <v>29</v>
      </c>
      <c r="B33" s="77">
        <v>46110</v>
      </c>
      <c r="C33" s="78"/>
      <c r="D33" s="198"/>
      <c r="E33" s="194"/>
      <c r="F33" s="195">
        <f t="shared" si="7"/>
        <v>0</v>
      </c>
      <c r="G33" s="195">
        <v>0</v>
      </c>
      <c r="H33" s="195">
        <v>0</v>
      </c>
      <c r="I33" s="64">
        <f t="shared" si="1"/>
        <v>0</v>
      </c>
      <c r="J33" s="64">
        <f t="shared" si="2"/>
        <v>0</v>
      </c>
      <c r="K33" s="64">
        <f t="shared" si="3"/>
        <v>0</v>
      </c>
      <c r="L33" s="64">
        <f t="shared" si="4"/>
        <v>0</v>
      </c>
      <c r="M33" s="64">
        <f t="shared" si="5"/>
        <v>0</v>
      </c>
      <c r="N33" s="64">
        <f t="shared" si="0"/>
        <v>0</v>
      </c>
    </row>
    <row r="34" spans="1:14">
      <c r="A34" s="65">
        <v>30</v>
      </c>
      <c r="B34" s="77">
        <v>46111</v>
      </c>
      <c r="C34" s="78"/>
      <c r="D34" s="194"/>
      <c r="E34" s="200"/>
      <c r="F34" s="195">
        <v>32.549999999999997</v>
      </c>
      <c r="G34" s="195">
        <v>0</v>
      </c>
      <c r="H34" s="195">
        <v>0</v>
      </c>
      <c r="I34" s="64">
        <f t="shared" si="1"/>
        <v>0</v>
      </c>
      <c r="J34" s="64">
        <f t="shared" si="2"/>
        <v>0</v>
      </c>
      <c r="K34" s="64">
        <f t="shared" si="3"/>
        <v>716.09999999999991</v>
      </c>
      <c r="L34" s="64">
        <f t="shared" si="4"/>
        <v>0</v>
      </c>
      <c r="M34" s="64">
        <f t="shared" si="5"/>
        <v>0</v>
      </c>
      <c r="N34" s="64">
        <f t="shared" si="0"/>
        <v>716.09999999999991</v>
      </c>
    </row>
    <row r="35" spans="1:14">
      <c r="A35" s="65"/>
      <c r="B35" s="77">
        <v>46112</v>
      </c>
      <c r="C35" s="78"/>
      <c r="D35" s="194"/>
      <c r="E35" s="194"/>
      <c r="F35" s="195">
        <f t="shared" si="7"/>
        <v>32.549999999999997</v>
      </c>
      <c r="G35" s="195">
        <v>0</v>
      </c>
      <c r="H35" s="195">
        <v>0</v>
      </c>
      <c r="I35" s="64">
        <f t="shared" si="1"/>
        <v>0</v>
      </c>
      <c r="J35" s="64">
        <f t="shared" si="2"/>
        <v>0</v>
      </c>
      <c r="K35" s="64">
        <f t="shared" si="3"/>
        <v>716.09999999999991</v>
      </c>
      <c r="L35" s="64">
        <f t="shared" si="4"/>
        <v>0</v>
      </c>
      <c r="M35" s="64">
        <f t="shared" si="5"/>
        <v>0</v>
      </c>
      <c r="N35" s="64">
        <f t="shared" si="0"/>
        <v>716.09999999999991</v>
      </c>
    </row>
    <row r="36" spans="1:14">
      <c r="D36" s="70">
        <f t="shared" ref="D36:N36" si="8">SUM(D5:D35)</f>
        <v>0</v>
      </c>
      <c r="E36" s="70">
        <f t="shared" si="8"/>
        <v>0</v>
      </c>
      <c r="F36" s="70">
        <f t="shared" si="8"/>
        <v>65.099999999999994</v>
      </c>
      <c r="G36" s="70">
        <f t="shared" si="8"/>
        <v>0</v>
      </c>
      <c r="H36" s="70">
        <f t="shared" si="8"/>
        <v>0</v>
      </c>
      <c r="I36" s="72">
        <f t="shared" si="8"/>
        <v>0</v>
      </c>
      <c r="J36" s="72">
        <f t="shared" si="8"/>
        <v>0</v>
      </c>
      <c r="K36" s="72">
        <f t="shared" si="8"/>
        <v>1432.1999999999998</v>
      </c>
      <c r="L36" s="72">
        <f t="shared" si="8"/>
        <v>0</v>
      </c>
      <c r="M36" s="72">
        <f t="shared" si="8"/>
        <v>0</v>
      </c>
      <c r="N36" s="72">
        <f t="shared" si="8"/>
        <v>1432.1999999999998</v>
      </c>
    </row>
    <row r="37" spans="1:14">
      <c r="L37" s="73"/>
      <c r="M37" s="73"/>
      <c r="N37" s="74">
        <f>N36*1.22</f>
        <v>1747.2839999999997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E8A6-FC03-4855-B1C8-D58B995C893A}">
  <sheetPr codeName="Лист23"/>
  <dimension ref="A2:F21"/>
  <sheetViews>
    <sheetView workbookViewId="0">
      <selection activeCell="D12" sqref="D12"/>
    </sheetView>
  </sheetViews>
  <sheetFormatPr defaultRowHeight="15"/>
  <cols>
    <col min="1" max="1" width="9.140625" style="47" customWidth="1"/>
    <col min="2" max="2" width="32.28515625" style="47" customWidth="1"/>
    <col min="3" max="3" width="12.5703125" style="47" customWidth="1"/>
    <col min="4" max="4" width="13.28515625" style="47" customWidth="1"/>
    <col min="5" max="5" width="12.42578125" style="47" customWidth="1"/>
    <col min="6" max="6" width="16.42578125" style="47" customWidth="1"/>
    <col min="7" max="16384" width="9.140625" style="47"/>
  </cols>
  <sheetData>
    <row r="2" spans="1:6">
      <c r="A2" s="73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3" spans="1:6">
      <c r="A3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3" s="73"/>
      <c r="C3" s="73"/>
    </row>
    <row r="4" spans="1:6" ht="15" customHeight="1">
      <c r="A4" s="73" t="s">
        <v>176</v>
      </c>
      <c r="B4" s="73"/>
      <c r="C4" s="73"/>
    </row>
    <row r="5" spans="1:6">
      <c r="A5" s="47" t="s">
        <v>120</v>
      </c>
    </row>
    <row r="6" spans="1:6">
      <c r="A6" s="47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8" spans="1:6">
      <c r="A8" s="63" t="s">
        <v>0</v>
      </c>
      <c r="B8" s="63" t="s">
        <v>78</v>
      </c>
      <c r="C8" s="63" t="s">
        <v>79</v>
      </c>
      <c r="D8" s="63" t="s">
        <v>80</v>
      </c>
      <c r="E8" s="63" t="s">
        <v>81</v>
      </c>
      <c r="F8" s="63" t="s">
        <v>82</v>
      </c>
    </row>
    <row r="9" spans="1:6">
      <c r="A9" s="203">
        <v>1</v>
      </c>
      <c r="B9" s="47" t="s">
        <v>177</v>
      </c>
      <c r="C9" s="203" t="s">
        <v>178</v>
      </c>
      <c r="D9" s="204">
        <v>216.2</v>
      </c>
      <c r="E9" s="205">
        <v>950</v>
      </c>
      <c r="F9" s="205">
        <f>D9*E9</f>
        <v>205390</v>
      </c>
    </row>
    <row r="10" spans="1:6">
      <c r="A10" s="203">
        <v>2</v>
      </c>
      <c r="B10" s="63" t="s">
        <v>8</v>
      </c>
      <c r="C10" s="203" t="s">
        <v>178</v>
      </c>
      <c r="D10" s="204">
        <f>D9</f>
        <v>216.2</v>
      </c>
      <c r="E10" s="205">
        <v>120</v>
      </c>
      <c r="F10" s="205">
        <f t="shared" ref="F10:F11" si="0">D10*E10</f>
        <v>25944</v>
      </c>
    </row>
    <row r="11" spans="1:6">
      <c r="A11" s="203">
        <v>3</v>
      </c>
      <c r="B11" s="63" t="s">
        <v>179</v>
      </c>
      <c r="C11" s="203" t="s">
        <v>180</v>
      </c>
      <c r="D11" s="204">
        <v>174</v>
      </c>
      <c r="E11" s="205">
        <v>830</v>
      </c>
      <c r="F11" s="205">
        <f t="shared" si="0"/>
        <v>144420</v>
      </c>
    </row>
    <row r="12" spans="1:6">
      <c r="A12" s="47" t="s">
        <v>83</v>
      </c>
      <c r="F12" s="205">
        <f>SUM(F9:F11)</f>
        <v>375754</v>
      </c>
    </row>
    <row r="13" spans="1:6">
      <c r="A13" s="47" t="s">
        <v>84</v>
      </c>
      <c r="F13" s="205">
        <f>F12</f>
        <v>375754</v>
      </c>
    </row>
    <row r="14" spans="1:6">
      <c r="A14" s="47" t="s">
        <v>85</v>
      </c>
      <c r="F14" s="205">
        <f>F13*1.22</f>
        <v>458419.88</v>
      </c>
    </row>
    <row r="15" spans="1:6">
      <c r="A15" s="47" t="s">
        <v>86</v>
      </c>
    </row>
    <row r="16" spans="1:6">
      <c r="A16" s="47" t="s">
        <v>87</v>
      </c>
    </row>
    <row r="19" spans="1:4" ht="15" customHeight="1">
      <c r="A19" s="47" t="s">
        <v>89</v>
      </c>
      <c r="D19" s="47" t="s">
        <v>142</v>
      </c>
    </row>
    <row r="21" spans="1:4">
      <c r="A21" s="47" t="s">
        <v>131</v>
      </c>
      <c r="D21" s="47" t="s">
        <v>93</v>
      </c>
    </row>
  </sheetData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EC3B-54CA-4B3E-A100-4A7D46A553CF}">
  <sheetPr codeName="Лист24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"г. Казань_Приволжская"</f>
        <v>Акт  №    от  31 Март 2026г. Казань_Приволжская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7">
      <c r="A5" s="73" t="s">
        <v>132</v>
      </c>
      <c r="B5" s="73"/>
      <c r="C5" s="73"/>
    </row>
    <row r="6" spans="1:7">
      <c r="A6" s="47" t="s">
        <v>120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63" t="s">
        <v>0</v>
      </c>
      <c r="B9" s="63" t="s">
        <v>78</v>
      </c>
      <c r="C9" s="63" t="s">
        <v>79</v>
      </c>
      <c r="D9" s="63" t="s">
        <v>80</v>
      </c>
      <c r="E9" s="63" t="s">
        <v>81</v>
      </c>
      <c r="F9" s="63" t="s">
        <v>133</v>
      </c>
      <c r="G9" s="63" t="s">
        <v>134</v>
      </c>
    </row>
    <row r="10" spans="1:7">
      <c r="A10" s="203">
        <v>1</v>
      </c>
      <c r="B10" s="63" t="s">
        <v>135</v>
      </c>
      <c r="C10" s="203" t="s">
        <v>136</v>
      </c>
      <c r="D10" s="65">
        <v>7</v>
      </c>
      <c r="E10" s="206">
        <v>2000</v>
      </c>
      <c r="F10" s="206">
        <f>SUM(D10*E10)</f>
        <v>14000</v>
      </c>
      <c r="G10" s="206">
        <f>F10*1.22</f>
        <v>17080</v>
      </c>
    </row>
    <row r="11" spans="1:7">
      <c r="A11" s="203">
        <v>2</v>
      </c>
      <c r="B11" s="63" t="s">
        <v>137</v>
      </c>
      <c r="C11" s="203" t="s">
        <v>136</v>
      </c>
      <c r="D11" s="65"/>
      <c r="E11" s="206"/>
      <c r="F11" s="206">
        <f>SUM(D11*E11)</f>
        <v>0</v>
      </c>
      <c r="G11" s="206">
        <f>F11*1.2</f>
        <v>0</v>
      </c>
    </row>
    <row r="12" spans="1:7">
      <c r="A12" s="156"/>
      <c r="C12" s="156"/>
      <c r="D12" s="157"/>
      <c r="E12" s="121"/>
      <c r="F12" s="206">
        <f>SUM(F10:F11)</f>
        <v>14000</v>
      </c>
      <c r="G12" s="206">
        <f>SUM(G10:G11)</f>
        <v>17080</v>
      </c>
    </row>
    <row r="13" spans="1:7">
      <c r="A13" s="73" t="s">
        <v>138</v>
      </c>
      <c r="B13" s="73" t="s">
        <v>181</v>
      </c>
      <c r="C13" s="73"/>
      <c r="D13" s="73"/>
    </row>
    <row r="14" spans="1:7">
      <c r="A14" s="73" t="s">
        <v>140</v>
      </c>
      <c r="B14" s="73" t="str">
        <f>B13</f>
        <v>четырнадцать тысяч рублей ноль копеек</v>
      </c>
      <c r="C14" s="73"/>
      <c r="D14" s="73"/>
    </row>
    <row r="15" spans="1:7">
      <c r="A15" s="73" t="s">
        <v>85</v>
      </c>
      <c r="B15" s="73" t="s">
        <v>182</v>
      </c>
      <c r="F15" s="158"/>
      <c r="G15" s="158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142</v>
      </c>
    </row>
    <row r="22" spans="1:4">
      <c r="A22" s="47" t="s">
        <v>131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98AE-8C7C-41A0-80CD-8FE49204B7E5}">
  <sheetPr codeName="Лист25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Март 2026 г. Казань_Автосервисная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7">
      <c r="A5" s="73" t="s">
        <v>132</v>
      </c>
      <c r="B5" s="73"/>
      <c r="C5" s="73"/>
    </row>
    <row r="6" spans="1:7">
      <c r="A6" s="47" t="s">
        <v>120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63" t="s">
        <v>0</v>
      </c>
      <c r="B9" s="63" t="s">
        <v>78</v>
      </c>
      <c r="C9" s="63" t="s">
        <v>79</v>
      </c>
      <c r="D9" s="63" t="s">
        <v>80</v>
      </c>
      <c r="E9" s="63" t="s">
        <v>81</v>
      </c>
      <c r="F9" s="63" t="s">
        <v>133</v>
      </c>
      <c r="G9" s="63" t="s">
        <v>134</v>
      </c>
    </row>
    <row r="10" spans="1:7">
      <c r="A10" s="203">
        <v>1</v>
      </c>
      <c r="B10" s="63" t="s">
        <v>135</v>
      </c>
      <c r="C10" s="203" t="s">
        <v>136</v>
      </c>
      <c r="D10" s="65">
        <v>18</v>
      </c>
      <c r="E10" s="206">
        <v>2000</v>
      </c>
      <c r="F10" s="206">
        <f>SUM(D10*E10)</f>
        <v>36000</v>
      </c>
      <c r="G10" s="206">
        <f>F10*1.22</f>
        <v>43920</v>
      </c>
    </row>
    <row r="11" spans="1:7">
      <c r="A11" s="203">
        <v>2</v>
      </c>
      <c r="B11" s="63" t="s">
        <v>137</v>
      </c>
      <c r="C11" s="203" t="s">
        <v>136</v>
      </c>
      <c r="D11" s="65"/>
      <c r="E11" s="206"/>
      <c r="F11" s="206">
        <f>SUM(D11*E11)</f>
        <v>0</v>
      </c>
      <c r="G11" s="206">
        <f>F11*1.2</f>
        <v>0</v>
      </c>
    </row>
    <row r="12" spans="1:7">
      <c r="A12" s="156"/>
      <c r="C12" s="156"/>
      <c r="D12" s="157"/>
      <c r="E12" s="121"/>
      <c r="F12" s="206">
        <f>SUM(F10:F11)</f>
        <v>36000</v>
      </c>
      <c r="G12" s="206">
        <f>SUM(G10:G11)</f>
        <v>43920</v>
      </c>
    </row>
    <row r="13" spans="1:7">
      <c r="A13" s="73" t="s">
        <v>138</v>
      </c>
      <c r="B13" s="73" t="s">
        <v>183</v>
      </c>
      <c r="C13" s="73"/>
      <c r="D13" s="73"/>
    </row>
    <row r="14" spans="1:7">
      <c r="A14" s="73" t="s">
        <v>140</v>
      </c>
      <c r="B14" s="73" t="str">
        <f>B13</f>
        <v>тридцать шесть тысяч рублей ноль копеек</v>
      </c>
      <c r="C14" s="73"/>
      <c r="D14" s="73"/>
    </row>
    <row r="15" spans="1:7">
      <c r="A15" s="73" t="s">
        <v>85</v>
      </c>
      <c r="B15" s="73" t="s">
        <v>184</v>
      </c>
      <c r="F15" s="158"/>
      <c r="G15" s="158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142</v>
      </c>
    </row>
    <row r="22" spans="1:4">
      <c r="A22" s="47" t="s">
        <v>131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5DAF-B20B-43B3-849C-7E2B01A3CAAC}">
  <sheetPr codeName="Лист26"/>
  <dimension ref="A2:F21"/>
  <sheetViews>
    <sheetView workbookViewId="0">
      <selection activeCell="D12" sqref="D12"/>
    </sheetView>
  </sheetViews>
  <sheetFormatPr defaultRowHeight="15"/>
  <cols>
    <col min="1" max="1" width="9.140625" style="47" customWidth="1"/>
    <col min="2" max="2" width="32.28515625" style="47" customWidth="1"/>
    <col min="3" max="3" width="12.5703125" style="47" customWidth="1"/>
    <col min="4" max="4" width="13.28515625" style="47" customWidth="1"/>
    <col min="5" max="5" width="12.42578125" style="47" customWidth="1"/>
    <col min="6" max="6" width="17.28515625" style="47" customWidth="1"/>
    <col min="7" max="16384" width="9.140625" style="47"/>
  </cols>
  <sheetData>
    <row r="2" spans="1:6">
      <c r="A2" s="73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3" spans="1:6">
      <c r="A3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3" s="73"/>
      <c r="C3" s="73"/>
    </row>
    <row r="4" spans="1:6" ht="15" customHeight="1">
      <c r="A4" s="73" t="s">
        <v>176</v>
      </c>
      <c r="B4" s="73"/>
      <c r="C4" s="73"/>
    </row>
    <row r="5" spans="1:6">
      <c r="A5" s="47" t="s">
        <v>120</v>
      </c>
    </row>
    <row r="6" spans="1:6">
      <c r="A6" s="47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8" spans="1:6">
      <c r="A8" s="63" t="s">
        <v>0</v>
      </c>
      <c r="B8" s="63" t="s">
        <v>78</v>
      </c>
      <c r="C8" s="63" t="s">
        <v>79</v>
      </c>
      <c r="D8" s="63" t="s">
        <v>80</v>
      </c>
      <c r="E8" s="63" t="s">
        <v>81</v>
      </c>
      <c r="F8" s="63" t="s">
        <v>82</v>
      </c>
    </row>
    <row r="9" spans="1:6">
      <c r="A9" s="203">
        <v>1</v>
      </c>
      <c r="B9" s="63" t="s">
        <v>177</v>
      </c>
      <c r="C9" s="203" t="s">
        <v>178</v>
      </c>
      <c r="D9" s="204">
        <v>22</v>
      </c>
      <c r="E9" s="205">
        <v>1000</v>
      </c>
      <c r="F9" s="205">
        <f t="shared" ref="F9:F11" si="0">SUM(D9*E9)</f>
        <v>22000</v>
      </c>
    </row>
    <row r="10" spans="1:6">
      <c r="A10" s="203">
        <v>2</v>
      </c>
      <c r="B10" s="63" t="s">
        <v>8</v>
      </c>
      <c r="C10" s="203" t="s">
        <v>178</v>
      </c>
      <c r="D10" s="204">
        <f>D9</f>
        <v>22</v>
      </c>
      <c r="E10" s="205">
        <v>200</v>
      </c>
      <c r="F10" s="205">
        <f t="shared" si="0"/>
        <v>4400</v>
      </c>
    </row>
    <row r="11" spans="1:6">
      <c r="A11" s="203">
        <v>3</v>
      </c>
      <c r="B11" s="63" t="s">
        <v>179</v>
      </c>
      <c r="C11" s="203" t="s">
        <v>180</v>
      </c>
      <c r="D11" s="204">
        <v>16</v>
      </c>
      <c r="E11" s="205">
        <v>830</v>
      </c>
      <c r="F11" s="205">
        <f t="shared" si="0"/>
        <v>13280</v>
      </c>
    </row>
    <row r="12" spans="1:6">
      <c r="A12" s="47" t="s">
        <v>83</v>
      </c>
      <c r="F12" s="205">
        <f>SUM(F9:F11)</f>
        <v>39680</v>
      </c>
    </row>
    <row r="13" spans="1:6">
      <c r="A13" s="47" t="s">
        <v>84</v>
      </c>
      <c r="F13" s="205">
        <f>SUM(F12)</f>
        <v>39680</v>
      </c>
    </row>
    <row r="14" spans="1:6">
      <c r="A14" s="47" t="s">
        <v>85</v>
      </c>
      <c r="F14" s="205">
        <f>SUM(F13)*1.2</f>
        <v>47616</v>
      </c>
    </row>
    <row r="15" spans="1:6">
      <c r="A15" s="47" t="s">
        <v>86</v>
      </c>
    </row>
    <row r="16" spans="1:6">
      <c r="A16" s="47" t="s">
        <v>87</v>
      </c>
    </row>
    <row r="19" spans="1:4" ht="15" customHeight="1">
      <c r="A19" s="47" t="s">
        <v>89</v>
      </c>
      <c r="D19" s="47" t="s">
        <v>142</v>
      </c>
    </row>
    <row r="21" spans="1:4">
      <c r="A21" s="47" t="s">
        <v>131</v>
      </c>
      <c r="D21" s="47" t="s">
        <v>93</v>
      </c>
    </row>
  </sheetData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FF56-96A9-4057-91EE-F34E588E61C1}">
  <sheetPr codeName="Лист27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7" customWidth="1"/>
    <col min="2" max="2" width="27.140625" style="47" customWidth="1"/>
    <col min="3" max="3" width="9.85546875" style="47" customWidth="1"/>
    <col min="4" max="4" width="11.28515625" style="47" customWidth="1"/>
    <col min="5" max="5" width="10.7109375" style="47" customWidth="1"/>
    <col min="6" max="6" width="14.5703125" style="47" customWidth="1"/>
    <col min="7" max="7" width="13.5703125" style="47" customWidth="1"/>
    <col min="8" max="16384" width="9.140625" style="47"/>
  </cols>
  <sheetData>
    <row r="3" spans="1:7">
      <c r="A3" s="73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Март 2026 г. Екатеринбург</v>
      </c>
    </row>
    <row r="4" spans="1:7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7">
      <c r="A5" s="73" t="s">
        <v>132</v>
      </c>
      <c r="B5" s="73"/>
      <c r="C5" s="73"/>
    </row>
    <row r="6" spans="1:7">
      <c r="A6" s="47" t="s">
        <v>120</v>
      </c>
    </row>
    <row r="7" spans="1:7">
      <c r="A7" s="47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63" t="s">
        <v>0</v>
      </c>
      <c r="B9" s="63" t="s">
        <v>78</v>
      </c>
      <c r="C9" s="63" t="s">
        <v>79</v>
      </c>
      <c r="D9" s="63" t="s">
        <v>80</v>
      </c>
      <c r="E9" s="63" t="s">
        <v>81</v>
      </c>
      <c r="F9" s="63" t="s">
        <v>133</v>
      </c>
      <c r="G9" s="63" t="s">
        <v>134</v>
      </c>
    </row>
    <row r="10" spans="1:7">
      <c r="A10" s="203">
        <v>1</v>
      </c>
      <c r="B10" s="63" t="s">
        <v>135</v>
      </c>
      <c r="C10" s="203" t="s">
        <v>136</v>
      </c>
      <c r="D10" s="65">
        <v>83</v>
      </c>
      <c r="E10" s="206">
        <v>2000</v>
      </c>
      <c r="F10" s="206">
        <f>SUM(D10*E10)</f>
        <v>166000</v>
      </c>
      <c r="G10" s="206">
        <f>F10*1.22</f>
        <v>202520</v>
      </c>
    </row>
    <row r="11" spans="1:7">
      <c r="A11" s="203">
        <v>2</v>
      </c>
      <c r="B11" s="63" t="s">
        <v>137</v>
      </c>
      <c r="C11" s="203" t="s">
        <v>136</v>
      </c>
      <c r="D11" s="65"/>
      <c r="E11" s="206"/>
      <c r="F11" s="206">
        <f>SUM(D11*E11)</f>
        <v>0</v>
      </c>
      <c r="G11" s="206">
        <f>F11*1.2</f>
        <v>0</v>
      </c>
    </row>
    <row r="12" spans="1:7">
      <c r="A12" s="156"/>
      <c r="C12" s="156"/>
      <c r="D12" s="157"/>
      <c r="E12" s="121"/>
      <c r="F12" s="206">
        <f>SUM(F10:F11)</f>
        <v>166000</v>
      </c>
      <c r="G12" s="206">
        <f>SUM(G10:G11)</f>
        <v>202520</v>
      </c>
    </row>
    <row r="13" spans="1:7">
      <c r="A13" s="73" t="s">
        <v>138</v>
      </c>
      <c r="B13" s="73" t="s">
        <v>185</v>
      </c>
      <c r="C13" s="73"/>
      <c r="D13" s="73"/>
    </row>
    <row r="14" spans="1:7">
      <c r="A14" s="73" t="s">
        <v>140</v>
      </c>
      <c r="B14" s="73" t="str">
        <f>B13</f>
        <v>сто шестьдесят шесть тысяч рублей ноль копеек</v>
      </c>
      <c r="C14" s="73"/>
      <c r="D14" s="73"/>
    </row>
    <row r="15" spans="1:7">
      <c r="A15" s="73" t="s">
        <v>85</v>
      </c>
      <c r="B15" s="73" t="s">
        <v>186</v>
      </c>
      <c r="F15" s="158"/>
      <c r="G15" s="158"/>
    </row>
    <row r="16" spans="1:7">
      <c r="A16" s="47" t="s">
        <v>86</v>
      </c>
    </row>
    <row r="17" spans="1:4">
      <c r="A17" s="47" t="s">
        <v>87</v>
      </c>
    </row>
    <row r="20" spans="1:4">
      <c r="A20" s="47" t="s">
        <v>89</v>
      </c>
      <c r="D20" s="47" t="s">
        <v>142</v>
      </c>
    </row>
    <row r="22" spans="1:4">
      <c r="A22" s="47" t="s">
        <v>131</v>
      </c>
      <c r="D22" s="47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1B02-24F7-4111-AD76-84D9FF6064B7}">
  <sheetPr codeName="Лист28"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187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58">
        <v>1</v>
      </c>
      <c r="B5" s="77" t="s">
        <v>197</v>
      </c>
      <c r="C5" s="78"/>
      <c r="D5" s="195">
        <v>0</v>
      </c>
      <c r="E5" s="195">
        <v>0</v>
      </c>
      <c r="F5" s="195">
        <v>5.4749999999999996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195">
        <v>0</v>
      </c>
      <c r="E6" s="195">
        <v>0</v>
      </c>
      <c r="F6" s="195">
        <v>5.4749999999999996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195">
        <v>0</v>
      </c>
      <c r="E7" s="195">
        <v>0</v>
      </c>
      <c r="F7" s="195">
        <v>5.4749999999999996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195">
        <v>0</v>
      </c>
      <c r="E8" s="195">
        <v>0</v>
      </c>
      <c r="F8" s="195">
        <v>5.4749999999999996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195">
        <v>0</v>
      </c>
      <c r="E9" s="195">
        <v>0</v>
      </c>
      <c r="F9" s="195">
        <v>5.4749999999999996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195">
        <v>0</v>
      </c>
      <c r="E10" s="195">
        <v>0</v>
      </c>
      <c r="F10" s="195">
        <v>5.4749999999999996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195">
        <v>0</v>
      </c>
      <c r="E11" s="195">
        <v>0</v>
      </c>
      <c r="F11" s="195">
        <v>5.4749999999999996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195">
        <v>0</v>
      </c>
      <c r="E12" s="195">
        <v>0</v>
      </c>
      <c r="F12" s="195">
        <v>5.4749999999999996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195">
        <v>0</v>
      </c>
      <c r="E13" s="195">
        <v>0</v>
      </c>
      <c r="F13" s="195">
        <v>5.4749999999999996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195">
        <v>0</v>
      </c>
      <c r="E14" s="195">
        <v>0</v>
      </c>
      <c r="F14" s="195">
        <v>5.4749999999999996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195">
        <v>0</v>
      </c>
      <c r="E15" s="195">
        <v>0</v>
      </c>
      <c r="F15" s="195">
        <v>5.4749999999999996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195">
        <v>0</v>
      </c>
      <c r="E16" s="195">
        <v>0</v>
      </c>
      <c r="F16" s="195">
        <v>5.4749999999999996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195">
        <v>0</v>
      </c>
      <c r="E17" s="195">
        <v>0</v>
      </c>
      <c r="F17" s="195">
        <v>5.4749999999999996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195">
        <v>0</v>
      </c>
      <c r="E18" s="195">
        <v>0</v>
      </c>
      <c r="F18" s="195">
        <v>5.4749999999999996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195">
        <v>0</v>
      </c>
      <c r="E19" s="195">
        <v>0</v>
      </c>
      <c r="F19" s="195">
        <v>5.4749999999999996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195">
        <v>0</v>
      </c>
      <c r="E20" s="195">
        <v>0</v>
      </c>
      <c r="F20" s="195">
        <v>5.4749999999999996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195">
        <v>0</v>
      </c>
      <c r="E21" s="195">
        <v>0</v>
      </c>
      <c r="F21" s="195">
        <v>5.4749999999999996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195">
        <v>0</v>
      </c>
      <c r="E22" s="195">
        <v>0</v>
      </c>
      <c r="F22" s="195">
        <v>5.4749999999999996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195">
        <v>0</v>
      </c>
      <c r="E23" s="195">
        <v>0</v>
      </c>
      <c r="F23" s="195">
        <v>5.4749999999999996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195">
        <v>0</v>
      </c>
      <c r="E24" s="195">
        <v>0</v>
      </c>
      <c r="F24" s="195">
        <v>5.4749999999999996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195">
        <v>0</v>
      </c>
      <c r="E25" s="195">
        <v>0</v>
      </c>
      <c r="F25" s="195">
        <v>5.4749999999999996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195">
        <v>0</v>
      </c>
      <c r="E26" s="195">
        <v>0</v>
      </c>
      <c r="F26" s="195">
        <v>5.4749999999999996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195">
        <v>0</v>
      </c>
      <c r="E27" s="195">
        <v>0</v>
      </c>
      <c r="F27" s="195">
        <v>5.4749999999999996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195">
        <v>0</v>
      </c>
      <c r="E28" s="195">
        <v>0</v>
      </c>
      <c r="F28" s="195">
        <v>5.4749999999999996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195">
        <v>0</v>
      </c>
      <c r="E29" s="195">
        <v>0</v>
      </c>
      <c r="F29" s="195">
        <v>5.4749999999999996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195">
        <v>0</v>
      </c>
      <c r="E30" s="195">
        <v>0</v>
      </c>
      <c r="F30" s="195">
        <v>5.4749999999999996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195">
        <v>0</v>
      </c>
      <c r="E31" s="195">
        <v>0</v>
      </c>
      <c r="F31" s="195">
        <v>5.4749999999999996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195">
        <v>0</v>
      </c>
      <c r="E32" s="195">
        <v>0</v>
      </c>
      <c r="F32" s="195">
        <v>5.4749999999999996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195">
        <v>0</v>
      </c>
      <c r="E33" s="195">
        <v>0</v>
      </c>
      <c r="F33" s="195">
        <v>5.4749999999999996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195">
        <v>22</v>
      </c>
      <c r="E34" s="195">
        <v>0</v>
      </c>
      <c r="F34" s="195">
        <v>27.475000000000001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195">
        <v>0</v>
      </c>
      <c r="E35" s="195">
        <v>0</v>
      </c>
      <c r="F35" s="195">
        <v>27.475000000000001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22</v>
      </c>
      <c r="E36" s="70">
        <v>0</v>
      </c>
      <c r="F36" s="70">
        <v>213.72499999999991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4322.87</v>
      </c>
      <c r="N36" s="209">
        <v>0</v>
      </c>
      <c r="O36" s="209">
        <v>2439.0300000000002</v>
      </c>
      <c r="P36" s="209">
        <v>659.98</v>
      </c>
      <c r="Q36" s="209">
        <v>0</v>
      </c>
      <c r="R36" s="209">
        <v>0</v>
      </c>
      <c r="S36" s="209">
        <v>0</v>
      </c>
      <c r="T36" s="209">
        <v>7421.88</v>
      </c>
    </row>
    <row r="37" spans="1:20">
      <c r="R37" s="73"/>
      <c r="S37" s="73"/>
      <c r="T37" s="210">
        <v>9054.69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23CC-B55D-4F41-AF1D-73D1B1F393C2}">
  <sheetPr codeName="Лист29"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228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88</v>
      </c>
      <c r="E5" s="211">
        <v>88</v>
      </c>
      <c r="F5" s="211">
        <v>6652.54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308</v>
      </c>
      <c r="E6" s="211">
        <v>88</v>
      </c>
      <c r="F6" s="211">
        <v>6872.54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331.5</v>
      </c>
      <c r="E7" s="211">
        <v>110</v>
      </c>
      <c r="F7" s="211">
        <v>7094.04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486.5</v>
      </c>
      <c r="E8" s="211">
        <v>68.25</v>
      </c>
      <c r="F8" s="211">
        <v>7512.29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444.5</v>
      </c>
      <c r="E9" s="211">
        <v>206</v>
      </c>
      <c r="F9" s="211">
        <v>7750.79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334</v>
      </c>
      <c r="E10" s="211">
        <v>94.5</v>
      </c>
      <c r="F10" s="211">
        <v>7990.29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357.25</v>
      </c>
      <c r="E11" s="211">
        <v>201.5</v>
      </c>
      <c r="F11" s="211">
        <v>8146.04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110.5</v>
      </c>
      <c r="E12" s="211">
        <v>90</v>
      </c>
      <c r="F12" s="211">
        <v>8166.54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331.5</v>
      </c>
      <c r="E13" s="211">
        <v>67</v>
      </c>
      <c r="F13" s="211">
        <v>8431.0400000000009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309.5</v>
      </c>
      <c r="E14" s="211">
        <v>112</v>
      </c>
      <c r="F14" s="211">
        <v>8628.5400000000009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243</v>
      </c>
      <c r="E15" s="211">
        <v>110.5</v>
      </c>
      <c r="F15" s="211">
        <v>8761.0400000000009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331.5</v>
      </c>
      <c r="E16" s="211">
        <v>109.675</v>
      </c>
      <c r="F16" s="211">
        <v>8982.8649999999998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220.5</v>
      </c>
      <c r="E17" s="211">
        <v>66.5</v>
      </c>
      <c r="F17" s="211">
        <v>9136.8649999999998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66.5</v>
      </c>
      <c r="E18" s="211">
        <v>44.5</v>
      </c>
      <c r="F18" s="211">
        <v>9158.8649999999998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45</v>
      </c>
      <c r="E19" s="211">
        <v>22.5</v>
      </c>
      <c r="F19" s="211">
        <v>9181.3649999999998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53.75</v>
      </c>
      <c r="F20" s="211">
        <v>9127.6149999999998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22</v>
      </c>
      <c r="E21" s="211">
        <v>150.875</v>
      </c>
      <c r="F21" s="211">
        <v>8998.74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159.625</v>
      </c>
      <c r="F22" s="211">
        <v>8839.1149999999998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8.25</v>
      </c>
      <c r="F23" s="211">
        <v>8830.8649999999998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264</v>
      </c>
      <c r="E24" s="211">
        <v>58.25</v>
      </c>
      <c r="F24" s="211">
        <v>9036.6149999999998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66</v>
      </c>
      <c r="E25" s="211">
        <v>66</v>
      </c>
      <c r="F25" s="211">
        <v>9036.6149999999998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44</v>
      </c>
      <c r="E26" s="211">
        <v>110.5</v>
      </c>
      <c r="F26" s="211">
        <v>8970.1149999999998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44</v>
      </c>
      <c r="E27" s="211">
        <v>265.10000000000002</v>
      </c>
      <c r="F27" s="211">
        <v>8749.0149999999994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44</v>
      </c>
      <c r="E28" s="211">
        <v>259.125</v>
      </c>
      <c r="F28" s="211">
        <v>8533.89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176</v>
      </c>
      <c r="E29" s="211">
        <v>226.5</v>
      </c>
      <c r="F29" s="211">
        <v>8483.39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117.875</v>
      </c>
      <c r="F30" s="211">
        <v>8365.5149999999994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110.5</v>
      </c>
      <c r="F31" s="211">
        <v>8255.0149999999994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66</v>
      </c>
      <c r="E32" s="211">
        <v>66.5</v>
      </c>
      <c r="F32" s="211">
        <v>8254.5149999999994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88</v>
      </c>
      <c r="E33" s="211">
        <v>132</v>
      </c>
      <c r="F33" s="211">
        <v>8210.5149999999994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246.25</v>
      </c>
      <c r="F34" s="211">
        <v>7964.2650000000003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63.75</v>
      </c>
      <c r="E35" s="211">
        <v>266.25</v>
      </c>
      <c r="F35" s="211">
        <v>7761.7650000000003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4885.5</v>
      </c>
      <c r="E36" s="70">
        <v>3776.2750000000001</v>
      </c>
      <c r="F36" s="70">
        <v>259883.21500000008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959971.33</v>
      </c>
      <c r="N36" s="209">
        <v>947972.57</v>
      </c>
      <c r="O36" s="209">
        <v>2965786.01</v>
      </c>
      <c r="P36" s="209">
        <v>802520.61</v>
      </c>
      <c r="Q36" s="209">
        <v>0</v>
      </c>
      <c r="R36" s="209">
        <v>0</v>
      </c>
      <c r="S36" s="209">
        <v>0</v>
      </c>
      <c r="T36" s="209">
        <v>5676250.5199999996</v>
      </c>
    </row>
    <row r="37" spans="1:20">
      <c r="R37" s="73"/>
      <c r="S37" s="73"/>
      <c r="T37" s="210">
        <v>6925025.6299999999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1BA4-2F68-44BB-AD6A-EBE503BEC94C}">
  <sheetPr codeName="Лист30"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229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155.375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155.375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155.375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22</v>
      </c>
      <c r="F8" s="211">
        <v>133.375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133.375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133.375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133.375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133.375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133.375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133.375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133.375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88</v>
      </c>
      <c r="E16" s="211">
        <v>0</v>
      </c>
      <c r="F16" s="211">
        <v>221.375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44</v>
      </c>
      <c r="E17" s="211">
        <v>22</v>
      </c>
      <c r="F17" s="211">
        <v>243.375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22</v>
      </c>
      <c r="E18" s="211">
        <v>0</v>
      </c>
      <c r="F18" s="211">
        <v>265.375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265.375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22</v>
      </c>
      <c r="E20" s="211">
        <v>0</v>
      </c>
      <c r="F20" s="211">
        <v>287.375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22</v>
      </c>
      <c r="E21" s="211">
        <v>0</v>
      </c>
      <c r="F21" s="211">
        <v>309.375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309.375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309.375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309.375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309.375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309.375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309.375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44</v>
      </c>
      <c r="F28" s="211">
        <v>265.375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44</v>
      </c>
      <c r="F29" s="211">
        <v>221.375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221.375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44</v>
      </c>
      <c r="F31" s="211">
        <v>177.375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22</v>
      </c>
      <c r="F32" s="211">
        <v>155.375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22</v>
      </c>
      <c r="F33" s="211">
        <v>133.375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133.375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133.375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198</v>
      </c>
      <c r="E36" s="70">
        <v>220</v>
      </c>
      <c r="F36" s="70">
        <v>6422.625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38905.81</v>
      </c>
      <c r="N36" s="209">
        <v>55227.43</v>
      </c>
      <c r="O36" s="209">
        <v>73294.97</v>
      </c>
      <c r="P36" s="209">
        <v>19833.099999999999</v>
      </c>
      <c r="Q36" s="209">
        <v>0</v>
      </c>
      <c r="R36" s="209">
        <v>0</v>
      </c>
      <c r="S36" s="209">
        <v>0</v>
      </c>
      <c r="T36" s="209">
        <v>187261.31</v>
      </c>
    </row>
    <row r="37" spans="1:20">
      <c r="R37" s="73"/>
      <c r="S37" s="73"/>
      <c r="T37" s="210">
        <v>228458.8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8E03-2DBA-4B2A-B9F7-BA64C7EAF4DA}">
  <sheetPr codeName="Лист31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9.140625" style="47"/>
    <col min="9" max="9" width="10.28515625" style="47" bestFit="1" customWidth="1"/>
    <col min="10" max="11" width="9.140625" style="47"/>
    <col min="12" max="12" width="9.28515625" style="47" bestFit="1" customWidth="1"/>
    <col min="13" max="13" width="14.42578125" style="47" customWidth="1"/>
    <col min="14" max="14" width="14.140625" style="47" customWidth="1"/>
    <col min="15" max="15" width="15.140625" style="47" customWidth="1"/>
    <col min="16" max="16" width="15.42578125" style="47" customWidth="1"/>
    <col min="17" max="17" width="14.5703125" style="47" customWidth="1"/>
    <col min="18" max="18" width="13.28515625" style="47" customWidth="1"/>
    <col min="19" max="19" width="14.5703125" style="47" customWidth="1"/>
    <col min="20" max="20" width="19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230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146</v>
      </c>
      <c r="E3" s="49" t="s">
        <v>147</v>
      </c>
      <c r="F3" s="52" t="s">
        <v>4</v>
      </c>
      <c r="G3" s="49" t="s">
        <v>231</v>
      </c>
      <c r="H3" s="49" t="s">
        <v>232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 ht="30">
      <c r="A4" s="53"/>
      <c r="B4" s="54"/>
      <c r="C4" s="55"/>
      <c r="D4" s="53"/>
      <c r="E4" s="53"/>
      <c r="F4" s="56" t="s">
        <v>156</v>
      </c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233</v>
      </c>
      <c r="C5" s="78"/>
      <c r="D5" s="212">
        <v>0</v>
      </c>
      <c r="E5" s="212">
        <v>0</v>
      </c>
      <c r="F5" s="213">
        <v>75</v>
      </c>
      <c r="G5" s="214">
        <v>0</v>
      </c>
      <c r="H5" s="214">
        <v>0</v>
      </c>
      <c r="I5" s="63">
        <v>0</v>
      </c>
      <c r="J5" s="63">
        <v>0</v>
      </c>
      <c r="K5" s="63"/>
      <c r="L5" s="208">
        <v>0</v>
      </c>
      <c r="M5" s="208">
        <v>0</v>
      </c>
      <c r="N5" s="208">
        <v>0</v>
      </c>
      <c r="O5" s="208">
        <v>1495.5</v>
      </c>
      <c r="P5" s="208">
        <v>0</v>
      </c>
      <c r="Q5" s="208">
        <v>0</v>
      </c>
      <c r="R5" s="208">
        <v>0</v>
      </c>
      <c r="S5" s="208">
        <v>0</v>
      </c>
      <c r="T5" s="208">
        <v>1495.5</v>
      </c>
    </row>
    <row r="6" spans="1:20">
      <c r="A6" s="65">
        <v>2</v>
      </c>
      <c r="B6" s="77" t="s">
        <v>234</v>
      </c>
      <c r="C6" s="78"/>
      <c r="D6" s="212">
        <v>0</v>
      </c>
      <c r="E6" s="212">
        <v>15</v>
      </c>
      <c r="F6" s="213">
        <v>60</v>
      </c>
      <c r="G6" s="214">
        <v>0</v>
      </c>
      <c r="H6" s="214">
        <v>0</v>
      </c>
      <c r="I6" s="63">
        <v>0</v>
      </c>
      <c r="J6" s="63">
        <v>0</v>
      </c>
      <c r="K6" s="63"/>
      <c r="L6" s="208">
        <v>0</v>
      </c>
      <c r="M6" s="208">
        <v>0</v>
      </c>
      <c r="N6" s="208">
        <v>2268.75</v>
      </c>
      <c r="O6" s="208">
        <v>1196.4000000000001</v>
      </c>
      <c r="P6" s="208">
        <v>0</v>
      </c>
      <c r="Q6" s="208">
        <v>0</v>
      </c>
      <c r="R6" s="208">
        <v>0</v>
      </c>
      <c r="S6" s="208">
        <v>0</v>
      </c>
      <c r="T6" s="208">
        <v>3465.15</v>
      </c>
    </row>
    <row r="7" spans="1:20">
      <c r="A7" s="65">
        <v>3</v>
      </c>
      <c r="B7" s="77" t="s">
        <v>235</v>
      </c>
      <c r="C7" s="78"/>
      <c r="D7" s="212">
        <v>0</v>
      </c>
      <c r="E7" s="212">
        <v>0</v>
      </c>
      <c r="F7" s="213">
        <v>60</v>
      </c>
      <c r="G7" s="214">
        <v>0</v>
      </c>
      <c r="H7" s="214">
        <v>0</v>
      </c>
      <c r="I7" s="63">
        <v>0</v>
      </c>
      <c r="J7" s="63">
        <v>0</v>
      </c>
      <c r="K7" s="63"/>
      <c r="L7" s="208">
        <v>0</v>
      </c>
      <c r="M7" s="208">
        <v>0</v>
      </c>
      <c r="N7" s="208">
        <v>0</v>
      </c>
      <c r="O7" s="208">
        <v>1196.4000000000001</v>
      </c>
      <c r="P7" s="208">
        <v>0</v>
      </c>
      <c r="Q7" s="208">
        <v>0</v>
      </c>
      <c r="R7" s="208">
        <v>0</v>
      </c>
      <c r="S7" s="208">
        <v>0</v>
      </c>
      <c r="T7" s="208">
        <v>1196.4000000000001</v>
      </c>
    </row>
    <row r="8" spans="1:20">
      <c r="A8" s="65">
        <v>4</v>
      </c>
      <c r="B8" s="77" t="s">
        <v>236</v>
      </c>
      <c r="C8" s="78"/>
      <c r="D8" s="212">
        <v>0</v>
      </c>
      <c r="E8" s="212">
        <v>0</v>
      </c>
      <c r="F8" s="213">
        <v>60</v>
      </c>
      <c r="G8" s="214">
        <v>0</v>
      </c>
      <c r="H8" s="214">
        <v>0</v>
      </c>
      <c r="I8" s="63">
        <v>0</v>
      </c>
      <c r="J8" s="63">
        <v>0</v>
      </c>
      <c r="K8" s="63"/>
      <c r="L8" s="208">
        <v>0</v>
      </c>
      <c r="M8" s="208">
        <v>0</v>
      </c>
      <c r="N8" s="208">
        <v>0</v>
      </c>
      <c r="O8" s="208">
        <v>1196.4000000000001</v>
      </c>
      <c r="P8" s="208">
        <v>0</v>
      </c>
      <c r="Q8" s="208">
        <v>0</v>
      </c>
      <c r="R8" s="208">
        <v>0</v>
      </c>
      <c r="S8" s="208">
        <v>0</v>
      </c>
      <c r="T8" s="208">
        <v>1196.4000000000001</v>
      </c>
    </row>
    <row r="9" spans="1:20">
      <c r="A9" s="65">
        <v>5</v>
      </c>
      <c r="B9" s="77" t="s">
        <v>237</v>
      </c>
      <c r="C9" s="78"/>
      <c r="D9" s="212">
        <v>0</v>
      </c>
      <c r="E9" s="212">
        <v>15</v>
      </c>
      <c r="F9" s="213">
        <v>45</v>
      </c>
      <c r="G9" s="214">
        <v>0</v>
      </c>
      <c r="H9" s="214">
        <v>0</v>
      </c>
      <c r="I9" s="63">
        <v>0</v>
      </c>
      <c r="J9" s="63">
        <v>0</v>
      </c>
      <c r="K9" s="63"/>
      <c r="L9" s="208">
        <v>0</v>
      </c>
      <c r="M9" s="208">
        <v>0</v>
      </c>
      <c r="N9" s="208">
        <v>2268.75</v>
      </c>
      <c r="O9" s="208">
        <v>897.3</v>
      </c>
      <c r="P9" s="208">
        <v>0</v>
      </c>
      <c r="Q9" s="208">
        <v>0</v>
      </c>
      <c r="R9" s="208">
        <v>0</v>
      </c>
      <c r="S9" s="208">
        <v>0</v>
      </c>
      <c r="T9" s="208">
        <v>3166.05</v>
      </c>
    </row>
    <row r="10" spans="1:20">
      <c r="A10" s="65">
        <v>6</v>
      </c>
      <c r="B10" s="77" t="s">
        <v>238</v>
      </c>
      <c r="C10" s="78"/>
      <c r="D10" s="212">
        <v>0</v>
      </c>
      <c r="E10" s="212">
        <v>30</v>
      </c>
      <c r="F10" s="213">
        <v>15</v>
      </c>
      <c r="G10" s="214">
        <v>0</v>
      </c>
      <c r="H10" s="214">
        <v>0</v>
      </c>
      <c r="I10" s="63">
        <v>0</v>
      </c>
      <c r="J10" s="63">
        <v>0</v>
      </c>
      <c r="K10" s="63"/>
      <c r="L10" s="208">
        <v>0</v>
      </c>
      <c r="M10" s="208">
        <v>0</v>
      </c>
      <c r="N10" s="208">
        <v>4537.5</v>
      </c>
      <c r="O10" s="208">
        <v>299.10000000000002</v>
      </c>
      <c r="P10" s="208">
        <v>0</v>
      </c>
      <c r="Q10" s="208">
        <v>0</v>
      </c>
      <c r="R10" s="208">
        <v>0</v>
      </c>
      <c r="S10" s="208">
        <v>0</v>
      </c>
      <c r="T10" s="208">
        <v>4836.6000000000004</v>
      </c>
    </row>
    <row r="11" spans="1:20">
      <c r="A11" s="65">
        <v>7</v>
      </c>
      <c r="B11" s="77" t="s">
        <v>239</v>
      </c>
      <c r="C11" s="78"/>
      <c r="D11" s="212">
        <v>0</v>
      </c>
      <c r="E11" s="212">
        <v>15</v>
      </c>
      <c r="F11" s="213">
        <v>0</v>
      </c>
      <c r="G11" s="214">
        <v>0</v>
      </c>
      <c r="H11" s="214">
        <v>0</v>
      </c>
      <c r="I11" s="63">
        <v>0</v>
      </c>
      <c r="J11" s="63">
        <v>0</v>
      </c>
      <c r="K11" s="63"/>
      <c r="L11" s="208">
        <v>0</v>
      </c>
      <c r="M11" s="208">
        <v>0</v>
      </c>
      <c r="N11" s="208">
        <v>2268.75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2268.75</v>
      </c>
    </row>
    <row r="12" spans="1:20">
      <c r="A12" s="65">
        <v>8</v>
      </c>
      <c r="B12" s="77" t="s">
        <v>240</v>
      </c>
      <c r="C12" s="78"/>
      <c r="D12" s="212">
        <v>0</v>
      </c>
      <c r="E12" s="212">
        <v>0</v>
      </c>
      <c r="F12" s="213">
        <v>0</v>
      </c>
      <c r="G12" s="214">
        <v>0</v>
      </c>
      <c r="H12" s="214">
        <v>0</v>
      </c>
      <c r="I12" s="63">
        <v>0</v>
      </c>
      <c r="J12" s="63">
        <v>0</v>
      </c>
      <c r="K12" s="63"/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241</v>
      </c>
      <c r="C13" s="78"/>
      <c r="D13" s="212">
        <v>0</v>
      </c>
      <c r="E13" s="212">
        <v>0</v>
      </c>
      <c r="F13" s="213">
        <v>0</v>
      </c>
      <c r="G13" s="214">
        <v>0</v>
      </c>
      <c r="H13" s="214">
        <v>0</v>
      </c>
      <c r="I13" s="63">
        <v>0</v>
      </c>
      <c r="J13" s="63">
        <v>0</v>
      </c>
      <c r="K13" s="63"/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242</v>
      </c>
      <c r="C14" s="78"/>
      <c r="D14" s="212">
        <v>0</v>
      </c>
      <c r="E14" s="212">
        <v>0</v>
      </c>
      <c r="F14" s="213">
        <v>0</v>
      </c>
      <c r="G14" s="214">
        <v>0</v>
      </c>
      <c r="H14" s="214">
        <v>0</v>
      </c>
      <c r="I14" s="63">
        <v>0</v>
      </c>
      <c r="J14" s="63">
        <v>0</v>
      </c>
      <c r="K14" s="63"/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243</v>
      </c>
      <c r="C15" s="78"/>
      <c r="D15" s="212">
        <v>0</v>
      </c>
      <c r="E15" s="212">
        <v>0</v>
      </c>
      <c r="F15" s="213">
        <v>0</v>
      </c>
      <c r="G15" s="214">
        <v>0</v>
      </c>
      <c r="H15" s="214">
        <v>0</v>
      </c>
      <c r="I15" s="63">
        <v>0</v>
      </c>
      <c r="J15" s="63">
        <v>0</v>
      </c>
      <c r="K15" s="63"/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244</v>
      </c>
      <c r="C16" s="78"/>
      <c r="D16" s="212">
        <v>0</v>
      </c>
      <c r="E16" s="212">
        <v>0</v>
      </c>
      <c r="F16" s="213">
        <v>0</v>
      </c>
      <c r="G16" s="214">
        <v>0</v>
      </c>
      <c r="H16" s="214">
        <v>0</v>
      </c>
      <c r="I16" s="63">
        <v>0</v>
      </c>
      <c r="J16" s="63">
        <v>0</v>
      </c>
      <c r="K16" s="63"/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245</v>
      </c>
      <c r="C17" s="78"/>
      <c r="D17" s="212">
        <v>0</v>
      </c>
      <c r="E17" s="212">
        <v>0</v>
      </c>
      <c r="F17" s="213">
        <v>0</v>
      </c>
      <c r="G17" s="214">
        <v>0</v>
      </c>
      <c r="H17" s="214">
        <v>0</v>
      </c>
      <c r="I17" s="63">
        <v>0</v>
      </c>
      <c r="J17" s="63">
        <v>0</v>
      </c>
      <c r="K17" s="63"/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246</v>
      </c>
      <c r="C18" s="78"/>
      <c r="D18" s="212">
        <v>0</v>
      </c>
      <c r="E18" s="212">
        <v>0</v>
      </c>
      <c r="F18" s="213">
        <v>0</v>
      </c>
      <c r="G18" s="214">
        <v>0</v>
      </c>
      <c r="H18" s="214">
        <v>0</v>
      </c>
      <c r="I18" s="63">
        <v>0</v>
      </c>
      <c r="J18" s="63">
        <v>0</v>
      </c>
      <c r="K18" s="63"/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247</v>
      </c>
      <c r="C19" s="78"/>
      <c r="D19" s="212">
        <v>0</v>
      </c>
      <c r="E19" s="212">
        <v>0</v>
      </c>
      <c r="F19" s="213">
        <v>0</v>
      </c>
      <c r="G19" s="214">
        <v>0</v>
      </c>
      <c r="H19" s="214">
        <v>0</v>
      </c>
      <c r="I19" s="63">
        <v>0</v>
      </c>
      <c r="J19" s="63">
        <v>0</v>
      </c>
      <c r="K19" s="63"/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248</v>
      </c>
      <c r="C20" s="78"/>
      <c r="D20" s="212">
        <v>0</v>
      </c>
      <c r="E20" s="212">
        <v>0</v>
      </c>
      <c r="F20" s="213">
        <v>0</v>
      </c>
      <c r="G20" s="214">
        <v>0</v>
      </c>
      <c r="H20" s="214">
        <v>0</v>
      </c>
      <c r="I20" s="63">
        <v>0</v>
      </c>
      <c r="J20" s="63">
        <v>0</v>
      </c>
      <c r="K20" s="63"/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249</v>
      </c>
      <c r="C21" s="78"/>
      <c r="D21" s="212">
        <v>0</v>
      </c>
      <c r="E21" s="212">
        <v>0</v>
      </c>
      <c r="F21" s="213">
        <v>0</v>
      </c>
      <c r="G21" s="214">
        <v>0</v>
      </c>
      <c r="H21" s="214">
        <v>0</v>
      </c>
      <c r="I21" s="63">
        <v>0</v>
      </c>
      <c r="J21" s="63">
        <v>0</v>
      </c>
      <c r="K21" s="63"/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250</v>
      </c>
      <c r="C22" s="78"/>
      <c r="D22" s="212">
        <v>0</v>
      </c>
      <c r="E22" s="212">
        <v>0</v>
      </c>
      <c r="F22" s="213">
        <v>0</v>
      </c>
      <c r="G22" s="214">
        <v>0</v>
      </c>
      <c r="H22" s="214">
        <v>0</v>
      </c>
      <c r="I22" s="63">
        <v>0</v>
      </c>
      <c r="J22" s="63">
        <v>0</v>
      </c>
      <c r="K22" s="63"/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251</v>
      </c>
      <c r="C23" s="78"/>
      <c r="D23" s="212">
        <v>0</v>
      </c>
      <c r="E23" s="212">
        <v>0</v>
      </c>
      <c r="F23" s="213">
        <v>0</v>
      </c>
      <c r="G23" s="214">
        <v>0</v>
      </c>
      <c r="H23" s="214">
        <v>0</v>
      </c>
      <c r="I23" s="63">
        <v>0</v>
      </c>
      <c r="J23" s="63">
        <v>0</v>
      </c>
      <c r="K23" s="63"/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252</v>
      </c>
      <c r="C24" s="78"/>
      <c r="D24" s="212">
        <v>0</v>
      </c>
      <c r="E24" s="212">
        <v>0</v>
      </c>
      <c r="F24" s="213">
        <v>0</v>
      </c>
      <c r="G24" s="214">
        <v>0</v>
      </c>
      <c r="H24" s="214">
        <v>0</v>
      </c>
      <c r="I24" s="63">
        <v>0</v>
      </c>
      <c r="J24" s="63">
        <v>0</v>
      </c>
      <c r="K24" s="63"/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253</v>
      </c>
      <c r="C25" s="78"/>
      <c r="D25" s="212">
        <v>0</v>
      </c>
      <c r="E25" s="212">
        <v>0</v>
      </c>
      <c r="F25" s="213">
        <v>0</v>
      </c>
      <c r="G25" s="214">
        <v>0</v>
      </c>
      <c r="H25" s="214">
        <v>0</v>
      </c>
      <c r="I25" s="63">
        <v>0</v>
      </c>
      <c r="J25" s="63">
        <v>0</v>
      </c>
      <c r="K25" s="63"/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254</v>
      </c>
      <c r="C26" s="78"/>
      <c r="D26" s="212">
        <v>0</v>
      </c>
      <c r="E26" s="212">
        <v>0</v>
      </c>
      <c r="F26" s="213">
        <v>0</v>
      </c>
      <c r="G26" s="214">
        <v>0</v>
      </c>
      <c r="H26" s="214">
        <v>0</v>
      </c>
      <c r="I26" s="63">
        <v>0</v>
      </c>
      <c r="J26" s="63">
        <v>0</v>
      </c>
      <c r="K26" s="63"/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255</v>
      </c>
      <c r="C27" s="78"/>
      <c r="D27" s="212">
        <v>0</v>
      </c>
      <c r="E27" s="212">
        <v>0</v>
      </c>
      <c r="F27" s="213">
        <v>0</v>
      </c>
      <c r="G27" s="214">
        <v>0</v>
      </c>
      <c r="H27" s="214">
        <v>0</v>
      </c>
      <c r="I27" s="63">
        <v>0</v>
      </c>
      <c r="J27" s="63">
        <v>0</v>
      </c>
      <c r="K27" s="63"/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256</v>
      </c>
      <c r="C28" s="78"/>
      <c r="D28" s="212">
        <v>0</v>
      </c>
      <c r="E28" s="212">
        <v>0</v>
      </c>
      <c r="F28" s="213">
        <v>0</v>
      </c>
      <c r="G28" s="214">
        <v>0</v>
      </c>
      <c r="H28" s="214">
        <v>0</v>
      </c>
      <c r="I28" s="63">
        <v>0</v>
      </c>
      <c r="J28" s="63">
        <v>0</v>
      </c>
      <c r="K28" s="63"/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257</v>
      </c>
      <c r="C29" s="78"/>
      <c r="D29" s="212">
        <v>0</v>
      </c>
      <c r="E29" s="212">
        <v>0</v>
      </c>
      <c r="F29" s="213">
        <v>0</v>
      </c>
      <c r="G29" s="214">
        <v>0</v>
      </c>
      <c r="H29" s="214">
        <v>0</v>
      </c>
      <c r="I29" s="63">
        <v>0</v>
      </c>
      <c r="J29" s="63">
        <v>0</v>
      </c>
      <c r="K29" s="63"/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258</v>
      </c>
      <c r="C30" s="78"/>
      <c r="D30" s="212">
        <v>0</v>
      </c>
      <c r="E30" s="212">
        <v>0</v>
      </c>
      <c r="F30" s="213">
        <v>0</v>
      </c>
      <c r="G30" s="214">
        <v>0</v>
      </c>
      <c r="H30" s="214">
        <v>0</v>
      </c>
      <c r="I30" s="63">
        <v>0</v>
      </c>
      <c r="J30" s="63">
        <v>0</v>
      </c>
      <c r="K30" s="63"/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259</v>
      </c>
      <c r="C31" s="78"/>
      <c r="D31" s="212">
        <v>0</v>
      </c>
      <c r="E31" s="212">
        <v>0</v>
      </c>
      <c r="F31" s="213">
        <v>0</v>
      </c>
      <c r="G31" s="214">
        <v>0</v>
      </c>
      <c r="H31" s="214">
        <v>0</v>
      </c>
      <c r="I31" s="63">
        <v>0</v>
      </c>
      <c r="J31" s="63">
        <v>0</v>
      </c>
      <c r="K31" s="63"/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260</v>
      </c>
      <c r="C32" s="78"/>
      <c r="D32" s="212">
        <v>0</v>
      </c>
      <c r="E32" s="212">
        <v>0</v>
      </c>
      <c r="F32" s="213">
        <v>0</v>
      </c>
      <c r="G32" s="214">
        <v>0</v>
      </c>
      <c r="H32" s="214">
        <v>0</v>
      </c>
      <c r="I32" s="63">
        <v>0</v>
      </c>
      <c r="J32" s="63">
        <v>0</v>
      </c>
      <c r="K32" s="63"/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261</v>
      </c>
      <c r="C33" s="78"/>
      <c r="D33" s="212">
        <v>0</v>
      </c>
      <c r="E33" s="212">
        <v>0</v>
      </c>
      <c r="F33" s="213">
        <v>0</v>
      </c>
      <c r="G33" s="214">
        <v>0</v>
      </c>
      <c r="H33" s="214">
        <v>0</v>
      </c>
      <c r="I33" s="63">
        <v>0</v>
      </c>
      <c r="J33" s="63">
        <v>0</v>
      </c>
      <c r="K33" s="63"/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262</v>
      </c>
      <c r="C34" s="78"/>
      <c r="D34" s="212">
        <v>0</v>
      </c>
      <c r="E34" s="212">
        <v>0</v>
      </c>
      <c r="F34" s="213">
        <v>0</v>
      </c>
      <c r="G34" s="214">
        <v>0</v>
      </c>
      <c r="H34" s="214">
        <v>0</v>
      </c>
      <c r="I34" s="63">
        <v>0</v>
      </c>
      <c r="J34" s="63">
        <v>0</v>
      </c>
      <c r="K34" s="63"/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263</v>
      </c>
      <c r="C35" s="78"/>
      <c r="D35" s="212">
        <v>0</v>
      </c>
      <c r="E35" s="212">
        <v>0</v>
      </c>
      <c r="F35" s="213">
        <v>0</v>
      </c>
      <c r="G35" s="214">
        <v>0</v>
      </c>
      <c r="H35" s="214">
        <v>0</v>
      </c>
      <c r="I35" s="63">
        <v>0</v>
      </c>
      <c r="J35" s="63">
        <v>0</v>
      </c>
      <c r="K35" s="63"/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1">
        <v>0</v>
      </c>
      <c r="E36" s="71">
        <v>75</v>
      </c>
      <c r="F36" s="71">
        <v>315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09">
        <v>0</v>
      </c>
      <c r="M36" s="209">
        <v>0</v>
      </c>
      <c r="N36" s="209">
        <v>11343.75</v>
      </c>
      <c r="O36" s="209">
        <v>6281.1</v>
      </c>
      <c r="P36" s="209">
        <v>0</v>
      </c>
      <c r="Q36" s="209">
        <v>0</v>
      </c>
      <c r="R36" s="209">
        <v>0</v>
      </c>
      <c r="S36" s="209">
        <v>0</v>
      </c>
      <c r="T36" s="209">
        <v>17624.849999999999</v>
      </c>
    </row>
    <row r="37" spans="1:20">
      <c r="R37" s="73"/>
      <c r="S37" s="73"/>
      <c r="T37" s="210">
        <v>21149.82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7A3B-71A4-4776-B00F-AD82E9326FE7}">
  <sheetPr codeName="Лист32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9.140625" style="47"/>
    <col min="9" max="9" width="10.28515625" style="47" bestFit="1" customWidth="1"/>
    <col min="10" max="11" width="9.140625" style="47"/>
    <col min="12" max="12" width="9.28515625" style="47" bestFit="1" customWidth="1"/>
    <col min="13" max="13" width="14.42578125" style="47" customWidth="1"/>
    <col min="14" max="14" width="14.140625" style="47" customWidth="1"/>
    <col min="15" max="15" width="15.140625" style="47" customWidth="1"/>
    <col min="16" max="16" width="15.42578125" style="47" customWidth="1"/>
    <col min="17" max="17" width="14.5703125" style="47" customWidth="1"/>
    <col min="18" max="18" width="13.28515625" style="47" customWidth="1"/>
    <col min="19" max="19" width="14.5703125" style="47" customWidth="1"/>
    <col min="20" max="20" width="19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264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146</v>
      </c>
      <c r="E3" s="49" t="s">
        <v>147</v>
      </c>
      <c r="F3" s="52" t="s">
        <v>4</v>
      </c>
      <c r="G3" s="49" t="s">
        <v>231</v>
      </c>
      <c r="H3" s="49" t="s">
        <v>232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 ht="30">
      <c r="A4" s="53"/>
      <c r="B4" s="54"/>
      <c r="C4" s="55"/>
      <c r="D4" s="53"/>
      <c r="E4" s="53"/>
      <c r="F4" s="56" t="s">
        <v>156</v>
      </c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233</v>
      </c>
      <c r="C5" s="78"/>
      <c r="D5" s="212">
        <v>811</v>
      </c>
      <c r="E5" s="212">
        <v>91</v>
      </c>
      <c r="F5" s="213">
        <v>5923</v>
      </c>
      <c r="G5" s="214">
        <v>997</v>
      </c>
      <c r="H5" s="214">
        <v>0</v>
      </c>
      <c r="I5" s="63">
        <v>4.125</v>
      </c>
      <c r="J5" s="63">
        <v>4.125</v>
      </c>
      <c r="K5" s="63"/>
      <c r="L5" s="208">
        <v>0</v>
      </c>
      <c r="M5" s="208">
        <v>122663.75</v>
      </c>
      <c r="N5" s="208">
        <v>13763.75</v>
      </c>
      <c r="O5" s="208">
        <v>118104.62</v>
      </c>
      <c r="P5" s="208">
        <v>19880.18</v>
      </c>
      <c r="Q5" s="208">
        <v>0</v>
      </c>
      <c r="R5" s="208">
        <v>3403.13</v>
      </c>
      <c r="S5" s="208">
        <v>495</v>
      </c>
      <c r="T5" s="208">
        <v>278310.43</v>
      </c>
    </row>
    <row r="6" spans="1:20">
      <c r="A6" s="65">
        <v>2</v>
      </c>
      <c r="B6" s="77" t="s">
        <v>234</v>
      </c>
      <c r="C6" s="78"/>
      <c r="D6" s="212">
        <v>263</v>
      </c>
      <c r="E6" s="212">
        <v>45</v>
      </c>
      <c r="F6" s="213">
        <v>6141</v>
      </c>
      <c r="G6" s="214">
        <v>779</v>
      </c>
      <c r="H6" s="214">
        <v>292</v>
      </c>
      <c r="I6" s="63">
        <v>0</v>
      </c>
      <c r="J6" s="63">
        <v>0</v>
      </c>
      <c r="K6" s="63"/>
      <c r="L6" s="208">
        <v>0</v>
      </c>
      <c r="M6" s="208">
        <v>39778.75</v>
      </c>
      <c r="N6" s="208">
        <v>6806.25</v>
      </c>
      <c r="O6" s="208">
        <v>122451.54</v>
      </c>
      <c r="P6" s="208">
        <v>15533.26</v>
      </c>
      <c r="Q6" s="208">
        <v>44165</v>
      </c>
      <c r="R6" s="208">
        <v>0</v>
      </c>
      <c r="S6" s="208">
        <v>0</v>
      </c>
      <c r="T6" s="208">
        <v>228734.8</v>
      </c>
    </row>
    <row r="7" spans="1:20">
      <c r="A7" s="65">
        <v>3</v>
      </c>
      <c r="B7" s="77" t="s">
        <v>235</v>
      </c>
      <c r="C7" s="78"/>
      <c r="D7" s="212">
        <v>126</v>
      </c>
      <c r="E7" s="212">
        <v>46</v>
      </c>
      <c r="F7" s="213">
        <v>6221</v>
      </c>
      <c r="G7" s="214">
        <v>699</v>
      </c>
      <c r="H7" s="214">
        <v>428</v>
      </c>
      <c r="I7" s="63">
        <v>1.375</v>
      </c>
      <c r="J7" s="63">
        <v>1.375</v>
      </c>
      <c r="K7" s="63"/>
      <c r="L7" s="208">
        <v>0</v>
      </c>
      <c r="M7" s="208">
        <v>19057.5</v>
      </c>
      <c r="N7" s="208">
        <v>6957.5</v>
      </c>
      <c r="O7" s="208">
        <v>124046.74</v>
      </c>
      <c r="P7" s="208">
        <v>13938.06</v>
      </c>
      <c r="Q7" s="208">
        <v>64735</v>
      </c>
      <c r="R7" s="208">
        <v>1134.3800000000001</v>
      </c>
      <c r="S7" s="208">
        <v>165</v>
      </c>
      <c r="T7" s="208">
        <v>230034.18</v>
      </c>
    </row>
    <row r="8" spans="1:20">
      <c r="A8" s="65">
        <v>4</v>
      </c>
      <c r="B8" s="77" t="s">
        <v>236</v>
      </c>
      <c r="C8" s="78"/>
      <c r="D8" s="212">
        <v>285</v>
      </c>
      <c r="E8" s="212">
        <v>131</v>
      </c>
      <c r="F8" s="213">
        <v>6375</v>
      </c>
      <c r="G8" s="214">
        <v>545</v>
      </c>
      <c r="H8" s="214">
        <v>184</v>
      </c>
      <c r="I8" s="63">
        <v>0</v>
      </c>
      <c r="J8" s="63">
        <v>0</v>
      </c>
      <c r="K8" s="63"/>
      <c r="L8" s="208">
        <v>0</v>
      </c>
      <c r="M8" s="208">
        <v>43106.25</v>
      </c>
      <c r="N8" s="208">
        <v>19813.75</v>
      </c>
      <c r="O8" s="208">
        <v>127117.5</v>
      </c>
      <c r="P8" s="208">
        <v>10867.3</v>
      </c>
      <c r="Q8" s="208">
        <v>27830</v>
      </c>
      <c r="R8" s="208">
        <v>0</v>
      </c>
      <c r="S8" s="208">
        <v>0</v>
      </c>
      <c r="T8" s="208">
        <v>228734.8</v>
      </c>
    </row>
    <row r="9" spans="1:20">
      <c r="A9" s="65">
        <v>5</v>
      </c>
      <c r="B9" s="77" t="s">
        <v>237</v>
      </c>
      <c r="C9" s="78"/>
      <c r="D9" s="212">
        <v>352</v>
      </c>
      <c r="E9" s="212">
        <v>127</v>
      </c>
      <c r="F9" s="213">
        <v>6600</v>
      </c>
      <c r="G9" s="214">
        <v>320</v>
      </c>
      <c r="H9" s="214">
        <v>121</v>
      </c>
      <c r="I9" s="63">
        <v>1.375</v>
      </c>
      <c r="J9" s="63">
        <v>1.375</v>
      </c>
      <c r="K9" s="63"/>
      <c r="L9" s="208">
        <v>0</v>
      </c>
      <c r="M9" s="208">
        <v>53240</v>
      </c>
      <c r="N9" s="208">
        <v>19208.75</v>
      </c>
      <c r="O9" s="208">
        <v>131604</v>
      </c>
      <c r="P9" s="208">
        <v>6380.8</v>
      </c>
      <c r="Q9" s="208">
        <v>18301.25</v>
      </c>
      <c r="R9" s="208">
        <v>1134.3800000000001</v>
      </c>
      <c r="S9" s="208">
        <v>165</v>
      </c>
      <c r="T9" s="208">
        <v>230034.18</v>
      </c>
    </row>
    <row r="10" spans="1:20">
      <c r="A10" s="65">
        <v>6</v>
      </c>
      <c r="B10" s="77" t="s">
        <v>238</v>
      </c>
      <c r="C10" s="78"/>
      <c r="D10" s="212">
        <v>720</v>
      </c>
      <c r="E10" s="212">
        <v>112</v>
      </c>
      <c r="F10" s="213">
        <v>7208</v>
      </c>
      <c r="G10" s="214">
        <v>0</v>
      </c>
      <c r="H10" s="214">
        <v>0</v>
      </c>
      <c r="I10" s="63">
        <v>1.375</v>
      </c>
      <c r="J10" s="63">
        <v>1.375</v>
      </c>
      <c r="K10" s="63"/>
      <c r="L10" s="208">
        <v>0</v>
      </c>
      <c r="M10" s="208">
        <v>108900</v>
      </c>
      <c r="N10" s="208">
        <v>16940</v>
      </c>
      <c r="O10" s="208">
        <v>143727.51999999999</v>
      </c>
      <c r="P10" s="208">
        <v>0</v>
      </c>
      <c r="Q10" s="208">
        <v>0</v>
      </c>
      <c r="R10" s="208">
        <v>1134.3800000000001</v>
      </c>
      <c r="S10" s="208">
        <v>165</v>
      </c>
      <c r="T10" s="208">
        <v>270866.90000000002</v>
      </c>
    </row>
    <row r="11" spans="1:20">
      <c r="A11" s="65">
        <v>7</v>
      </c>
      <c r="B11" s="77" t="s">
        <v>239</v>
      </c>
      <c r="C11" s="78"/>
      <c r="D11" s="212">
        <v>334</v>
      </c>
      <c r="E11" s="212">
        <v>129</v>
      </c>
      <c r="F11" s="213">
        <v>7413</v>
      </c>
      <c r="G11" s="214">
        <v>0</v>
      </c>
      <c r="H11" s="214">
        <v>137</v>
      </c>
      <c r="I11" s="63">
        <v>0</v>
      </c>
      <c r="J11" s="63">
        <v>0</v>
      </c>
      <c r="K11" s="63"/>
      <c r="L11" s="208">
        <v>0</v>
      </c>
      <c r="M11" s="208">
        <v>50517.5</v>
      </c>
      <c r="N11" s="208">
        <v>19511.25</v>
      </c>
      <c r="O11" s="208">
        <v>147815.22</v>
      </c>
      <c r="P11" s="208">
        <v>0</v>
      </c>
      <c r="Q11" s="208">
        <v>20721.25</v>
      </c>
      <c r="R11" s="208">
        <v>0</v>
      </c>
      <c r="S11" s="208">
        <v>0</v>
      </c>
      <c r="T11" s="208">
        <v>238565.22</v>
      </c>
    </row>
    <row r="12" spans="1:20">
      <c r="A12" s="65">
        <v>8</v>
      </c>
      <c r="B12" s="77" t="s">
        <v>240</v>
      </c>
      <c r="C12" s="78"/>
      <c r="D12" s="212">
        <v>561</v>
      </c>
      <c r="E12" s="212">
        <v>63</v>
      </c>
      <c r="F12" s="213">
        <v>7911</v>
      </c>
      <c r="G12" s="214">
        <v>0</v>
      </c>
      <c r="H12" s="214">
        <v>0</v>
      </c>
      <c r="I12" s="63">
        <v>0</v>
      </c>
      <c r="J12" s="63">
        <v>0</v>
      </c>
      <c r="K12" s="63"/>
      <c r="L12" s="208">
        <v>0</v>
      </c>
      <c r="M12" s="208">
        <v>84851.25</v>
      </c>
      <c r="N12" s="208">
        <v>9528.75</v>
      </c>
      <c r="O12" s="208">
        <v>157745.34</v>
      </c>
      <c r="P12" s="208">
        <v>0</v>
      </c>
      <c r="Q12" s="208">
        <v>0</v>
      </c>
      <c r="R12" s="208">
        <v>0</v>
      </c>
      <c r="S12" s="208">
        <v>0</v>
      </c>
      <c r="T12" s="208">
        <v>252125.34</v>
      </c>
    </row>
    <row r="13" spans="1:20">
      <c r="A13" s="65">
        <v>9</v>
      </c>
      <c r="B13" s="77" t="s">
        <v>241</v>
      </c>
      <c r="C13" s="78"/>
      <c r="D13" s="212">
        <v>275</v>
      </c>
      <c r="E13" s="212">
        <v>80</v>
      </c>
      <c r="F13" s="213">
        <v>8106</v>
      </c>
      <c r="G13" s="214">
        <v>0</v>
      </c>
      <c r="H13" s="214">
        <v>245</v>
      </c>
      <c r="I13" s="63">
        <v>0</v>
      </c>
      <c r="J13" s="63">
        <v>0</v>
      </c>
      <c r="K13" s="63"/>
      <c r="L13" s="208">
        <v>0</v>
      </c>
      <c r="M13" s="208">
        <v>41593.75</v>
      </c>
      <c r="N13" s="208">
        <v>12100</v>
      </c>
      <c r="O13" s="208">
        <v>161633.64000000001</v>
      </c>
      <c r="P13" s="208">
        <v>0</v>
      </c>
      <c r="Q13" s="208">
        <v>37056.25</v>
      </c>
      <c r="R13" s="208">
        <v>0</v>
      </c>
      <c r="S13" s="208">
        <v>0</v>
      </c>
      <c r="T13" s="208">
        <v>252383.64</v>
      </c>
    </row>
    <row r="14" spans="1:20">
      <c r="A14" s="65">
        <v>10</v>
      </c>
      <c r="B14" s="77" t="s">
        <v>242</v>
      </c>
      <c r="C14" s="78"/>
      <c r="D14" s="212">
        <v>551</v>
      </c>
      <c r="E14" s="212">
        <v>154</v>
      </c>
      <c r="F14" s="213">
        <v>8503</v>
      </c>
      <c r="G14" s="214">
        <v>0</v>
      </c>
      <c r="H14" s="214">
        <v>0</v>
      </c>
      <c r="I14" s="63">
        <v>0</v>
      </c>
      <c r="J14" s="63">
        <v>0</v>
      </c>
      <c r="K14" s="63"/>
      <c r="L14" s="208">
        <v>0</v>
      </c>
      <c r="M14" s="208">
        <v>83338.75</v>
      </c>
      <c r="N14" s="208">
        <v>23292.5</v>
      </c>
      <c r="O14" s="208">
        <v>169549.82</v>
      </c>
      <c r="P14" s="208">
        <v>0</v>
      </c>
      <c r="Q14" s="208">
        <v>0</v>
      </c>
      <c r="R14" s="208">
        <v>0</v>
      </c>
      <c r="S14" s="208">
        <v>0</v>
      </c>
      <c r="T14" s="208">
        <v>276181.07</v>
      </c>
    </row>
    <row r="15" spans="1:20">
      <c r="A15" s="65">
        <v>11</v>
      </c>
      <c r="B15" s="77" t="s">
        <v>243</v>
      </c>
      <c r="C15" s="78"/>
      <c r="D15" s="212">
        <v>368</v>
      </c>
      <c r="E15" s="212">
        <v>146</v>
      </c>
      <c r="F15" s="213">
        <v>8725</v>
      </c>
      <c r="G15" s="214">
        <v>0</v>
      </c>
      <c r="H15" s="214">
        <v>86</v>
      </c>
      <c r="I15" s="63">
        <v>0</v>
      </c>
      <c r="J15" s="63">
        <v>0</v>
      </c>
      <c r="K15" s="63"/>
      <c r="L15" s="208">
        <v>0</v>
      </c>
      <c r="M15" s="208">
        <v>55660</v>
      </c>
      <c r="N15" s="208">
        <v>22082.5</v>
      </c>
      <c r="O15" s="208">
        <v>173976.5</v>
      </c>
      <c r="P15" s="208">
        <v>0</v>
      </c>
      <c r="Q15" s="208">
        <v>13007.5</v>
      </c>
      <c r="R15" s="208">
        <v>0</v>
      </c>
      <c r="S15" s="208">
        <v>0</v>
      </c>
      <c r="T15" s="208">
        <v>264726.5</v>
      </c>
    </row>
    <row r="16" spans="1:20">
      <c r="A16" s="65">
        <v>12</v>
      </c>
      <c r="B16" s="77" t="s">
        <v>244</v>
      </c>
      <c r="C16" s="78"/>
      <c r="D16" s="212">
        <v>496</v>
      </c>
      <c r="E16" s="212">
        <v>160</v>
      </c>
      <c r="F16" s="213">
        <v>9061</v>
      </c>
      <c r="G16" s="214">
        <v>0</v>
      </c>
      <c r="H16" s="214">
        <v>0</v>
      </c>
      <c r="I16" s="63">
        <v>0</v>
      </c>
      <c r="J16" s="63">
        <v>0</v>
      </c>
      <c r="K16" s="63"/>
      <c r="L16" s="208">
        <v>0</v>
      </c>
      <c r="M16" s="208">
        <v>75020</v>
      </c>
      <c r="N16" s="208">
        <v>24200</v>
      </c>
      <c r="O16" s="208">
        <v>180676.34</v>
      </c>
      <c r="P16" s="208">
        <v>0</v>
      </c>
      <c r="Q16" s="208">
        <v>0</v>
      </c>
      <c r="R16" s="208">
        <v>0</v>
      </c>
      <c r="S16" s="208">
        <v>0</v>
      </c>
      <c r="T16" s="208">
        <v>279896.34000000003</v>
      </c>
    </row>
    <row r="17" spans="1:20">
      <c r="A17" s="65">
        <v>13</v>
      </c>
      <c r="B17" s="77" t="s">
        <v>245</v>
      </c>
      <c r="C17" s="78"/>
      <c r="D17" s="212">
        <v>432</v>
      </c>
      <c r="E17" s="212">
        <v>82</v>
      </c>
      <c r="F17" s="213">
        <v>9411</v>
      </c>
      <c r="G17" s="214">
        <v>0</v>
      </c>
      <c r="H17" s="214">
        <v>86</v>
      </c>
      <c r="I17" s="63">
        <v>0</v>
      </c>
      <c r="J17" s="63">
        <v>0</v>
      </c>
      <c r="K17" s="63"/>
      <c r="L17" s="208">
        <v>0</v>
      </c>
      <c r="M17" s="208">
        <v>65340</v>
      </c>
      <c r="N17" s="208">
        <v>12402.5</v>
      </c>
      <c r="O17" s="208">
        <v>187655.34</v>
      </c>
      <c r="P17" s="208">
        <v>0</v>
      </c>
      <c r="Q17" s="208">
        <v>13007.5</v>
      </c>
      <c r="R17" s="208">
        <v>0</v>
      </c>
      <c r="S17" s="208">
        <v>0</v>
      </c>
      <c r="T17" s="208">
        <v>278405.34000000003</v>
      </c>
    </row>
    <row r="18" spans="1:20">
      <c r="A18" s="65">
        <v>14</v>
      </c>
      <c r="B18" s="77" t="s">
        <v>246</v>
      </c>
      <c r="C18" s="78"/>
      <c r="D18" s="212">
        <v>606</v>
      </c>
      <c r="E18" s="212">
        <v>146</v>
      </c>
      <c r="F18" s="213">
        <v>9871</v>
      </c>
      <c r="G18" s="214">
        <v>0</v>
      </c>
      <c r="H18" s="214">
        <v>0</v>
      </c>
      <c r="I18" s="63">
        <v>0</v>
      </c>
      <c r="J18" s="63">
        <v>0</v>
      </c>
      <c r="K18" s="63"/>
      <c r="L18" s="208">
        <v>0</v>
      </c>
      <c r="M18" s="208">
        <v>91657.5</v>
      </c>
      <c r="N18" s="208">
        <v>22082.5</v>
      </c>
      <c r="O18" s="208">
        <v>196827.74</v>
      </c>
      <c r="P18" s="208">
        <v>0</v>
      </c>
      <c r="Q18" s="208">
        <v>0</v>
      </c>
      <c r="R18" s="208">
        <v>0</v>
      </c>
      <c r="S18" s="208">
        <v>0</v>
      </c>
      <c r="T18" s="208">
        <v>310567.74</v>
      </c>
    </row>
    <row r="19" spans="1:20">
      <c r="A19" s="65">
        <v>15</v>
      </c>
      <c r="B19" s="77" t="s">
        <v>247</v>
      </c>
      <c r="C19" s="78"/>
      <c r="D19" s="212">
        <v>256</v>
      </c>
      <c r="E19" s="212">
        <v>176</v>
      </c>
      <c r="F19" s="213">
        <v>9951</v>
      </c>
      <c r="G19" s="214">
        <v>0</v>
      </c>
      <c r="H19" s="214">
        <v>168</v>
      </c>
      <c r="I19" s="63">
        <v>0</v>
      </c>
      <c r="J19" s="63">
        <v>0</v>
      </c>
      <c r="K19" s="63"/>
      <c r="L19" s="208">
        <v>0</v>
      </c>
      <c r="M19" s="208">
        <v>38720</v>
      </c>
      <c r="N19" s="208">
        <v>26620</v>
      </c>
      <c r="O19" s="208">
        <v>198422.94</v>
      </c>
      <c r="P19" s="208">
        <v>0</v>
      </c>
      <c r="Q19" s="208">
        <v>25410</v>
      </c>
      <c r="R19" s="208">
        <v>0</v>
      </c>
      <c r="S19" s="208">
        <v>0</v>
      </c>
      <c r="T19" s="208">
        <v>289172.94</v>
      </c>
    </row>
    <row r="20" spans="1:20">
      <c r="A20" s="65">
        <v>16</v>
      </c>
      <c r="B20" s="77" t="s">
        <v>248</v>
      </c>
      <c r="C20" s="78"/>
      <c r="D20" s="212">
        <v>430</v>
      </c>
      <c r="E20" s="212">
        <v>154</v>
      </c>
      <c r="F20" s="213">
        <v>10227</v>
      </c>
      <c r="G20" s="214">
        <v>0</v>
      </c>
      <c r="H20" s="214">
        <v>16</v>
      </c>
      <c r="I20" s="63">
        <v>11</v>
      </c>
      <c r="J20" s="63">
        <v>11</v>
      </c>
      <c r="K20" s="63"/>
      <c r="L20" s="208">
        <v>0</v>
      </c>
      <c r="M20" s="208">
        <v>65037.5</v>
      </c>
      <c r="N20" s="208">
        <v>23292.5</v>
      </c>
      <c r="O20" s="208">
        <v>203926.38</v>
      </c>
      <c r="P20" s="208">
        <v>0</v>
      </c>
      <c r="Q20" s="208">
        <v>2420</v>
      </c>
      <c r="R20" s="208">
        <v>9075</v>
      </c>
      <c r="S20" s="208">
        <v>1320</v>
      </c>
      <c r="T20" s="208">
        <v>305071.38</v>
      </c>
    </row>
    <row r="21" spans="1:20">
      <c r="A21" s="65">
        <v>17</v>
      </c>
      <c r="B21" s="77" t="s">
        <v>249</v>
      </c>
      <c r="C21" s="78"/>
      <c r="D21" s="212">
        <v>328</v>
      </c>
      <c r="E21" s="212">
        <v>256</v>
      </c>
      <c r="F21" s="213">
        <v>10299</v>
      </c>
      <c r="G21" s="214">
        <v>0</v>
      </c>
      <c r="H21" s="214">
        <v>16</v>
      </c>
      <c r="I21" s="63">
        <v>2.75</v>
      </c>
      <c r="J21" s="63">
        <v>2.75</v>
      </c>
      <c r="K21" s="63"/>
      <c r="L21" s="208">
        <v>0</v>
      </c>
      <c r="M21" s="208">
        <v>49610</v>
      </c>
      <c r="N21" s="208">
        <v>38720</v>
      </c>
      <c r="O21" s="208">
        <v>205362.06</v>
      </c>
      <c r="P21" s="208">
        <v>0</v>
      </c>
      <c r="Q21" s="208">
        <v>2420</v>
      </c>
      <c r="R21" s="208">
        <v>2268.75</v>
      </c>
      <c r="S21" s="208">
        <v>330</v>
      </c>
      <c r="T21" s="208">
        <v>298710.81</v>
      </c>
    </row>
    <row r="22" spans="1:20">
      <c r="A22" s="65">
        <v>18</v>
      </c>
      <c r="B22" s="77" t="s">
        <v>250</v>
      </c>
      <c r="C22" s="78"/>
      <c r="D22" s="212">
        <v>198</v>
      </c>
      <c r="E22" s="212">
        <v>206</v>
      </c>
      <c r="F22" s="213">
        <v>10291</v>
      </c>
      <c r="G22" s="214">
        <v>0</v>
      </c>
      <c r="H22" s="214">
        <v>196</v>
      </c>
      <c r="I22" s="63">
        <v>0</v>
      </c>
      <c r="J22" s="63">
        <v>0</v>
      </c>
      <c r="K22" s="63"/>
      <c r="L22" s="208">
        <v>0</v>
      </c>
      <c r="M22" s="208">
        <v>29947.5</v>
      </c>
      <c r="N22" s="208">
        <v>31157.5</v>
      </c>
      <c r="O22" s="208">
        <v>205202.54</v>
      </c>
      <c r="P22" s="208">
        <v>0</v>
      </c>
      <c r="Q22" s="208">
        <v>29645</v>
      </c>
      <c r="R22" s="208">
        <v>0</v>
      </c>
      <c r="S22" s="208">
        <v>0</v>
      </c>
      <c r="T22" s="208">
        <v>295952.53999999998</v>
      </c>
    </row>
    <row r="23" spans="1:20">
      <c r="A23" s="65">
        <v>19</v>
      </c>
      <c r="B23" s="77" t="s">
        <v>251</v>
      </c>
      <c r="C23" s="78"/>
      <c r="D23" s="212">
        <v>162</v>
      </c>
      <c r="E23" s="212">
        <v>287</v>
      </c>
      <c r="F23" s="213">
        <v>10166</v>
      </c>
      <c r="G23" s="214">
        <v>0</v>
      </c>
      <c r="H23" s="214">
        <v>151</v>
      </c>
      <c r="I23" s="63">
        <v>0</v>
      </c>
      <c r="J23" s="63">
        <v>0</v>
      </c>
      <c r="K23" s="63"/>
      <c r="L23" s="208">
        <v>0</v>
      </c>
      <c r="M23" s="208">
        <v>24502.5</v>
      </c>
      <c r="N23" s="208">
        <v>43408.75</v>
      </c>
      <c r="O23" s="208">
        <v>202710.04</v>
      </c>
      <c r="P23" s="208">
        <v>0</v>
      </c>
      <c r="Q23" s="208">
        <v>22838.75</v>
      </c>
      <c r="R23" s="208">
        <v>0</v>
      </c>
      <c r="S23" s="208">
        <v>0</v>
      </c>
      <c r="T23" s="208">
        <v>293460.03999999998</v>
      </c>
    </row>
    <row r="24" spans="1:20">
      <c r="A24" s="65">
        <v>20</v>
      </c>
      <c r="B24" s="77" t="s">
        <v>252</v>
      </c>
      <c r="C24" s="78"/>
      <c r="D24" s="212">
        <v>131</v>
      </c>
      <c r="E24" s="212">
        <v>112</v>
      </c>
      <c r="F24" s="213">
        <v>10185</v>
      </c>
      <c r="G24" s="214">
        <v>0</v>
      </c>
      <c r="H24" s="214">
        <v>357</v>
      </c>
      <c r="I24" s="63">
        <v>5.5</v>
      </c>
      <c r="J24" s="63">
        <v>5.5</v>
      </c>
      <c r="K24" s="63"/>
      <c r="L24" s="208">
        <v>0</v>
      </c>
      <c r="M24" s="208">
        <v>19813.75</v>
      </c>
      <c r="N24" s="208">
        <v>16940</v>
      </c>
      <c r="O24" s="208">
        <v>203088.9</v>
      </c>
      <c r="P24" s="208">
        <v>0</v>
      </c>
      <c r="Q24" s="208">
        <v>53996.25</v>
      </c>
      <c r="R24" s="208">
        <v>4537.5</v>
      </c>
      <c r="S24" s="208">
        <v>660</v>
      </c>
      <c r="T24" s="208">
        <v>299036.40000000002</v>
      </c>
    </row>
    <row r="25" spans="1:20">
      <c r="A25" s="65">
        <v>21</v>
      </c>
      <c r="B25" s="77" t="s">
        <v>253</v>
      </c>
      <c r="C25" s="78"/>
      <c r="D25" s="212">
        <v>96</v>
      </c>
      <c r="E25" s="212">
        <v>295</v>
      </c>
      <c r="F25" s="213">
        <v>9986</v>
      </c>
      <c r="G25" s="214">
        <v>0</v>
      </c>
      <c r="H25" s="214">
        <v>209</v>
      </c>
      <c r="I25" s="63">
        <v>0</v>
      </c>
      <c r="J25" s="63">
        <v>0</v>
      </c>
      <c r="K25" s="63"/>
      <c r="L25" s="208">
        <v>0</v>
      </c>
      <c r="M25" s="208">
        <v>14520</v>
      </c>
      <c r="N25" s="208">
        <v>44618.75</v>
      </c>
      <c r="O25" s="208">
        <v>199120.84</v>
      </c>
      <c r="P25" s="208">
        <v>0</v>
      </c>
      <c r="Q25" s="208">
        <v>31611.25</v>
      </c>
      <c r="R25" s="208">
        <v>0</v>
      </c>
      <c r="S25" s="208">
        <v>0</v>
      </c>
      <c r="T25" s="208">
        <v>289870.84000000003</v>
      </c>
    </row>
    <row r="26" spans="1:20">
      <c r="A26" s="65">
        <v>22</v>
      </c>
      <c r="B26" s="77" t="s">
        <v>254</v>
      </c>
      <c r="C26" s="78"/>
      <c r="D26" s="212">
        <v>67</v>
      </c>
      <c r="E26" s="212">
        <v>128</v>
      </c>
      <c r="F26" s="213">
        <v>9925</v>
      </c>
      <c r="G26" s="214">
        <v>0</v>
      </c>
      <c r="H26" s="214">
        <v>405</v>
      </c>
      <c r="I26" s="63">
        <v>0</v>
      </c>
      <c r="J26" s="63">
        <v>0</v>
      </c>
      <c r="K26" s="63"/>
      <c r="L26" s="208">
        <v>0</v>
      </c>
      <c r="M26" s="208">
        <v>10133.75</v>
      </c>
      <c r="N26" s="208">
        <v>19360</v>
      </c>
      <c r="O26" s="208">
        <v>197904.5</v>
      </c>
      <c r="P26" s="208">
        <v>0</v>
      </c>
      <c r="Q26" s="208">
        <v>61256.25</v>
      </c>
      <c r="R26" s="208">
        <v>0</v>
      </c>
      <c r="S26" s="208">
        <v>0</v>
      </c>
      <c r="T26" s="208">
        <v>288654.5</v>
      </c>
    </row>
    <row r="27" spans="1:20">
      <c r="A27" s="65">
        <v>23</v>
      </c>
      <c r="B27" s="77" t="s">
        <v>255</v>
      </c>
      <c r="C27" s="78"/>
      <c r="D27" s="212">
        <v>32</v>
      </c>
      <c r="E27" s="212">
        <v>160</v>
      </c>
      <c r="F27" s="213">
        <v>9797</v>
      </c>
      <c r="G27" s="214">
        <v>0</v>
      </c>
      <c r="H27" s="214">
        <v>408</v>
      </c>
      <c r="I27" s="63">
        <v>0</v>
      </c>
      <c r="J27" s="63">
        <v>0</v>
      </c>
      <c r="K27" s="63"/>
      <c r="L27" s="208">
        <v>0</v>
      </c>
      <c r="M27" s="208">
        <v>4840</v>
      </c>
      <c r="N27" s="208">
        <v>24200</v>
      </c>
      <c r="O27" s="208">
        <v>195352.18</v>
      </c>
      <c r="P27" s="208">
        <v>0</v>
      </c>
      <c r="Q27" s="208">
        <v>61710</v>
      </c>
      <c r="R27" s="208">
        <v>0</v>
      </c>
      <c r="S27" s="208">
        <v>0</v>
      </c>
      <c r="T27" s="208">
        <v>286102.18</v>
      </c>
    </row>
    <row r="28" spans="1:20">
      <c r="A28" s="65">
        <v>24</v>
      </c>
      <c r="B28" s="77" t="s">
        <v>256</v>
      </c>
      <c r="C28" s="78"/>
      <c r="D28" s="212">
        <v>48</v>
      </c>
      <c r="E28" s="212">
        <v>339</v>
      </c>
      <c r="F28" s="213">
        <v>9506</v>
      </c>
      <c r="G28" s="214">
        <v>0</v>
      </c>
      <c r="H28" s="214">
        <v>213</v>
      </c>
      <c r="I28" s="63">
        <v>0</v>
      </c>
      <c r="J28" s="63">
        <v>0</v>
      </c>
      <c r="K28" s="63"/>
      <c r="L28" s="208">
        <v>0</v>
      </c>
      <c r="M28" s="208">
        <v>7260</v>
      </c>
      <c r="N28" s="208">
        <v>51273.75</v>
      </c>
      <c r="O28" s="208">
        <v>189549.64</v>
      </c>
      <c r="P28" s="208">
        <v>0</v>
      </c>
      <c r="Q28" s="208">
        <v>32216.25</v>
      </c>
      <c r="R28" s="208">
        <v>0</v>
      </c>
      <c r="S28" s="208">
        <v>0</v>
      </c>
      <c r="T28" s="208">
        <v>280299.64</v>
      </c>
    </row>
    <row r="29" spans="1:20">
      <c r="A29" s="65">
        <v>25</v>
      </c>
      <c r="B29" s="77" t="s">
        <v>257</v>
      </c>
      <c r="C29" s="78"/>
      <c r="D29" s="212">
        <v>48</v>
      </c>
      <c r="E29" s="212">
        <v>288</v>
      </c>
      <c r="F29" s="213">
        <v>9266</v>
      </c>
      <c r="G29" s="214">
        <v>0</v>
      </c>
      <c r="H29" s="214">
        <v>264</v>
      </c>
      <c r="I29" s="63">
        <v>0</v>
      </c>
      <c r="J29" s="63">
        <v>0</v>
      </c>
      <c r="K29" s="63"/>
      <c r="L29" s="208">
        <v>0</v>
      </c>
      <c r="M29" s="208">
        <v>7260</v>
      </c>
      <c r="N29" s="208">
        <v>43560</v>
      </c>
      <c r="O29" s="208">
        <v>184764.04</v>
      </c>
      <c r="P29" s="208">
        <v>0</v>
      </c>
      <c r="Q29" s="208">
        <v>39930</v>
      </c>
      <c r="R29" s="208">
        <v>0</v>
      </c>
      <c r="S29" s="208">
        <v>0</v>
      </c>
      <c r="T29" s="208">
        <v>275514.03999999998</v>
      </c>
    </row>
    <row r="30" spans="1:20">
      <c r="A30" s="65">
        <v>26</v>
      </c>
      <c r="B30" s="77" t="s">
        <v>258</v>
      </c>
      <c r="C30" s="78"/>
      <c r="D30" s="212">
        <v>128</v>
      </c>
      <c r="E30" s="212">
        <v>377</v>
      </c>
      <c r="F30" s="213">
        <v>9017</v>
      </c>
      <c r="G30" s="214">
        <v>0</v>
      </c>
      <c r="H30" s="214">
        <v>95</v>
      </c>
      <c r="I30" s="63">
        <v>0</v>
      </c>
      <c r="J30" s="63">
        <v>0</v>
      </c>
      <c r="K30" s="63"/>
      <c r="L30" s="208">
        <v>0</v>
      </c>
      <c r="M30" s="208">
        <v>19360</v>
      </c>
      <c r="N30" s="208">
        <v>57021.25</v>
      </c>
      <c r="O30" s="208">
        <v>179798.98</v>
      </c>
      <c r="P30" s="208">
        <v>0</v>
      </c>
      <c r="Q30" s="208">
        <v>14368.75</v>
      </c>
      <c r="R30" s="208">
        <v>0</v>
      </c>
      <c r="S30" s="208">
        <v>0</v>
      </c>
      <c r="T30" s="208">
        <v>270548.98</v>
      </c>
    </row>
    <row r="31" spans="1:20">
      <c r="A31" s="65">
        <v>27</v>
      </c>
      <c r="B31" s="77" t="s">
        <v>259</v>
      </c>
      <c r="C31" s="78"/>
      <c r="D31" s="212">
        <v>80</v>
      </c>
      <c r="E31" s="212">
        <v>209</v>
      </c>
      <c r="F31" s="213">
        <v>8888</v>
      </c>
      <c r="G31" s="214">
        <v>0</v>
      </c>
      <c r="H31" s="214">
        <v>311</v>
      </c>
      <c r="I31" s="63">
        <v>0</v>
      </c>
      <c r="J31" s="63">
        <v>0</v>
      </c>
      <c r="K31" s="63"/>
      <c r="L31" s="208">
        <v>0</v>
      </c>
      <c r="M31" s="208">
        <v>12100</v>
      </c>
      <c r="N31" s="208">
        <v>31611.25</v>
      </c>
      <c r="O31" s="208">
        <v>177226.72</v>
      </c>
      <c r="P31" s="208">
        <v>0</v>
      </c>
      <c r="Q31" s="208">
        <v>47038.75</v>
      </c>
      <c r="R31" s="208">
        <v>0</v>
      </c>
      <c r="S31" s="208">
        <v>0</v>
      </c>
      <c r="T31" s="208">
        <v>267976.71999999997</v>
      </c>
    </row>
    <row r="32" spans="1:20">
      <c r="A32" s="65">
        <v>28</v>
      </c>
      <c r="B32" s="77" t="s">
        <v>260</v>
      </c>
      <c r="C32" s="78"/>
      <c r="D32" s="212">
        <v>208</v>
      </c>
      <c r="E32" s="212">
        <v>159</v>
      </c>
      <c r="F32" s="213">
        <v>8937</v>
      </c>
      <c r="G32" s="214">
        <v>0</v>
      </c>
      <c r="H32" s="214">
        <v>233</v>
      </c>
      <c r="I32" s="63">
        <v>0</v>
      </c>
      <c r="J32" s="63">
        <v>0</v>
      </c>
      <c r="K32" s="63"/>
      <c r="L32" s="208">
        <v>0</v>
      </c>
      <c r="M32" s="208">
        <v>31460</v>
      </c>
      <c r="N32" s="208">
        <v>24048.75</v>
      </c>
      <c r="O32" s="208">
        <v>178203.78</v>
      </c>
      <c r="P32" s="208">
        <v>0</v>
      </c>
      <c r="Q32" s="208">
        <v>35241.25</v>
      </c>
      <c r="R32" s="208">
        <v>0</v>
      </c>
      <c r="S32" s="208">
        <v>0</v>
      </c>
      <c r="T32" s="208">
        <v>268953.78000000003</v>
      </c>
    </row>
    <row r="33" spans="1:20">
      <c r="A33" s="65">
        <v>29</v>
      </c>
      <c r="B33" s="77" t="s">
        <v>261</v>
      </c>
      <c r="C33" s="78"/>
      <c r="D33" s="212">
        <v>258</v>
      </c>
      <c r="E33" s="212">
        <v>178</v>
      </c>
      <c r="F33" s="213">
        <v>9017</v>
      </c>
      <c r="G33" s="214">
        <v>0</v>
      </c>
      <c r="H33" s="214">
        <v>164</v>
      </c>
      <c r="I33" s="63">
        <v>0</v>
      </c>
      <c r="J33" s="63">
        <v>0</v>
      </c>
      <c r="K33" s="63"/>
      <c r="L33" s="208">
        <v>0</v>
      </c>
      <c r="M33" s="208">
        <v>39022.5</v>
      </c>
      <c r="N33" s="208">
        <v>26922.5</v>
      </c>
      <c r="O33" s="208">
        <v>179798.98</v>
      </c>
      <c r="P33" s="208">
        <v>0</v>
      </c>
      <c r="Q33" s="208">
        <v>24805</v>
      </c>
      <c r="R33" s="208">
        <v>0</v>
      </c>
      <c r="S33" s="208">
        <v>0</v>
      </c>
      <c r="T33" s="208">
        <v>270548.98</v>
      </c>
    </row>
    <row r="34" spans="1:20">
      <c r="A34" s="65">
        <v>30</v>
      </c>
      <c r="B34" s="77" t="s">
        <v>262</v>
      </c>
      <c r="C34" s="78"/>
      <c r="D34" s="212">
        <v>144</v>
      </c>
      <c r="E34" s="212">
        <v>260</v>
      </c>
      <c r="F34" s="213">
        <v>8901</v>
      </c>
      <c r="G34" s="214">
        <v>0</v>
      </c>
      <c r="H34" s="214">
        <v>196</v>
      </c>
      <c r="I34" s="63">
        <v>0</v>
      </c>
      <c r="J34" s="63">
        <v>0</v>
      </c>
      <c r="K34" s="63"/>
      <c r="L34" s="208">
        <v>0</v>
      </c>
      <c r="M34" s="208">
        <v>21780</v>
      </c>
      <c r="N34" s="208">
        <v>39325</v>
      </c>
      <c r="O34" s="208">
        <v>177485.94</v>
      </c>
      <c r="P34" s="208">
        <v>0</v>
      </c>
      <c r="Q34" s="208">
        <v>29645</v>
      </c>
      <c r="R34" s="208">
        <v>0</v>
      </c>
      <c r="S34" s="208">
        <v>0</v>
      </c>
      <c r="T34" s="208">
        <v>268235.94</v>
      </c>
    </row>
    <row r="35" spans="1:20">
      <c r="A35" s="65">
        <v>31</v>
      </c>
      <c r="B35" s="77" t="s">
        <v>263</v>
      </c>
      <c r="C35" s="78"/>
      <c r="D35" s="212">
        <v>48</v>
      </c>
      <c r="E35" s="212">
        <v>372</v>
      </c>
      <c r="F35" s="213">
        <v>8577</v>
      </c>
      <c r="G35" s="214">
        <v>0</v>
      </c>
      <c r="H35" s="214">
        <v>180</v>
      </c>
      <c r="I35" s="63">
        <v>0</v>
      </c>
      <c r="J35" s="63">
        <v>0</v>
      </c>
      <c r="K35" s="63"/>
      <c r="L35" s="208">
        <v>0</v>
      </c>
      <c r="M35" s="208">
        <v>7260</v>
      </c>
      <c r="N35" s="208">
        <v>56265</v>
      </c>
      <c r="O35" s="208">
        <v>171025.38</v>
      </c>
      <c r="P35" s="208">
        <v>0</v>
      </c>
      <c r="Q35" s="208">
        <v>27225</v>
      </c>
      <c r="R35" s="208">
        <v>0</v>
      </c>
      <c r="S35" s="208">
        <v>0</v>
      </c>
      <c r="T35" s="208">
        <v>261775.38</v>
      </c>
    </row>
    <row r="36" spans="1:20">
      <c r="D36" s="71">
        <v>8842</v>
      </c>
      <c r="E36" s="71">
        <v>5468</v>
      </c>
      <c r="F36" s="71">
        <v>270405</v>
      </c>
      <c r="G36" s="71">
        <v>3340</v>
      </c>
      <c r="H36" s="71">
        <v>5161</v>
      </c>
      <c r="I36" s="71">
        <v>27.5</v>
      </c>
      <c r="J36" s="71">
        <v>27.5</v>
      </c>
      <c r="K36" s="71">
        <v>0</v>
      </c>
      <c r="L36" s="209">
        <v>0</v>
      </c>
      <c r="M36" s="209">
        <v>1337352.5</v>
      </c>
      <c r="N36" s="209">
        <v>827035</v>
      </c>
      <c r="O36" s="209">
        <v>5391875.7000000002</v>
      </c>
      <c r="P36" s="209">
        <v>66599.600000000006</v>
      </c>
      <c r="Q36" s="209">
        <v>780601.25</v>
      </c>
      <c r="R36" s="209">
        <v>22687.5</v>
      </c>
      <c r="S36" s="209">
        <v>3300</v>
      </c>
      <c r="T36" s="209">
        <v>8429451.5500000007</v>
      </c>
    </row>
    <row r="37" spans="1:20">
      <c r="R37" s="73"/>
      <c r="S37" s="73"/>
      <c r="T37" s="210">
        <v>10115341.859999999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899A-C976-41CA-AA3C-D86B748F944C}">
  <sheetPr codeName="Лист33">
    <pageSetUpPr fitToPage="1"/>
  </sheetPr>
  <dimension ref="A1:T37"/>
  <sheetViews>
    <sheetView workbookViewId="0">
      <selection activeCell="M5" sqref="M5:Q35"/>
    </sheetView>
  </sheetViews>
  <sheetFormatPr defaultRowHeight="15"/>
  <cols>
    <col min="1" max="8" width="9.140625" style="47"/>
    <col min="9" max="9" width="10.28515625" style="47" bestFit="1" customWidth="1"/>
    <col min="10" max="11" width="9.140625" style="47"/>
    <col min="12" max="12" width="9.28515625" style="47" bestFit="1" customWidth="1"/>
    <col min="13" max="13" width="14.42578125" style="47" customWidth="1"/>
    <col min="14" max="14" width="14.140625" style="47" customWidth="1"/>
    <col min="15" max="15" width="15.140625" style="47" customWidth="1"/>
    <col min="16" max="16" width="15.42578125" style="47" customWidth="1"/>
    <col min="17" max="17" width="14.5703125" style="47" customWidth="1"/>
    <col min="18" max="18" width="13.28515625" style="47" customWidth="1"/>
    <col min="19" max="19" width="14.5703125" style="47" customWidth="1"/>
    <col min="20" max="20" width="19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265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146</v>
      </c>
      <c r="E3" s="49" t="s">
        <v>147</v>
      </c>
      <c r="F3" s="52" t="s">
        <v>4</v>
      </c>
      <c r="G3" s="49" t="s">
        <v>231</v>
      </c>
      <c r="H3" s="49" t="s">
        <v>232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 ht="30">
      <c r="A4" s="53"/>
      <c r="B4" s="54"/>
      <c r="C4" s="55"/>
      <c r="D4" s="53"/>
      <c r="E4" s="53"/>
      <c r="F4" s="56" t="s">
        <v>156</v>
      </c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233</v>
      </c>
      <c r="C5" s="78"/>
      <c r="D5" s="212">
        <v>1118.75</v>
      </c>
      <c r="E5" s="212">
        <v>126.486</v>
      </c>
      <c r="F5" s="213">
        <v>8122.4650000000001</v>
      </c>
      <c r="G5" s="214">
        <v>0</v>
      </c>
      <c r="H5" s="214">
        <v>0</v>
      </c>
      <c r="I5" s="63">
        <v>4.125</v>
      </c>
      <c r="J5" s="63">
        <v>4.125</v>
      </c>
      <c r="K5" s="63"/>
      <c r="L5" s="208">
        <v>0</v>
      </c>
      <c r="M5" s="208">
        <v>123062.5</v>
      </c>
      <c r="N5" s="208">
        <v>13913.46</v>
      </c>
      <c r="O5" s="208">
        <v>117775.74</v>
      </c>
      <c r="P5" s="208">
        <v>0</v>
      </c>
      <c r="Q5" s="208">
        <v>0</v>
      </c>
      <c r="R5" s="208">
        <v>3403.13</v>
      </c>
      <c r="S5" s="208">
        <v>495</v>
      </c>
      <c r="T5" s="208">
        <v>258649.83</v>
      </c>
    </row>
    <row r="6" spans="1:20">
      <c r="A6" s="65">
        <v>2</v>
      </c>
      <c r="B6" s="77" t="s">
        <v>234</v>
      </c>
      <c r="C6" s="78"/>
      <c r="D6" s="212">
        <v>361.625</v>
      </c>
      <c r="E6" s="212">
        <v>61.875</v>
      </c>
      <c r="F6" s="213">
        <v>8422.2150000000001</v>
      </c>
      <c r="G6" s="214">
        <v>0</v>
      </c>
      <c r="H6" s="214">
        <v>176.5</v>
      </c>
      <c r="I6" s="63">
        <v>0</v>
      </c>
      <c r="J6" s="63">
        <v>0</v>
      </c>
      <c r="K6" s="63"/>
      <c r="L6" s="208">
        <v>0</v>
      </c>
      <c r="M6" s="208">
        <v>39778.75</v>
      </c>
      <c r="N6" s="208">
        <v>6806.25</v>
      </c>
      <c r="O6" s="208">
        <v>122122.12</v>
      </c>
      <c r="P6" s="208">
        <v>0</v>
      </c>
      <c r="Q6" s="208">
        <v>19415</v>
      </c>
      <c r="R6" s="208">
        <v>0</v>
      </c>
      <c r="S6" s="208">
        <v>0</v>
      </c>
      <c r="T6" s="208">
        <v>188122.12</v>
      </c>
    </row>
    <row r="7" spans="1:20">
      <c r="A7" s="65">
        <v>3</v>
      </c>
      <c r="B7" s="77" t="s">
        <v>235</v>
      </c>
      <c r="C7" s="78"/>
      <c r="D7" s="212">
        <v>173.25</v>
      </c>
      <c r="E7" s="212">
        <v>63.25</v>
      </c>
      <c r="F7" s="213">
        <v>8532.2150000000001</v>
      </c>
      <c r="G7" s="214">
        <v>0</v>
      </c>
      <c r="H7" s="214">
        <v>363.5</v>
      </c>
      <c r="I7" s="63">
        <v>1.375</v>
      </c>
      <c r="J7" s="63">
        <v>1.375</v>
      </c>
      <c r="K7" s="63"/>
      <c r="L7" s="208">
        <v>0</v>
      </c>
      <c r="M7" s="208">
        <v>19057.5</v>
      </c>
      <c r="N7" s="208">
        <v>6957.5</v>
      </c>
      <c r="O7" s="208">
        <v>123717.12</v>
      </c>
      <c r="P7" s="208">
        <v>0</v>
      </c>
      <c r="Q7" s="208">
        <v>39985</v>
      </c>
      <c r="R7" s="208">
        <v>1134.3800000000001</v>
      </c>
      <c r="S7" s="208">
        <v>165</v>
      </c>
      <c r="T7" s="208">
        <v>191016.49</v>
      </c>
    </row>
    <row r="8" spans="1:20">
      <c r="A8" s="65">
        <v>4</v>
      </c>
      <c r="B8" s="77" t="s">
        <v>236</v>
      </c>
      <c r="C8" s="78"/>
      <c r="D8" s="212">
        <v>391.875</v>
      </c>
      <c r="E8" s="212">
        <v>180.15</v>
      </c>
      <c r="F8" s="213">
        <v>8745.3150000000005</v>
      </c>
      <c r="G8" s="214">
        <v>0</v>
      </c>
      <c r="H8" s="214">
        <v>27.975000000000023</v>
      </c>
      <c r="I8" s="63">
        <v>0</v>
      </c>
      <c r="J8" s="63">
        <v>0</v>
      </c>
      <c r="K8" s="63"/>
      <c r="L8" s="208">
        <v>0</v>
      </c>
      <c r="M8" s="208">
        <v>43106.25</v>
      </c>
      <c r="N8" s="208">
        <v>19816.5</v>
      </c>
      <c r="O8" s="208">
        <v>126807.07</v>
      </c>
      <c r="P8" s="208">
        <v>0</v>
      </c>
      <c r="Q8" s="208">
        <v>3077.25</v>
      </c>
      <c r="R8" s="208">
        <v>0</v>
      </c>
      <c r="S8" s="208">
        <v>0</v>
      </c>
      <c r="T8" s="208">
        <v>192807.07</v>
      </c>
    </row>
    <row r="9" spans="1:20">
      <c r="A9" s="65">
        <v>5</v>
      </c>
      <c r="B9" s="77" t="s">
        <v>237</v>
      </c>
      <c r="C9" s="78"/>
      <c r="D9" s="212">
        <v>484</v>
      </c>
      <c r="E9" s="212">
        <v>174.625</v>
      </c>
      <c r="F9" s="213">
        <v>9054.69</v>
      </c>
      <c r="G9" s="214">
        <v>0</v>
      </c>
      <c r="H9" s="214">
        <v>0</v>
      </c>
      <c r="I9" s="63">
        <v>1.375</v>
      </c>
      <c r="J9" s="63">
        <v>1.375</v>
      </c>
      <c r="K9" s="63"/>
      <c r="L9" s="208">
        <v>0</v>
      </c>
      <c r="M9" s="208">
        <v>53240</v>
      </c>
      <c r="N9" s="208">
        <v>19208.75</v>
      </c>
      <c r="O9" s="208">
        <v>131293.01</v>
      </c>
      <c r="P9" s="208">
        <v>0</v>
      </c>
      <c r="Q9" s="208">
        <v>0</v>
      </c>
      <c r="R9" s="208">
        <v>1134.3800000000001</v>
      </c>
      <c r="S9" s="208">
        <v>165</v>
      </c>
      <c r="T9" s="208">
        <v>205041.13</v>
      </c>
    </row>
    <row r="10" spans="1:20">
      <c r="A10" s="65">
        <v>6</v>
      </c>
      <c r="B10" s="77" t="s">
        <v>238</v>
      </c>
      <c r="C10" s="78"/>
      <c r="D10" s="212">
        <v>990</v>
      </c>
      <c r="E10" s="212">
        <v>154.625</v>
      </c>
      <c r="F10" s="213">
        <v>9890.0650000000005</v>
      </c>
      <c r="G10" s="214">
        <v>0</v>
      </c>
      <c r="H10" s="214">
        <v>0</v>
      </c>
      <c r="I10" s="63">
        <v>1.375</v>
      </c>
      <c r="J10" s="63">
        <v>1.375</v>
      </c>
      <c r="K10" s="63"/>
      <c r="L10" s="208">
        <v>0</v>
      </c>
      <c r="M10" s="208">
        <v>108900</v>
      </c>
      <c r="N10" s="208">
        <v>17008.75</v>
      </c>
      <c r="O10" s="208">
        <v>143405.94</v>
      </c>
      <c r="P10" s="208">
        <v>0</v>
      </c>
      <c r="Q10" s="208">
        <v>0</v>
      </c>
      <c r="R10" s="208">
        <v>1134.3800000000001</v>
      </c>
      <c r="S10" s="208">
        <v>165</v>
      </c>
      <c r="T10" s="208">
        <v>270614.07</v>
      </c>
    </row>
    <row r="11" spans="1:20">
      <c r="A11" s="65">
        <v>7</v>
      </c>
      <c r="B11" s="77" t="s">
        <v>239</v>
      </c>
      <c r="C11" s="78"/>
      <c r="D11" s="212">
        <v>459.35</v>
      </c>
      <c r="E11" s="212">
        <v>177.375</v>
      </c>
      <c r="F11" s="213">
        <v>10172.040000000001</v>
      </c>
      <c r="G11" s="214">
        <v>0</v>
      </c>
      <c r="H11" s="214">
        <v>0</v>
      </c>
      <c r="I11" s="63">
        <v>0</v>
      </c>
      <c r="J11" s="63">
        <v>0</v>
      </c>
      <c r="K11" s="63"/>
      <c r="L11" s="208">
        <v>0</v>
      </c>
      <c r="M11" s="208">
        <v>50528.5</v>
      </c>
      <c r="N11" s="208">
        <v>19511.25</v>
      </c>
      <c r="O11" s="208">
        <v>147494.57999999999</v>
      </c>
      <c r="P11" s="208">
        <v>0</v>
      </c>
      <c r="Q11" s="208">
        <v>0</v>
      </c>
      <c r="R11" s="208">
        <v>0</v>
      </c>
      <c r="S11" s="208">
        <v>0</v>
      </c>
      <c r="T11" s="208">
        <v>217534.33</v>
      </c>
    </row>
    <row r="12" spans="1:20">
      <c r="A12" s="65">
        <v>8</v>
      </c>
      <c r="B12" s="77" t="s">
        <v>240</v>
      </c>
      <c r="C12" s="78"/>
      <c r="D12" s="212">
        <v>766.625</v>
      </c>
      <c r="E12" s="212">
        <v>86.625</v>
      </c>
      <c r="F12" s="213">
        <v>10852.04</v>
      </c>
      <c r="G12" s="214">
        <v>0</v>
      </c>
      <c r="H12" s="214">
        <v>0</v>
      </c>
      <c r="I12" s="63">
        <v>0</v>
      </c>
      <c r="J12" s="63">
        <v>0</v>
      </c>
      <c r="K12" s="63"/>
      <c r="L12" s="208">
        <v>0</v>
      </c>
      <c r="M12" s="208">
        <v>84328.75</v>
      </c>
      <c r="N12" s="208">
        <v>9528.75</v>
      </c>
      <c r="O12" s="208">
        <v>157354.57999999999</v>
      </c>
      <c r="P12" s="208">
        <v>0</v>
      </c>
      <c r="Q12" s="208">
        <v>0</v>
      </c>
      <c r="R12" s="208">
        <v>0</v>
      </c>
      <c r="S12" s="208">
        <v>0</v>
      </c>
      <c r="T12" s="208">
        <v>251212.08</v>
      </c>
    </row>
    <row r="13" spans="1:20">
      <c r="A13" s="65">
        <v>9</v>
      </c>
      <c r="B13" s="77" t="s">
        <v>241</v>
      </c>
      <c r="C13" s="78"/>
      <c r="D13" s="212">
        <v>373.375</v>
      </c>
      <c r="E13" s="212">
        <v>110</v>
      </c>
      <c r="F13" s="213">
        <v>11115.415000000001</v>
      </c>
      <c r="G13" s="214">
        <v>0</v>
      </c>
      <c r="H13" s="214">
        <v>116.625</v>
      </c>
      <c r="I13" s="63">
        <v>0</v>
      </c>
      <c r="J13" s="63">
        <v>0</v>
      </c>
      <c r="K13" s="63"/>
      <c r="L13" s="208">
        <v>0</v>
      </c>
      <c r="M13" s="208">
        <v>41071.25</v>
      </c>
      <c r="N13" s="208">
        <v>12100</v>
      </c>
      <c r="O13" s="208">
        <v>161173.51999999999</v>
      </c>
      <c r="P13" s="208">
        <v>0</v>
      </c>
      <c r="Q13" s="208">
        <v>12828.75</v>
      </c>
      <c r="R13" s="208">
        <v>0</v>
      </c>
      <c r="S13" s="208">
        <v>0</v>
      </c>
      <c r="T13" s="208">
        <v>227173.52</v>
      </c>
    </row>
    <row r="14" spans="1:20">
      <c r="A14" s="65">
        <v>10</v>
      </c>
      <c r="B14" s="77" t="s">
        <v>242</v>
      </c>
      <c r="C14" s="78"/>
      <c r="D14" s="212">
        <v>743.375</v>
      </c>
      <c r="E14" s="212">
        <v>210.75</v>
      </c>
      <c r="F14" s="213">
        <v>11648.04</v>
      </c>
      <c r="G14" s="214">
        <v>0</v>
      </c>
      <c r="H14" s="214">
        <v>0</v>
      </c>
      <c r="I14" s="63">
        <v>0</v>
      </c>
      <c r="J14" s="63">
        <v>0</v>
      </c>
      <c r="K14" s="63"/>
      <c r="L14" s="208">
        <v>0</v>
      </c>
      <c r="M14" s="208">
        <v>81771.25</v>
      </c>
      <c r="N14" s="208">
        <v>23182.5</v>
      </c>
      <c r="O14" s="208">
        <v>168896.58</v>
      </c>
      <c r="P14" s="208">
        <v>0</v>
      </c>
      <c r="Q14" s="208">
        <v>0</v>
      </c>
      <c r="R14" s="208">
        <v>0</v>
      </c>
      <c r="S14" s="208">
        <v>0</v>
      </c>
      <c r="T14" s="208">
        <v>273850.33</v>
      </c>
    </row>
    <row r="15" spans="1:20">
      <c r="A15" s="65">
        <v>11</v>
      </c>
      <c r="B15" s="77" t="s">
        <v>243</v>
      </c>
      <c r="C15" s="78"/>
      <c r="D15" s="212">
        <v>506</v>
      </c>
      <c r="E15" s="212">
        <v>202.5</v>
      </c>
      <c r="F15" s="213">
        <v>11951.54</v>
      </c>
      <c r="G15" s="214">
        <v>0</v>
      </c>
      <c r="H15" s="214">
        <v>0</v>
      </c>
      <c r="I15" s="63">
        <v>0</v>
      </c>
      <c r="J15" s="63">
        <v>0</v>
      </c>
      <c r="K15" s="63"/>
      <c r="L15" s="208">
        <v>0</v>
      </c>
      <c r="M15" s="208">
        <v>55660</v>
      </c>
      <c r="N15" s="208">
        <v>22275</v>
      </c>
      <c r="O15" s="208">
        <v>173297.33</v>
      </c>
      <c r="P15" s="208">
        <v>0</v>
      </c>
      <c r="Q15" s="208">
        <v>0</v>
      </c>
      <c r="R15" s="208">
        <v>0</v>
      </c>
      <c r="S15" s="208">
        <v>0</v>
      </c>
      <c r="T15" s="208">
        <v>251232.33</v>
      </c>
    </row>
    <row r="16" spans="1:20">
      <c r="A16" s="65">
        <v>12</v>
      </c>
      <c r="B16" s="77" t="s">
        <v>244</v>
      </c>
      <c r="C16" s="78"/>
      <c r="D16" s="212">
        <v>682</v>
      </c>
      <c r="E16" s="212">
        <v>219.97499999999999</v>
      </c>
      <c r="F16" s="213">
        <v>12413.565000000001</v>
      </c>
      <c r="G16" s="214">
        <v>0</v>
      </c>
      <c r="H16" s="214">
        <v>0</v>
      </c>
      <c r="I16" s="63">
        <v>0</v>
      </c>
      <c r="J16" s="63">
        <v>0</v>
      </c>
      <c r="K16" s="63"/>
      <c r="L16" s="208">
        <v>0</v>
      </c>
      <c r="M16" s="208">
        <v>75020</v>
      </c>
      <c r="N16" s="208">
        <v>24197.25</v>
      </c>
      <c r="O16" s="208">
        <v>179996.69</v>
      </c>
      <c r="P16" s="208">
        <v>0</v>
      </c>
      <c r="Q16" s="208">
        <v>0</v>
      </c>
      <c r="R16" s="208">
        <v>0</v>
      </c>
      <c r="S16" s="208">
        <v>0</v>
      </c>
      <c r="T16" s="208">
        <v>279213.94</v>
      </c>
    </row>
    <row r="17" spans="1:20">
      <c r="A17" s="65">
        <v>13</v>
      </c>
      <c r="B17" s="77" t="s">
        <v>245</v>
      </c>
      <c r="C17" s="78"/>
      <c r="D17" s="212">
        <v>594</v>
      </c>
      <c r="E17" s="212">
        <v>112.75</v>
      </c>
      <c r="F17" s="213">
        <v>12894.815000000001</v>
      </c>
      <c r="G17" s="214">
        <v>0</v>
      </c>
      <c r="H17" s="214">
        <v>0</v>
      </c>
      <c r="I17" s="63">
        <v>0</v>
      </c>
      <c r="J17" s="63">
        <v>0</v>
      </c>
      <c r="K17" s="63"/>
      <c r="L17" s="208">
        <v>0</v>
      </c>
      <c r="M17" s="208">
        <v>65340</v>
      </c>
      <c r="N17" s="208">
        <v>12402.5</v>
      </c>
      <c r="O17" s="208">
        <v>186974.82</v>
      </c>
      <c r="P17" s="208">
        <v>0</v>
      </c>
      <c r="Q17" s="208">
        <v>0</v>
      </c>
      <c r="R17" s="208">
        <v>0</v>
      </c>
      <c r="S17" s="208">
        <v>0</v>
      </c>
      <c r="T17" s="208">
        <v>264717.32</v>
      </c>
    </row>
    <row r="18" spans="1:20">
      <c r="A18" s="65">
        <v>14</v>
      </c>
      <c r="B18" s="77" t="s">
        <v>246</v>
      </c>
      <c r="C18" s="78"/>
      <c r="D18" s="212">
        <v>832.72500000000002</v>
      </c>
      <c r="E18" s="212">
        <v>202.125</v>
      </c>
      <c r="F18" s="213">
        <v>13525.415000000001</v>
      </c>
      <c r="G18" s="214">
        <v>0</v>
      </c>
      <c r="H18" s="214">
        <v>0</v>
      </c>
      <c r="I18" s="63">
        <v>0</v>
      </c>
      <c r="J18" s="63">
        <v>0</v>
      </c>
      <c r="K18" s="63"/>
      <c r="L18" s="208">
        <v>0</v>
      </c>
      <c r="M18" s="208">
        <v>91599.75</v>
      </c>
      <c r="N18" s="208">
        <v>22233.75</v>
      </c>
      <c r="O18" s="208">
        <v>196118.52</v>
      </c>
      <c r="P18" s="208">
        <v>0</v>
      </c>
      <c r="Q18" s="208">
        <v>0</v>
      </c>
      <c r="R18" s="208">
        <v>0</v>
      </c>
      <c r="S18" s="208">
        <v>0</v>
      </c>
      <c r="T18" s="208">
        <v>309952.02</v>
      </c>
    </row>
    <row r="19" spans="1:20">
      <c r="A19" s="65">
        <v>15</v>
      </c>
      <c r="B19" s="77" t="s">
        <v>247</v>
      </c>
      <c r="C19" s="78"/>
      <c r="D19" s="212">
        <v>352</v>
      </c>
      <c r="E19" s="212">
        <v>242</v>
      </c>
      <c r="F19" s="213">
        <v>13635.415000000001</v>
      </c>
      <c r="G19" s="214">
        <v>0</v>
      </c>
      <c r="H19" s="214">
        <v>6</v>
      </c>
      <c r="I19" s="63">
        <v>0</v>
      </c>
      <c r="J19" s="63">
        <v>0</v>
      </c>
      <c r="K19" s="63"/>
      <c r="L19" s="208">
        <v>0</v>
      </c>
      <c r="M19" s="208">
        <v>38720</v>
      </c>
      <c r="N19" s="208">
        <v>26620</v>
      </c>
      <c r="O19" s="208">
        <v>197713.52</v>
      </c>
      <c r="P19" s="208">
        <v>0</v>
      </c>
      <c r="Q19" s="208">
        <v>660</v>
      </c>
      <c r="R19" s="208">
        <v>0</v>
      </c>
      <c r="S19" s="208">
        <v>0</v>
      </c>
      <c r="T19" s="208">
        <v>263713.52</v>
      </c>
    </row>
    <row r="20" spans="1:20">
      <c r="A20" s="65">
        <v>16</v>
      </c>
      <c r="B20" s="77" t="s">
        <v>248</v>
      </c>
      <c r="C20" s="78"/>
      <c r="D20" s="212">
        <v>591.25</v>
      </c>
      <c r="E20" s="212">
        <v>211.75</v>
      </c>
      <c r="F20" s="213">
        <v>14014.915000000001</v>
      </c>
      <c r="G20" s="214">
        <v>0</v>
      </c>
      <c r="H20" s="214">
        <v>0</v>
      </c>
      <c r="I20" s="63">
        <v>11</v>
      </c>
      <c r="J20" s="63">
        <v>11</v>
      </c>
      <c r="K20" s="63"/>
      <c r="L20" s="208">
        <v>0</v>
      </c>
      <c r="M20" s="208">
        <v>65037.5</v>
      </c>
      <c r="N20" s="208">
        <v>23292.5</v>
      </c>
      <c r="O20" s="208">
        <v>203216.27</v>
      </c>
      <c r="P20" s="208">
        <v>0</v>
      </c>
      <c r="Q20" s="208">
        <v>0</v>
      </c>
      <c r="R20" s="208">
        <v>9075</v>
      </c>
      <c r="S20" s="208">
        <v>1320</v>
      </c>
      <c r="T20" s="208">
        <v>301941.27</v>
      </c>
    </row>
    <row r="21" spans="1:20">
      <c r="A21" s="65">
        <v>17</v>
      </c>
      <c r="B21" s="77" t="s">
        <v>249</v>
      </c>
      <c r="C21" s="78"/>
      <c r="D21" s="212">
        <v>413</v>
      </c>
      <c r="E21" s="212">
        <v>353.375</v>
      </c>
      <c r="F21" s="213">
        <v>14074.54</v>
      </c>
      <c r="G21" s="214">
        <v>0</v>
      </c>
      <c r="H21" s="214">
        <v>0</v>
      </c>
      <c r="I21" s="63">
        <v>2.75</v>
      </c>
      <c r="J21" s="63">
        <v>2.75</v>
      </c>
      <c r="K21" s="63"/>
      <c r="L21" s="208">
        <v>0</v>
      </c>
      <c r="M21" s="208">
        <v>45430</v>
      </c>
      <c r="N21" s="208">
        <v>38871.25</v>
      </c>
      <c r="O21" s="208">
        <v>204080.83</v>
      </c>
      <c r="P21" s="208">
        <v>0</v>
      </c>
      <c r="Q21" s="208">
        <v>0</v>
      </c>
      <c r="R21" s="208">
        <v>2268.75</v>
      </c>
      <c r="S21" s="208">
        <v>330</v>
      </c>
      <c r="T21" s="208">
        <v>290980.83</v>
      </c>
    </row>
    <row r="22" spans="1:20">
      <c r="A22" s="65">
        <v>18</v>
      </c>
      <c r="B22" s="77" t="s">
        <v>250</v>
      </c>
      <c r="C22" s="78"/>
      <c r="D22" s="212">
        <v>262.75</v>
      </c>
      <c r="E22" s="212">
        <v>283.25</v>
      </c>
      <c r="F22" s="213">
        <v>14054.04</v>
      </c>
      <c r="G22" s="214">
        <v>0</v>
      </c>
      <c r="H22" s="214">
        <v>54</v>
      </c>
      <c r="I22" s="63">
        <v>0</v>
      </c>
      <c r="J22" s="63">
        <v>0</v>
      </c>
      <c r="K22" s="63"/>
      <c r="L22" s="208">
        <v>0</v>
      </c>
      <c r="M22" s="208">
        <v>28902.5</v>
      </c>
      <c r="N22" s="208">
        <v>31157.5</v>
      </c>
      <c r="O22" s="208">
        <v>203783.58</v>
      </c>
      <c r="P22" s="208">
        <v>0</v>
      </c>
      <c r="Q22" s="208">
        <v>5940</v>
      </c>
      <c r="R22" s="208">
        <v>0</v>
      </c>
      <c r="S22" s="208">
        <v>0</v>
      </c>
      <c r="T22" s="208">
        <v>269783.58</v>
      </c>
    </row>
    <row r="23" spans="1:20">
      <c r="A23" s="65">
        <v>19</v>
      </c>
      <c r="B23" s="77" t="s">
        <v>251</v>
      </c>
      <c r="C23" s="78"/>
      <c r="D23" s="212">
        <v>222.75</v>
      </c>
      <c r="E23" s="212">
        <v>394.625</v>
      </c>
      <c r="F23" s="213">
        <v>13882.165000000001</v>
      </c>
      <c r="G23" s="214">
        <v>0</v>
      </c>
      <c r="H23" s="214">
        <v>0</v>
      </c>
      <c r="I23" s="63">
        <v>0</v>
      </c>
      <c r="J23" s="63">
        <v>0</v>
      </c>
      <c r="K23" s="63"/>
      <c r="L23" s="208">
        <v>0</v>
      </c>
      <c r="M23" s="208">
        <v>24502.5</v>
      </c>
      <c r="N23" s="208">
        <v>43408.75</v>
      </c>
      <c r="O23" s="208">
        <v>201291.39</v>
      </c>
      <c r="P23" s="208">
        <v>0</v>
      </c>
      <c r="Q23" s="208">
        <v>0</v>
      </c>
      <c r="R23" s="208">
        <v>0</v>
      </c>
      <c r="S23" s="208">
        <v>0</v>
      </c>
      <c r="T23" s="208">
        <v>269202.64</v>
      </c>
    </row>
    <row r="24" spans="1:20">
      <c r="A24" s="65">
        <v>20</v>
      </c>
      <c r="B24" s="77" t="s">
        <v>252</v>
      </c>
      <c r="C24" s="78"/>
      <c r="D24" s="212">
        <v>175.375</v>
      </c>
      <c r="E24" s="212">
        <v>155.32499999999999</v>
      </c>
      <c r="F24" s="213">
        <v>13902.215</v>
      </c>
      <c r="G24" s="214">
        <v>0</v>
      </c>
      <c r="H24" s="214">
        <v>269.3</v>
      </c>
      <c r="I24" s="63">
        <v>5.5</v>
      </c>
      <c r="J24" s="63">
        <v>5.5</v>
      </c>
      <c r="K24" s="63"/>
      <c r="L24" s="208">
        <v>0</v>
      </c>
      <c r="M24" s="208">
        <v>19291.25</v>
      </c>
      <c r="N24" s="208">
        <v>17085.75</v>
      </c>
      <c r="O24" s="208">
        <v>201582.12</v>
      </c>
      <c r="P24" s="208">
        <v>0</v>
      </c>
      <c r="Q24" s="208">
        <v>29623</v>
      </c>
      <c r="R24" s="208">
        <v>4537.5</v>
      </c>
      <c r="S24" s="208">
        <v>660</v>
      </c>
      <c r="T24" s="208">
        <v>272779.62</v>
      </c>
    </row>
    <row r="25" spans="1:20">
      <c r="A25" s="65">
        <v>21</v>
      </c>
      <c r="B25" s="77" t="s">
        <v>253</v>
      </c>
      <c r="C25" s="78"/>
      <c r="D25" s="212">
        <v>132</v>
      </c>
      <c r="E25" s="212">
        <v>405.625</v>
      </c>
      <c r="F25" s="213">
        <v>13628.59</v>
      </c>
      <c r="G25" s="214">
        <v>0</v>
      </c>
      <c r="H25" s="214">
        <v>62.375</v>
      </c>
      <c r="I25" s="63">
        <v>0</v>
      </c>
      <c r="J25" s="63">
        <v>0</v>
      </c>
      <c r="K25" s="63"/>
      <c r="L25" s="208">
        <v>0</v>
      </c>
      <c r="M25" s="208">
        <v>14520</v>
      </c>
      <c r="N25" s="208">
        <v>44618.75</v>
      </c>
      <c r="O25" s="208">
        <v>197614.56</v>
      </c>
      <c r="P25" s="208">
        <v>0</v>
      </c>
      <c r="Q25" s="208">
        <v>6861.25</v>
      </c>
      <c r="R25" s="208">
        <v>0</v>
      </c>
      <c r="S25" s="208">
        <v>0</v>
      </c>
      <c r="T25" s="208">
        <v>263614.56</v>
      </c>
    </row>
    <row r="26" spans="1:20">
      <c r="A26" s="65">
        <v>22</v>
      </c>
      <c r="B26" s="77" t="s">
        <v>254</v>
      </c>
      <c r="C26" s="78"/>
      <c r="D26" s="212">
        <v>87.375</v>
      </c>
      <c r="E26" s="212">
        <v>176</v>
      </c>
      <c r="F26" s="213">
        <v>13539.965</v>
      </c>
      <c r="G26" s="214">
        <v>0</v>
      </c>
      <c r="H26" s="214">
        <v>336.625</v>
      </c>
      <c r="I26" s="63">
        <v>0</v>
      </c>
      <c r="J26" s="63">
        <v>0</v>
      </c>
      <c r="K26" s="63"/>
      <c r="L26" s="208">
        <v>0</v>
      </c>
      <c r="M26" s="208">
        <v>9611.25</v>
      </c>
      <c r="N26" s="208">
        <v>19360</v>
      </c>
      <c r="O26" s="208">
        <v>196329.49</v>
      </c>
      <c r="P26" s="208">
        <v>0</v>
      </c>
      <c r="Q26" s="208">
        <v>37028.75</v>
      </c>
      <c r="R26" s="208">
        <v>0</v>
      </c>
      <c r="S26" s="208">
        <v>0</v>
      </c>
      <c r="T26" s="208">
        <v>262329.49</v>
      </c>
    </row>
    <row r="27" spans="1:20">
      <c r="A27" s="65">
        <v>23</v>
      </c>
      <c r="B27" s="77" t="s">
        <v>255</v>
      </c>
      <c r="C27" s="78"/>
      <c r="D27" s="212">
        <v>44</v>
      </c>
      <c r="E27" s="212">
        <v>220</v>
      </c>
      <c r="F27" s="213">
        <v>13363.965</v>
      </c>
      <c r="G27" s="214">
        <v>0</v>
      </c>
      <c r="H27" s="214">
        <v>336</v>
      </c>
      <c r="I27" s="63">
        <v>0</v>
      </c>
      <c r="J27" s="63">
        <v>0</v>
      </c>
      <c r="K27" s="63"/>
      <c r="L27" s="208">
        <v>0</v>
      </c>
      <c r="M27" s="208">
        <v>4840</v>
      </c>
      <c r="N27" s="208">
        <v>24200</v>
      </c>
      <c r="O27" s="208">
        <v>193777.49</v>
      </c>
      <c r="P27" s="208">
        <v>0</v>
      </c>
      <c r="Q27" s="208">
        <v>36960</v>
      </c>
      <c r="R27" s="208">
        <v>0</v>
      </c>
      <c r="S27" s="208">
        <v>0</v>
      </c>
      <c r="T27" s="208">
        <v>259777.49</v>
      </c>
    </row>
    <row r="28" spans="1:20">
      <c r="A28" s="65">
        <v>24</v>
      </c>
      <c r="B28" s="77" t="s">
        <v>256</v>
      </c>
      <c r="C28" s="78"/>
      <c r="D28" s="212">
        <v>66</v>
      </c>
      <c r="E28" s="212">
        <v>466.125</v>
      </c>
      <c r="F28" s="213">
        <v>12963.84</v>
      </c>
      <c r="G28" s="214">
        <v>0</v>
      </c>
      <c r="H28" s="214">
        <v>67.875</v>
      </c>
      <c r="I28" s="63">
        <v>0</v>
      </c>
      <c r="J28" s="63">
        <v>0</v>
      </c>
      <c r="K28" s="63"/>
      <c r="L28" s="208">
        <v>0</v>
      </c>
      <c r="M28" s="208">
        <v>7260</v>
      </c>
      <c r="N28" s="208">
        <v>51273.75</v>
      </c>
      <c r="O28" s="208">
        <v>187975.67999999999</v>
      </c>
      <c r="P28" s="208">
        <v>0</v>
      </c>
      <c r="Q28" s="208">
        <v>7466.25</v>
      </c>
      <c r="R28" s="208">
        <v>0</v>
      </c>
      <c r="S28" s="208">
        <v>0</v>
      </c>
      <c r="T28" s="208">
        <v>253975.67999999999</v>
      </c>
    </row>
    <row r="29" spans="1:20">
      <c r="A29" s="65">
        <v>25</v>
      </c>
      <c r="B29" s="77" t="s">
        <v>257</v>
      </c>
      <c r="C29" s="78"/>
      <c r="D29" s="212">
        <v>66</v>
      </c>
      <c r="E29" s="212">
        <v>396.05</v>
      </c>
      <c r="F29" s="213">
        <v>12633.79</v>
      </c>
      <c r="G29" s="214">
        <v>0</v>
      </c>
      <c r="H29" s="214">
        <v>137.94999999999999</v>
      </c>
      <c r="I29" s="63">
        <v>0</v>
      </c>
      <c r="J29" s="63">
        <v>0</v>
      </c>
      <c r="K29" s="63"/>
      <c r="L29" s="208">
        <v>0</v>
      </c>
      <c r="M29" s="208">
        <v>7260</v>
      </c>
      <c r="N29" s="208">
        <v>43565.5</v>
      </c>
      <c r="O29" s="208">
        <v>183189.96</v>
      </c>
      <c r="P29" s="208">
        <v>0</v>
      </c>
      <c r="Q29" s="208">
        <v>15174.5</v>
      </c>
      <c r="R29" s="208">
        <v>0</v>
      </c>
      <c r="S29" s="208">
        <v>0</v>
      </c>
      <c r="T29" s="208">
        <v>249189.96</v>
      </c>
    </row>
    <row r="30" spans="1:20">
      <c r="A30" s="65">
        <v>26</v>
      </c>
      <c r="B30" s="77" t="s">
        <v>258</v>
      </c>
      <c r="C30" s="78"/>
      <c r="D30" s="212">
        <v>176</v>
      </c>
      <c r="E30" s="212">
        <v>518.375</v>
      </c>
      <c r="F30" s="213">
        <v>12291.415000000001</v>
      </c>
      <c r="G30" s="214">
        <v>0</v>
      </c>
      <c r="H30" s="214">
        <v>0</v>
      </c>
      <c r="I30" s="63">
        <v>0</v>
      </c>
      <c r="J30" s="63">
        <v>0</v>
      </c>
      <c r="K30" s="63"/>
      <c r="L30" s="208">
        <v>0</v>
      </c>
      <c r="M30" s="208">
        <v>19360</v>
      </c>
      <c r="N30" s="208">
        <v>57021.25</v>
      </c>
      <c r="O30" s="208">
        <v>178225.52</v>
      </c>
      <c r="P30" s="208">
        <v>0</v>
      </c>
      <c r="Q30" s="208">
        <v>0</v>
      </c>
      <c r="R30" s="208">
        <v>0</v>
      </c>
      <c r="S30" s="208">
        <v>0</v>
      </c>
      <c r="T30" s="208">
        <v>254606.77</v>
      </c>
    </row>
    <row r="31" spans="1:20">
      <c r="A31" s="65">
        <v>27</v>
      </c>
      <c r="B31" s="77" t="s">
        <v>259</v>
      </c>
      <c r="C31" s="78"/>
      <c r="D31" s="212">
        <v>110</v>
      </c>
      <c r="E31" s="212">
        <v>287.375</v>
      </c>
      <c r="F31" s="213">
        <v>12114.04</v>
      </c>
      <c r="G31" s="214">
        <v>0</v>
      </c>
      <c r="H31" s="214">
        <v>202.625</v>
      </c>
      <c r="I31" s="63">
        <v>0</v>
      </c>
      <c r="J31" s="63">
        <v>0</v>
      </c>
      <c r="K31" s="63"/>
      <c r="L31" s="208">
        <v>0</v>
      </c>
      <c r="M31" s="208">
        <v>12100</v>
      </c>
      <c r="N31" s="208">
        <v>31611.25</v>
      </c>
      <c r="O31" s="208">
        <v>175653.58</v>
      </c>
      <c r="P31" s="208">
        <v>0</v>
      </c>
      <c r="Q31" s="208">
        <v>22288.75</v>
      </c>
      <c r="R31" s="208">
        <v>0</v>
      </c>
      <c r="S31" s="208">
        <v>0</v>
      </c>
      <c r="T31" s="208">
        <v>241653.58</v>
      </c>
    </row>
    <row r="32" spans="1:20">
      <c r="A32" s="65">
        <v>28</v>
      </c>
      <c r="B32" s="77" t="s">
        <v>260</v>
      </c>
      <c r="C32" s="78"/>
      <c r="D32" s="212">
        <v>286</v>
      </c>
      <c r="E32" s="212">
        <v>218.72499999999999</v>
      </c>
      <c r="F32" s="213">
        <v>12181.315000000001</v>
      </c>
      <c r="G32" s="214">
        <v>0</v>
      </c>
      <c r="H32" s="214">
        <v>95.274999999999977</v>
      </c>
      <c r="I32" s="63">
        <v>0</v>
      </c>
      <c r="J32" s="63">
        <v>0</v>
      </c>
      <c r="K32" s="63"/>
      <c r="L32" s="208">
        <v>0</v>
      </c>
      <c r="M32" s="208">
        <v>31460</v>
      </c>
      <c r="N32" s="208">
        <v>24059.75</v>
      </c>
      <c r="O32" s="208">
        <v>176629.07</v>
      </c>
      <c r="P32" s="208">
        <v>0</v>
      </c>
      <c r="Q32" s="208">
        <v>10480.25</v>
      </c>
      <c r="R32" s="208">
        <v>0</v>
      </c>
      <c r="S32" s="208">
        <v>0</v>
      </c>
      <c r="T32" s="208">
        <v>242629.07</v>
      </c>
    </row>
    <row r="33" spans="1:20">
      <c r="A33" s="65">
        <v>29</v>
      </c>
      <c r="B33" s="77" t="s">
        <v>261</v>
      </c>
      <c r="C33" s="78"/>
      <c r="D33" s="212">
        <v>350.5</v>
      </c>
      <c r="E33" s="212">
        <v>235.25</v>
      </c>
      <c r="F33" s="213">
        <v>12296.565000000001</v>
      </c>
      <c r="G33" s="214">
        <v>0</v>
      </c>
      <c r="H33" s="214">
        <v>14.25</v>
      </c>
      <c r="I33" s="63">
        <v>0</v>
      </c>
      <c r="J33" s="63">
        <v>0</v>
      </c>
      <c r="K33" s="63"/>
      <c r="L33" s="208">
        <v>0</v>
      </c>
      <c r="M33" s="208">
        <v>38555</v>
      </c>
      <c r="N33" s="208">
        <v>25877.5</v>
      </c>
      <c r="O33" s="208">
        <v>178300.19</v>
      </c>
      <c r="P33" s="208">
        <v>0</v>
      </c>
      <c r="Q33" s="208">
        <v>1567.5</v>
      </c>
      <c r="R33" s="208">
        <v>0</v>
      </c>
      <c r="S33" s="208">
        <v>0</v>
      </c>
      <c r="T33" s="208">
        <v>244300.19</v>
      </c>
    </row>
    <row r="34" spans="1:20">
      <c r="A34" s="65">
        <v>30</v>
      </c>
      <c r="B34" s="77" t="s">
        <v>262</v>
      </c>
      <c r="C34" s="78"/>
      <c r="D34" s="212">
        <v>198</v>
      </c>
      <c r="E34" s="212">
        <v>348</v>
      </c>
      <c r="F34" s="213">
        <v>12146.565000000001</v>
      </c>
      <c r="G34" s="214">
        <v>0</v>
      </c>
      <c r="H34" s="214">
        <v>54</v>
      </c>
      <c r="I34" s="63">
        <v>0</v>
      </c>
      <c r="J34" s="63">
        <v>0</v>
      </c>
      <c r="K34" s="63"/>
      <c r="L34" s="208">
        <v>0</v>
      </c>
      <c r="M34" s="208">
        <v>21780</v>
      </c>
      <c r="N34" s="208">
        <v>38280</v>
      </c>
      <c r="O34" s="208">
        <v>176125.19</v>
      </c>
      <c r="P34" s="208">
        <v>0</v>
      </c>
      <c r="Q34" s="208">
        <v>5940</v>
      </c>
      <c r="R34" s="208">
        <v>0</v>
      </c>
      <c r="S34" s="208">
        <v>0</v>
      </c>
      <c r="T34" s="208">
        <v>242125.19</v>
      </c>
    </row>
    <row r="35" spans="1:20">
      <c r="A35" s="65">
        <v>31</v>
      </c>
      <c r="B35" s="77" t="s">
        <v>263</v>
      </c>
      <c r="C35" s="78"/>
      <c r="D35" s="212">
        <v>66</v>
      </c>
      <c r="E35" s="212">
        <v>506.75</v>
      </c>
      <c r="F35" s="213">
        <v>11705.815000000001</v>
      </c>
      <c r="G35" s="214">
        <v>0</v>
      </c>
      <c r="H35" s="214">
        <v>27.25</v>
      </c>
      <c r="I35" s="63">
        <v>0</v>
      </c>
      <c r="J35" s="63">
        <v>0</v>
      </c>
      <c r="K35" s="63"/>
      <c r="L35" s="208">
        <v>0</v>
      </c>
      <c r="M35" s="208">
        <v>7260</v>
      </c>
      <c r="N35" s="208">
        <v>55742.5</v>
      </c>
      <c r="O35" s="208">
        <v>169734.32</v>
      </c>
      <c r="P35" s="208">
        <v>0</v>
      </c>
      <c r="Q35" s="208">
        <v>2997.5</v>
      </c>
      <c r="R35" s="208">
        <v>0</v>
      </c>
      <c r="S35" s="208">
        <v>0</v>
      </c>
      <c r="T35" s="208">
        <v>235734.32</v>
      </c>
    </row>
    <row r="36" spans="1:20">
      <c r="D36" s="71">
        <v>12075.95</v>
      </c>
      <c r="E36" s="71">
        <v>7501.7110000000002</v>
      </c>
      <c r="F36" s="71">
        <v>369768.99000000005</v>
      </c>
      <c r="G36" s="71">
        <v>0</v>
      </c>
      <c r="H36" s="71">
        <v>2348.1250000000005</v>
      </c>
      <c r="I36" s="71">
        <v>27.5</v>
      </c>
      <c r="J36" s="71">
        <v>27.5</v>
      </c>
      <c r="K36" s="71">
        <v>0</v>
      </c>
      <c r="L36" s="209">
        <v>0</v>
      </c>
      <c r="M36" s="209">
        <v>1328354.5</v>
      </c>
      <c r="N36" s="209">
        <v>825188.21</v>
      </c>
      <c r="O36" s="209">
        <v>5361650.3600000003</v>
      </c>
      <c r="P36" s="209">
        <v>0</v>
      </c>
      <c r="Q36" s="209">
        <v>258293.75</v>
      </c>
      <c r="R36" s="209">
        <v>22687.5</v>
      </c>
      <c r="S36" s="209">
        <v>3300</v>
      </c>
      <c r="T36" s="209">
        <v>7799474.3200000003</v>
      </c>
    </row>
    <row r="37" spans="1:20">
      <c r="R37" s="73"/>
      <c r="S37" s="73"/>
      <c r="T37" s="210">
        <v>9359369.1799999997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3ED1-B7C4-4F95-8FA5-B4E0786E613F}">
  <sheetPr codeName="Лист34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9.140625" style="47"/>
    <col min="9" max="9" width="10.28515625" style="47" bestFit="1" customWidth="1"/>
    <col min="10" max="11" width="9.140625" style="47"/>
    <col min="12" max="12" width="9.28515625" style="47" bestFit="1" customWidth="1"/>
    <col min="13" max="13" width="14.42578125" style="47" customWidth="1"/>
    <col min="14" max="14" width="14.140625" style="47" customWidth="1"/>
    <col min="15" max="15" width="15.140625" style="47" customWidth="1"/>
    <col min="16" max="16" width="15.42578125" style="47" customWidth="1"/>
    <col min="17" max="17" width="14.5703125" style="47" customWidth="1"/>
    <col min="18" max="18" width="13.28515625" style="47" customWidth="1"/>
    <col min="19" max="19" width="14.5703125" style="47" customWidth="1"/>
    <col min="20" max="20" width="19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266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146</v>
      </c>
      <c r="E3" s="49" t="s">
        <v>147</v>
      </c>
      <c r="F3" s="52" t="s">
        <v>4</v>
      </c>
      <c r="G3" s="49" t="s">
        <v>231</v>
      </c>
      <c r="H3" s="49" t="s">
        <v>232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 ht="30">
      <c r="A4" s="53"/>
      <c r="B4" s="54"/>
      <c r="C4" s="55"/>
      <c r="D4" s="53"/>
      <c r="E4" s="53"/>
      <c r="F4" s="56" t="s">
        <v>156</v>
      </c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233</v>
      </c>
      <c r="C5" s="78"/>
      <c r="D5" s="212">
        <v>0</v>
      </c>
      <c r="E5" s="212">
        <v>0</v>
      </c>
      <c r="F5" s="213">
        <v>46</v>
      </c>
      <c r="G5" s="214">
        <v>0</v>
      </c>
      <c r="H5" s="214">
        <v>0</v>
      </c>
      <c r="I5" s="63">
        <v>0</v>
      </c>
      <c r="J5" s="63">
        <v>0</v>
      </c>
      <c r="K5" s="63"/>
      <c r="L5" s="208">
        <v>0</v>
      </c>
      <c r="M5" s="208">
        <v>0</v>
      </c>
      <c r="N5" s="208">
        <v>0</v>
      </c>
      <c r="O5" s="208">
        <v>917.24</v>
      </c>
      <c r="P5" s="208">
        <v>0</v>
      </c>
      <c r="Q5" s="208">
        <v>0</v>
      </c>
      <c r="R5" s="208">
        <v>0</v>
      </c>
      <c r="S5" s="208">
        <v>0</v>
      </c>
      <c r="T5" s="208">
        <v>917.24</v>
      </c>
    </row>
    <row r="6" spans="1:20">
      <c r="A6" s="65">
        <v>2</v>
      </c>
      <c r="B6" s="77" t="s">
        <v>234</v>
      </c>
      <c r="C6" s="78"/>
      <c r="D6" s="212">
        <v>0</v>
      </c>
      <c r="E6" s="212">
        <v>0</v>
      </c>
      <c r="F6" s="213">
        <v>46</v>
      </c>
      <c r="G6" s="214">
        <v>0</v>
      </c>
      <c r="H6" s="214">
        <v>0</v>
      </c>
      <c r="I6" s="63">
        <v>0</v>
      </c>
      <c r="J6" s="63">
        <v>0</v>
      </c>
      <c r="K6" s="63"/>
      <c r="L6" s="208">
        <v>0</v>
      </c>
      <c r="M6" s="208">
        <v>0</v>
      </c>
      <c r="N6" s="208">
        <v>0</v>
      </c>
      <c r="O6" s="208">
        <v>917.24</v>
      </c>
      <c r="P6" s="208">
        <v>0</v>
      </c>
      <c r="Q6" s="208">
        <v>0</v>
      </c>
      <c r="R6" s="208">
        <v>0</v>
      </c>
      <c r="S6" s="208">
        <v>0</v>
      </c>
      <c r="T6" s="208">
        <v>917.24</v>
      </c>
    </row>
    <row r="7" spans="1:20">
      <c r="A7" s="65">
        <v>3</v>
      </c>
      <c r="B7" s="77" t="s">
        <v>235</v>
      </c>
      <c r="C7" s="78"/>
      <c r="D7" s="212">
        <v>0</v>
      </c>
      <c r="E7" s="212">
        <v>0</v>
      </c>
      <c r="F7" s="213">
        <v>46</v>
      </c>
      <c r="G7" s="214">
        <v>0</v>
      </c>
      <c r="H7" s="214">
        <v>0</v>
      </c>
      <c r="I7" s="63">
        <v>0</v>
      </c>
      <c r="J7" s="63">
        <v>0</v>
      </c>
      <c r="K7" s="63"/>
      <c r="L7" s="208">
        <v>0</v>
      </c>
      <c r="M7" s="208">
        <v>0</v>
      </c>
      <c r="N7" s="208">
        <v>0</v>
      </c>
      <c r="O7" s="208">
        <v>917.24</v>
      </c>
      <c r="P7" s="208">
        <v>0</v>
      </c>
      <c r="Q7" s="208">
        <v>0</v>
      </c>
      <c r="R7" s="208">
        <v>0</v>
      </c>
      <c r="S7" s="208">
        <v>0</v>
      </c>
      <c r="T7" s="208">
        <v>917.24</v>
      </c>
    </row>
    <row r="8" spans="1:20">
      <c r="A8" s="65">
        <v>4</v>
      </c>
      <c r="B8" s="77" t="s">
        <v>236</v>
      </c>
      <c r="C8" s="78"/>
      <c r="D8" s="212">
        <v>0</v>
      </c>
      <c r="E8" s="212">
        <v>0</v>
      </c>
      <c r="F8" s="213">
        <v>46</v>
      </c>
      <c r="G8" s="214">
        <v>0</v>
      </c>
      <c r="H8" s="214">
        <v>0</v>
      </c>
      <c r="I8" s="63">
        <v>0</v>
      </c>
      <c r="J8" s="63">
        <v>0</v>
      </c>
      <c r="K8" s="63"/>
      <c r="L8" s="208">
        <v>0</v>
      </c>
      <c r="M8" s="208">
        <v>0</v>
      </c>
      <c r="N8" s="208">
        <v>0</v>
      </c>
      <c r="O8" s="208">
        <v>917.24</v>
      </c>
      <c r="P8" s="208">
        <v>0</v>
      </c>
      <c r="Q8" s="208">
        <v>0</v>
      </c>
      <c r="R8" s="208">
        <v>0</v>
      </c>
      <c r="S8" s="208">
        <v>0</v>
      </c>
      <c r="T8" s="208">
        <v>917.24</v>
      </c>
    </row>
    <row r="9" spans="1:20">
      <c r="A9" s="65">
        <v>5</v>
      </c>
      <c r="B9" s="77" t="s">
        <v>237</v>
      </c>
      <c r="C9" s="78"/>
      <c r="D9" s="212">
        <v>0</v>
      </c>
      <c r="E9" s="212">
        <v>0</v>
      </c>
      <c r="F9" s="213">
        <v>46</v>
      </c>
      <c r="G9" s="214">
        <v>0</v>
      </c>
      <c r="H9" s="214">
        <v>0</v>
      </c>
      <c r="I9" s="63">
        <v>0</v>
      </c>
      <c r="J9" s="63">
        <v>0</v>
      </c>
      <c r="K9" s="63"/>
      <c r="L9" s="208">
        <v>0</v>
      </c>
      <c r="M9" s="208">
        <v>0</v>
      </c>
      <c r="N9" s="208">
        <v>0</v>
      </c>
      <c r="O9" s="208">
        <v>917.24</v>
      </c>
      <c r="P9" s="208">
        <v>0</v>
      </c>
      <c r="Q9" s="208">
        <v>0</v>
      </c>
      <c r="R9" s="208">
        <v>0</v>
      </c>
      <c r="S9" s="208">
        <v>0</v>
      </c>
      <c r="T9" s="208">
        <v>917.24</v>
      </c>
    </row>
    <row r="10" spans="1:20">
      <c r="A10" s="65">
        <v>6</v>
      </c>
      <c r="B10" s="77" t="s">
        <v>238</v>
      </c>
      <c r="C10" s="78"/>
      <c r="D10" s="212">
        <v>0</v>
      </c>
      <c r="E10" s="212">
        <v>0</v>
      </c>
      <c r="F10" s="213">
        <v>46</v>
      </c>
      <c r="G10" s="214">
        <v>0</v>
      </c>
      <c r="H10" s="214">
        <v>0</v>
      </c>
      <c r="I10" s="63">
        <v>0</v>
      </c>
      <c r="J10" s="63">
        <v>0</v>
      </c>
      <c r="K10" s="63"/>
      <c r="L10" s="208">
        <v>0</v>
      </c>
      <c r="M10" s="208">
        <v>0</v>
      </c>
      <c r="N10" s="208">
        <v>0</v>
      </c>
      <c r="O10" s="208">
        <v>917.24</v>
      </c>
      <c r="P10" s="208">
        <v>0</v>
      </c>
      <c r="Q10" s="208">
        <v>0</v>
      </c>
      <c r="R10" s="208">
        <v>0</v>
      </c>
      <c r="S10" s="208">
        <v>0</v>
      </c>
      <c r="T10" s="208">
        <v>917.24</v>
      </c>
    </row>
    <row r="11" spans="1:20">
      <c r="A11" s="65">
        <v>7</v>
      </c>
      <c r="B11" s="77" t="s">
        <v>239</v>
      </c>
      <c r="C11" s="78"/>
      <c r="D11" s="212">
        <v>0</v>
      </c>
      <c r="E11" s="212">
        <v>0</v>
      </c>
      <c r="F11" s="213">
        <v>46</v>
      </c>
      <c r="G11" s="214">
        <v>0</v>
      </c>
      <c r="H11" s="214">
        <v>0</v>
      </c>
      <c r="I11" s="63">
        <v>0</v>
      </c>
      <c r="J11" s="63">
        <v>0</v>
      </c>
      <c r="K11" s="63"/>
      <c r="L11" s="208">
        <v>0</v>
      </c>
      <c r="M11" s="208">
        <v>0</v>
      </c>
      <c r="N11" s="208">
        <v>0</v>
      </c>
      <c r="O11" s="208">
        <v>917.24</v>
      </c>
      <c r="P11" s="208">
        <v>0</v>
      </c>
      <c r="Q11" s="208">
        <v>0</v>
      </c>
      <c r="R11" s="208">
        <v>0</v>
      </c>
      <c r="S11" s="208">
        <v>0</v>
      </c>
      <c r="T11" s="208">
        <v>917.24</v>
      </c>
    </row>
    <row r="12" spans="1:20">
      <c r="A12" s="65">
        <v>8</v>
      </c>
      <c r="B12" s="77" t="s">
        <v>240</v>
      </c>
      <c r="C12" s="78"/>
      <c r="D12" s="212">
        <v>0</v>
      </c>
      <c r="E12" s="212">
        <v>0</v>
      </c>
      <c r="F12" s="213">
        <v>46</v>
      </c>
      <c r="G12" s="214">
        <v>0</v>
      </c>
      <c r="H12" s="214">
        <v>0</v>
      </c>
      <c r="I12" s="63">
        <v>0</v>
      </c>
      <c r="J12" s="63">
        <v>0</v>
      </c>
      <c r="K12" s="63"/>
      <c r="L12" s="208">
        <v>0</v>
      </c>
      <c r="M12" s="208">
        <v>0</v>
      </c>
      <c r="N12" s="208">
        <v>0</v>
      </c>
      <c r="O12" s="208">
        <v>917.24</v>
      </c>
      <c r="P12" s="208">
        <v>0</v>
      </c>
      <c r="Q12" s="208">
        <v>0</v>
      </c>
      <c r="R12" s="208">
        <v>0</v>
      </c>
      <c r="S12" s="208">
        <v>0</v>
      </c>
      <c r="T12" s="208">
        <v>917.24</v>
      </c>
    </row>
    <row r="13" spans="1:20">
      <c r="A13" s="65">
        <v>9</v>
      </c>
      <c r="B13" s="77" t="s">
        <v>241</v>
      </c>
      <c r="C13" s="78"/>
      <c r="D13" s="212">
        <v>0</v>
      </c>
      <c r="E13" s="212">
        <v>0</v>
      </c>
      <c r="F13" s="213">
        <v>46</v>
      </c>
      <c r="G13" s="214">
        <v>0</v>
      </c>
      <c r="H13" s="214">
        <v>0</v>
      </c>
      <c r="I13" s="63">
        <v>0</v>
      </c>
      <c r="J13" s="63">
        <v>0</v>
      </c>
      <c r="K13" s="63"/>
      <c r="L13" s="208">
        <v>0</v>
      </c>
      <c r="M13" s="208">
        <v>0</v>
      </c>
      <c r="N13" s="208">
        <v>0</v>
      </c>
      <c r="O13" s="208">
        <v>917.24</v>
      </c>
      <c r="P13" s="208">
        <v>0</v>
      </c>
      <c r="Q13" s="208">
        <v>0</v>
      </c>
      <c r="R13" s="208">
        <v>0</v>
      </c>
      <c r="S13" s="208">
        <v>0</v>
      </c>
      <c r="T13" s="208">
        <v>917.24</v>
      </c>
    </row>
    <row r="14" spans="1:20">
      <c r="A14" s="65">
        <v>10</v>
      </c>
      <c r="B14" s="77" t="s">
        <v>242</v>
      </c>
      <c r="C14" s="78"/>
      <c r="D14" s="212">
        <v>0</v>
      </c>
      <c r="E14" s="212">
        <v>0</v>
      </c>
      <c r="F14" s="213">
        <v>46</v>
      </c>
      <c r="G14" s="214">
        <v>0</v>
      </c>
      <c r="H14" s="214">
        <v>0</v>
      </c>
      <c r="I14" s="63">
        <v>0</v>
      </c>
      <c r="J14" s="63">
        <v>0</v>
      </c>
      <c r="K14" s="63"/>
      <c r="L14" s="208">
        <v>0</v>
      </c>
      <c r="M14" s="208">
        <v>0</v>
      </c>
      <c r="N14" s="208">
        <v>0</v>
      </c>
      <c r="O14" s="208">
        <v>917.24</v>
      </c>
      <c r="P14" s="208">
        <v>0</v>
      </c>
      <c r="Q14" s="208">
        <v>0</v>
      </c>
      <c r="R14" s="208">
        <v>0</v>
      </c>
      <c r="S14" s="208">
        <v>0</v>
      </c>
      <c r="T14" s="208">
        <v>917.24</v>
      </c>
    </row>
    <row r="15" spans="1:20">
      <c r="A15" s="65">
        <v>11</v>
      </c>
      <c r="B15" s="77" t="s">
        <v>243</v>
      </c>
      <c r="C15" s="78"/>
      <c r="D15" s="212">
        <v>0</v>
      </c>
      <c r="E15" s="212">
        <v>0</v>
      </c>
      <c r="F15" s="213">
        <v>46</v>
      </c>
      <c r="G15" s="214">
        <v>0</v>
      </c>
      <c r="H15" s="214">
        <v>0</v>
      </c>
      <c r="I15" s="63">
        <v>0</v>
      </c>
      <c r="J15" s="63">
        <v>0</v>
      </c>
      <c r="K15" s="63"/>
      <c r="L15" s="208">
        <v>0</v>
      </c>
      <c r="M15" s="208">
        <v>0</v>
      </c>
      <c r="N15" s="208">
        <v>0</v>
      </c>
      <c r="O15" s="208">
        <v>917.24</v>
      </c>
      <c r="P15" s="208">
        <v>0</v>
      </c>
      <c r="Q15" s="208">
        <v>0</v>
      </c>
      <c r="R15" s="208">
        <v>0</v>
      </c>
      <c r="S15" s="208">
        <v>0</v>
      </c>
      <c r="T15" s="208">
        <v>917.24</v>
      </c>
    </row>
    <row r="16" spans="1:20">
      <c r="A16" s="65">
        <v>12</v>
      </c>
      <c r="B16" s="77" t="s">
        <v>244</v>
      </c>
      <c r="C16" s="78"/>
      <c r="D16" s="212">
        <v>0</v>
      </c>
      <c r="E16" s="212">
        <v>0</v>
      </c>
      <c r="F16" s="213">
        <v>46</v>
      </c>
      <c r="G16" s="214">
        <v>0</v>
      </c>
      <c r="H16" s="214">
        <v>0</v>
      </c>
      <c r="I16" s="63">
        <v>0</v>
      </c>
      <c r="J16" s="63">
        <v>0</v>
      </c>
      <c r="K16" s="63"/>
      <c r="L16" s="208">
        <v>0</v>
      </c>
      <c r="M16" s="208">
        <v>0</v>
      </c>
      <c r="N16" s="208">
        <v>0</v>
      </c>
      <c r="O16" s="208">
        <v>917.24</v>
      </c>
      <c r="P16" s="208">
        <v>0</v>
      </c>
      <c r="Q16" s="208">
        <v>0</v>
      </c>
      <c r="R16" s="208">
        <v>0</v>
      </c>
      <c r="S16" s="208">
        <v>0</v>
      </c>
      <c r="T16" s="208">
        <v>917.24</v>
      </c>
    </row>
    <row r="17" spans="1:20">
      <c r="A17" s="65">
        <v>13</v>
      </c>
      <c r="B17" s="77" t="s">
        <v>245</v>
      </c>
      <c r="C17" s="78"/>
      <c r="D17" s="212">
        <v>0</v>
      </c>
      <c r="E17" s="212">
        <v>0</v>
      </c>
      <c r="F17" s="213">
        <v>46</v>
      </c>
      <c r="G17" s="214">
        <v>0</v>
      </c>
      <c r="H17" s="214">
        <v>0</v>
      </c>
      <c r="I17" s="63">
        <v>0</v>
      </c>
      <c r="J17" s="63">
        <v>0</v>
      </c>
      <c r="K17" s="63"/>
      <c r="L17" s="208">
        <v>0</v>
      </c>
      <c r="M17" s="208">
        <v>0</v>
      </c>
      <c r="N17" s="208">
        <v>0</v>
      </c>
      <c r="O17" s="208">
        <v>917.24</v>
      </c>
      <c r="P17" s="208">
        <v>0</v>
      </c>
      <c r="Q17" s="208">
        <v>0</v>
      </c>
      <c r="R17" s="208">
        <v>0</v>
      </c>
      <c r="S17" s="208">
        <v>0</v>
      </c>
      <c r="T17" s="208">
        <v>917.24</v>
      </c>
    </row>
    <row r="18" spans="1:20">
      <c r="A18" s="65">
        <v>14</v>
      </c>
      <c r="B18" s="77" t="s">
        <v>246</v>
      </c>
      <c r="C18" s="78"/>
      <c r="D18" s="212">
        <v>0</v>
      </c>
      <c r="E18" s="212">
        <v>0</v>
      </c>
      <c r="F18" s="213">
        <v>46</v>
      </c>
      <c r="G18" s="214">
        <v>0</v>
      </c>
      <c r="H18" s="214">
        <v>0</v>
      </c>
      <c r="I18" s="63">
        <v>0</v>
      </c>
      <c r="J18" s="63">
        <v>0</v>
      </c>
      <c r="K18" s="63"/>
      <c r="L18" s="208">
        <v>0</v>
      </c>
      <c r="M18" s="208">
        <v>0</v>
      </c>
      <c r="N18" s="208">
        <v>0</v>
      </c>
      <c r="O18" s="208">
        <v>917.24</v>
      </c>
      <c r="P18" s="208">
        <v>0</v>
      </c>
      <c r="Q18" s="208">
        <v>0</v>
      </c>
      <c r="R18" s="208">
        <v>0</v>
      </c>
      <c r="S18" s="208">
        <v>0</v>
      </c>
      <c r="T18" s="208">
        <v>917.24</v>
      </c>
    </row>
    <row r="19" spans="1:20">
      <c r="A19" s="65">
        <v>15</v>
      </c>
      <c r="B19" s="77" t="s">
        <v>247</v>
      </c>
      <c r="C19" s="78"/>
      <c r="D19" s="212">
        <v>0</v>
      </c>
      <c r="E19" s="212">
        <v>0</v>
      </c>
      <c r="F19" s="213">
        <v>46</v>
      </c>
      <c r="G19" s="214">
        <v>0</v>
      </c>
      <c r="H19" s="214">
        <v>0</v>
      </c>
      <c r="I19" s="63">
        <v>0</v>
      </c>
      <c r="J19" s="63">
        <v>0</v>
      </c>
      <c r="K19" s="63"/>
      <c r="L19" s="208">
        <v>0</v>
      </c>
      <c r="M19" s="208">
        <v>0</v>
      </c>
      <c r="N19" s="208">
        <v>0</v>
      </c>
      <c r="O19" s="208">
        <v>917.24</v>
      </c>
      <c r="P19" s="208">
        <v>0</v>
      </c>
      <c r="Q19" s="208">
        <v>0</v>
      </c>
      <c r="R19" s="208">
        <v>0</v>
      </c>
      <c r="S19" s="208">
        <v>0</v>
      </c>
      <c r="T19" s="208">
        <v>917.24</v>
      </c>
    </row>
    <row r="20" spans="1:20">
      <c r="A20" s="65">
        <v>16</v>
      </c>
      <c r="B20" s="77" t="s">
        <v>248</v>
      </c>
      <c r="C20" s="78"/>
      <c r="D20" s="212">
        <v>0</v>
      </c>
      <c r="E20" s="212">
        <v>0</v>
      </c>
      <c r="F20" s="213">
        <v>46</v>
      </c>
      <c r="G20" s="214">
        <v>0</v>
      </c>
      <c r="H20" s="214">
        <v>0</v>
      </c>
      <c r="I20" s="63">
        <v>0</v>
      </c>
      <c r="J20" s="63">
        <v>0</v>
      </c>
      <c r="K20" s="63"/>
      <c r="L20" s="208">
        <v>0</v>
      </c>
      <c r="M20" s="208">
        <v>0</v>
      </c>
      <c r="N20" s="208">
        <v>0</v>
      </c>
      <c r="O20" s="208">
        <v>917.24</v>
      </c>
      <c r="P20" s="208">
        <v>0</v>
      </c>
      <c r="Q20" s="208">
        <v>0</v>
      </c>
      <c r="R20" s="208">
        <v>0</v>
      </c>
      <c r="S20" s="208">
        <v>0</v>
      </c>
      <c r="T20" s="208">
        <v>917.24</v>
      </c>
    </row>
    <row r="21" spans="1:20">
      <c r="A21" s="65">
        <v>17</v>
      </c>
      <c r="B21" s="77" t="s">
        <v>249</v>
      </c>
      <c r="C21" s="78"/>
      <c r="D21" s="212">
        <v>0</v>
      </c>
      <c r="E21" s="212">
        <v>0</v>
      </c>
      <c r="F21" s="213">
        <v>46</v>
      </c>
      <c r="G21" s="214">
        <v>0</v>
      </c>
      <c r="H21" s="214">
        <v>0</v>
      </c>
      <c r="I21" s="63">
        <v>0</v>
      </c>
      <c r="J21" s="63">
        <v>0</v>
      </c>
      <c r="K21" s="63"/>
      <c r="L21" s="208">
        <v>0</v>
      </c>
      <c r="M21" s="208">
        <v>0</v>
      </c>
      <c r="N21" s="208">
        <v>0</v>
      </c>
      <c r="O21" s="208">
        <v>917.24</v>
      </c>
      <c r="P21" s="208">
        <v>0</v>
      </c>
      <c r="Q21" s="208">
        <v>0</v>
      </c>
      <c r="R21" s="208">
        <v>0</v>
      </c>
      <c r="S21" s="208">
        <v>0</v>
      </c>
      <c r="T21" s="208">
        <v>917.24</v>
      </c>
    </row>
    <row r="22" spans="1:20">
      <c r="A22" s="65">
        <v>18</v>
      </c>
      <c r="B22" s="77" t="s">
        <v>250</v>
      </c>
      <c r="C22" s="78"/>
      <c r="D22" s="212">
        <v>0</v>
      </c>
      <c r="E22" s="212">
        <v>0</v>
      </c>
      <c r="F22" s="213">
        <v>46</v>
      </c>
      <c r="G22" s="214">
        <v>0</v>
      </c>
      <c r="H22" s="214">
        <v>0</v>
      </c>
      <c r="I22" s="63">
        <v>0</v>
      </c>
      <c r="J22" s="63">
        <v>0</v>
      </c>
      <c r="K22" s="63"/>
      <c r="L22" s="208">
        <v>0</v>
      </c>
      <c r="M22" s="208">
        <v>0</v>
      </c>
      <c r="N22" s="208">
        <v>0</v>
      </c>
      <c r="O22" s="208">
        <v>917.24</v>
      </c>
      <c r="P22" s="208">
        <v>0</v>
      </c>
      <c r="Q22" s="208">
        <v>0</v>
      </c>
      <c r="R22" s="208">
        <v>0</v>
      </c>
      <c r="S22" s="208">
        <v>0</v>
      </c>
      <c r="T22" s="208">
        <v>917.24</v>
      </c>
    </row>
    <row r="23" spans="1:20">
      <c r="A23" s="65">
        <v>19</v>
      </c>
      <c r="B23" s="77" t="s">
        <v>251</v>
      </c>
      <c r="C23" s="78"/>
      <c r="D23" s="212">
        <v>0</v>
      </c>
      <c r="E23" s="212">
        <v>0</v>
      </c>
      <c r="F23" s="213">
        <v>46</v>
      </c>
      <c r="G23" s="214">
        <v>0</v>
      </c>
      <c r="H23" s="214">
        <v>0</v>
      </c>
      <c r="I23" s="63">
        <v>0</v>
      </c>
      <c r="J23" s="63">
        <v>0</v>
      </c>
      <c r="K23" s="63"/>
      <c r="L23" s="208">
        <v>0</v>
      </c>
      <c r="M23" s="208">
        <v>0</v>
      </c>
      <c r="N23" s="208">
        <v>0</v>
      </c>
      <c r="O23" s="208">
        <v>917.24</v>
      </c>
      <c r="P23" s="208">
        <v>0</v>
      </c>
      <c r="Q23" s="208">
        <v>0</v>
      </c>
      <c r="R23" s="208">
        <v>0</v>
      </c>
      <c r="S23" s="208">
        <v>0</v>
      </c>
      <c r="T23" s="208">
        <v>917.24</v>
      </c>
    </row>
    <row r="24" spans="1:20">
      <c r="A24" s="65">
        <v>20</v>
      </c>
      <c r="B24" s="77" t="s">
        <v>252</v>
      </c>
      <c r="C24" s="78"/>
      <c r="D24" s="212">
        <v>0</v>
      </c>
      <c r="E24" s="212">
        <v>15</v>
      </c>
      <c r="F24" s="213">
        <v>31</v>
      </c>
      <c r="G24" s="214">
        <v>0</v>
      </c>
      <c r="H24" s="214">
        <v>0</v>
      </c>
      <c r="I24" s="63">
        <v>0</v>
      </c>
      <c r="J24" s="63">
        <v>0</v>
      </c>
      <c r="K24" s="63"/>
      <c r="L24" s="208">
        <v>0</v>
      </c>
      <c r="M24" s="208">
        <v>0</v>
      </c>
      <c r="N24" s="208">
        <v>2268.75</v>
      </c>
      <c r="O24" s="208">
        <v>618.14</v>
      </c>
      <c r="P24" s="208">
        <v>0</v>
      </c>
      <c r="Q24" s="208">
        <v>0</v>
      </c>
      <c r="R24" s="208">
        <v>0</v>
      </c>
      <c r="S24" s="208">
        <v>0</v>
      </c>
      <c r="T24" s="208">
        <v>2886.89</v>
      </c>
    </row>
    <row r="25" spans="1:20">
      <c r="A25" s="65">
        <v>21</v>
      </c>
      <c r="B25" s="77" t="s">
        <v>253</v>
      </c>
      <c r="C25" s="78"/>
      <c r="D25" s="212">
        <v>0</v>
      </c>
      <c r="E25" s="212">
        <v>0</v>
      </c>
      <c r="F25" s="213">
        <v>31</v>
      </c>
      <c r="G25" s="214">
        <v>0</v>
      </c>
      <c r="H25" s="214">
        <v>0</v>
      </c>
      <c r="I25" s="63">
        <v>0</v>
      </c>
      <c r="J25" s="63">
        <v>0</v>
      </c>
      <c r="K25" s="63"/>
      <c r="L25" s="208">
        <v>0</v>
      </c>
      <c r="M25" s="208">
        <v>0</v>
      </c>
      <c r="N25" s="208">
        <v>0</v>
      </c>
      <c r="O25" s="208">
        <v>618.14</v>
      </c>
      <c r="P25" s="208">
        <v>0</v>
      </c>
      <c r="Q25" s="208">
        <v>0</v>
      </c>
      <c r="R25" s="208">
        <v>0</v>
      </c>
      <c r="S25" s="208">
        <v>0</v>
      </c>
      <c r="T25" s="208">
        <v>618.14</v>
      </c>
    </row>
    <row r="26" spans="1:20">
      <c r="A26" s="65">
        <v>22</v>
      </c>
      <c r="B26" s="77" t="s">
        <v>254</v>
      </c>
      <c r="C26" s="78"/>
      <c r="D26" s="212">
        <v>0</v>
      </c>
      <c r="E26" s="212">
        <v>0</v>
      </c>
      <c r="F26" s="213">
        <v>31</v>
      </c>
      <c r="G26" s="214">
        <v>0</v>
      </c>
      <c r="H26" s="214">
        <v>0</v>
      </c>
      <c r="I26" s="63">
        <v>0</v>
      </c>
      <c r="J26" s="63">
        <v>0</v>
      </c>
      <c r="K26" s="63"/>
      <c r="L26" s="208">
        <v>0</v>
      </c>
      <c r="M26" s="208">
        <v>0</v>
      </c>
      <c r="N26" s="208">
        <v>0</v>
      </c>
      <c r="O26" s="208">
        <v>618.14</v>
      </c>
      <c r="P26" s="208">
        <v>0</v>
      </c>
      <c r="Q26" s="208">
        <v>0</v>
      </c>
      <c r="R26" s="208">
        <v>0</v>
      </c>
      <c r="S26" s="208">
        <v>0</v>
      </c>
      <c r="T26" s="208">
        <v>618.14</v>
      </c>
    </row>
    <row r="27" spans="1:20">
      <c r="A27" s="65">
        <v>23</v>
      </c>
      <c r="B27" s="77" t="s">
        <v>255</v>
      </c>
      <c r="C27" s="78"/>
      <c r="D27" s="212">
        <v>0</v>
      </c>
      <c r="E27" s="212">
        <v>0</v>
      </c>
      <c r="F27" s="213">
        <v>31</v>
      </c>
      <c r="G27" s="214">
        <v>0</v>
      </c>
      <c r="H27" s="214">
        <v>0</v>
      </c>
      <c r="I27" s="63">
        <v>0</v>
      </c>
      <c r="J27" s="63">
        <v>0</v>
      </c>
      <c r="K27" s="63"/>
      <c r="L27" s="208">
        <v>0</v>
      </c>
      <c r="M27" s="208">
        <v>0</v>
      </c>
      <c r="N27" s="208">
        <v>0</v>
      </c>
      <c r="O27" s="208">
        <v>618.14</v>
      </c>
      <c r="P27" s="208">
        <v>0</v>
      </c>
      <c r="Q27" s="208">
        <v>0</v>
      </c>
      <c r="R27" s="208">
        <v>0</v>
      </c>
      <c r="S27" s="208">
        <v>0</v>
      </c>
      <c r="T27" s="208">
        <v>618.14</v>
      </c>
    </row>
    <row r="28" spans="1:20">
      <c r="A28" s="65">
        <v>24</v>
      </c>
      <c r="B28" s="77" t="s">
        <v>256</v>
      </c>
      <c r="C28" s="78"/>
      <c r="D28" s="212">
        <v>0</v>
      </c>
      <c r="E28" s="212">
        <v>0</v>
      </c>
      <c r="F28" s="213">
        <v>31</v>
      </c>
      <c r="G28" s="214">
        <v>0</v>
      </c>
      <c r="H28" s="214">
        <v>0</v>
      </c>
      <c r="I28" s="63">
        <v>0</v>
      </c>
      <c r="J28" s="63">
        <v>0</v>
      </c>
      <c r="K28" s="63"/>
      <c r="L28" s="208">
        <v>0</v>
      </c>
      <c r="M28" s="208">
        <v>0</v>
      </c>
      <c r="N28" s="208">
        <v>0</v>
      </c>
      <c r="O28" s="208">
        <v>618.14</v>
      </c>
      <c r="P28" s="208">
        <v>0</v>
      </c>
      <c r="Q28" s="208">
        <v>0</v>
      </c>
      <c r="R28" s="208">
        <v>0</v>
      </c>
      <c r="S28" s="208">
        <v>0</v>
      </c>
      <c r="T28" s="208">
        <v>618.14</v>
      </c>
    </row>
    <row r="29" spans="1:20">
      <c r="A29" s="65">
        <v>25</v>
      </c>
      <c r="B29" s="77" t="s">
        <v>257</v>
      </c>
      <c r="C29" s="78"/>
      <c r="D29" s="212">
        <v>0</v>
      </c>
      <c r="E29" s="212">
        <v>0</v>
      </c>
      <c r="F29" s="213">
        <v>31</v>
      </c>
      <c r="G29" s="214">
        <v>0</v>
      </c>
      <c r="H29" s="214">
        <v>0</v>
      </c>
      <c r="I29" s="63">
        <v>0</v>
      </c>
      <c r="J29" s="63">
        <v>0</v>
      </c>
      <c r="K29" s="63"/>
      <c r="L29" s="208">
        <v>0</v>
      </c>
      <c r="M29" s="208">
        <v>0</v>
      </c>
      <c r="N29" s="208">
        <v>0</v>
      </c>
      <c r="O29" s="208">
        <v>618.14</v>
      </c>
      <c r="P29" s="208">
        <v>0</v>
      </c>
      <c r="Q29" s="208">
        <v>0</v>
      </c>
      <c r="R29" s="208">
        <v>0</v>
      </c>
      <c r="S29" s="208">
        <v>0</v>
      </c>
      <c r="T29" s="208">
        <v>618.14</v>
      </c>
    </row>
    <row r="30" spans="1:20">
      <c r="A30" s="65">
        <v>26</v>
      </c>
      <c r="B30" s="77" t="s">
        <v>258</v>
      </c>
      <c r="C30" s="78"/>
      <c r="D30" s="212">
        <v>0</v>
      </c>
      <c r="E30" s="212">
        <v>0</v>
      </c>
      <c r="F30" s="213">
        <v>31</v>
      </c>
      <c r="G30" s="214">
        <v>0</v>
      </c>
      <c r="H30" s="214">
        <v>0</v>
      </c>
      <c r="I30" s="63">
        <v>0</v>
      </c>
      <c r="J30" s="63">
        <v>0</v>
      </c>
      <c r="K30" s="63"/>
      <c r="L30" s="208">
        <v>0</v>
      </c>
      <c r="M30" s="208">
        <v>0</v>
      </c>
      <c r="N30" s="208">
        <v>0</v>
      </c>
      <c r="O30" s="208">
        <v>618.14</v>
      </c>
      <c r="P30" s="208">
        <v>0</v>
      </c>
      <c r="Q30" s="208">
        <v>0</v>
      </c>
      <c r="R30" s="208">
        <v>0</v>
      </c>
      <c r="S30" s="208">
        <v>0</v>
      </c>
      <c r="T30" s="208">
        <v>618.14</v>
      </c>
    </row>
    <row r="31" spans="1:20">
      <c r="A31" s="65">
        <v>27</v>
      </c>
      <c r="B31" s="77" t="s">
        <v>259</v>
      </c>
      <c r="C31" s="78"/>
      <c r="D31" s="212">
        <v>0</v>
      </c>
      <c r="E31" s="212">
        <v>0</v>
      </c>
      <c r="F31" s="213">
        <v>31</v>
      </c>
      <c r="G31" s="214">
        <v>0</v>
      </c>
      <c r="H31" s="214">
        <v>0</v>
      </c>
      <c r="I31" s="63">
        <v>0</v>
      </c>
      <c r="J31" s="63">
        <v>0</v>
      </c>
      <c r="K31" s="63"/>
      <c r="L31" s="208">
        <v>0</v>
      </c>
      <c r="M31" s="208">
        <v>0</v>
      </c>
      <c r="N31" s="208">
        <v>0</v>
      </c>
      <c r="O31" s="208">
        <v>618.14</v>
      </c>
      <c r="P31" s="208">
        <v>0</v>
      </c>
      <c r="Q31" s="208">
        <v>0</v>
      </c>
      <c r="R31" s="208">
        <v>0</v>
      </c>
      <c r="S31" s="208">
        <v>0</v>
      </c>
      <c r="T31" s="208">
        <v>618.14</v>
      </c>
    </row>
    <row r="32" spans="1:20">
      <c r="A32" s="65">
        <v>28</v>
      </c>
      <c r="B32" s="77" t="s">
        <v>260</v>
      </c>
      <c r="C32" s="78"/>
      <c r="D32" s="212">
        <v>0</v>
      </c>
      <c r="E32" s="212">
        <v>0</v>
      </c>
      <c r="F32" s="213">
        <v>31</v>
      </c>
      <c r="G32" s="214">
        <v>0</v>
      </c>
      <c r="H32" s="214">
        <v>0</v>
      </c>
      <c r="I32" s="63">
        <v>0</v>
      </c>
      <c r="J32" s="63">
        <v>0</v>
      </c>
      <c r="K32" s="63"/>
      <c r="L32" s="208">
        <v>0</v>
      </c>
      <c r="M32" s="208">
        <v>0</v>
      </c>
      <c r="N32" s="208">
        <v>0</v>
      </c>
      <c r="O32" s="208">
        <v>618.14</v>
      </c>
      <c r="P32" s="208">
        <v>0</v>
      </c>
      <c r="Q32" s="208">
        <v>0</v>
      </c>
      <c r="R32" s="208">
        <v>0</v>
      </c>
      <c r="S32" s="208">
        <v>0</v>
      </c>
      <c r="T32" s="208">
        <v>618.14</v>
      </c>
    </row>
    <row r="33" spans="1:20">
      <c r="A33" s="65">
        <v>29</v>
      </c>
      <c r="B33" s="77" t="s">
        <v>261</v>
      </c>
      <c r="C33" s="78"/>
      <c r="D33" s="212">
        <v>0</v>
      </c>
      <c r="E33" s="212">
        <v>0</v>
      </c>
      <c r="F33" s="213">
        <v>31</v>
      </c>
      <c r="G33" s="214">
        <v>0</v>
      </c>
      <c r="H33" s="214">
        <v>0</v>
      </c>
      <c r="I33" s="63">
        <v>0</v>
      </c>
      <c r="J33" s="63">
        <v>0</v>
      </c>
      <c r="K33" s="63"/>
      <c r="L33" s="208">
        <v>0</v>
      </c>
      <c r="M33" s="208">
        <v>0</v>
      </c>
      <c r="N33" s="208">
        <v>0</v>
      </c>
      <c r="O33" s="208">
        <v>618.14</v>
      </c>
      <c r="P33" s="208">
        <v>0</v>
      </c>
      <c r="Q33" s="208">
        <v>0</v>
      </c>
      <c r="R33" s="208">
        <v>0</v>
      </c>
      <c r="S33" s="208">
        <v>0</v>
      </c>
      <c r="T33" s="208">
        <v>618.14</v>
      </c>
    </row>
    <row r="34" spans="1:20">
      <c r="A34" s="65">
        <v>30</v>
      </c>
      <c r="B34" s="77" t="s">
        <v>262</v>
      </c>
      <c r="C34" s="78"/>
      <c r="D34" s="212">
        <v>0</v>
      </c>
      <c r="E34" s="212">
        <v>0</v>
      </c>
      <c r="F34" s="213">
        <v>31</v>
      </c>
      <c r="G34" s="214">
        <v>0</v>
      </c>
      <c r="H34" s="214">
        <v>0</v>
      </c>
      <c r="I34" s="63">
        <v>0</v>
      </c>
      <c r="J34" s="63">
        <v>0</v>
      </c>
      <c r="K34" s="63"/>
      <c r="L34" s="208">
        <v>0</v>
      </c>
      <c r="M34" s="208">
        <v>0</v>
      </c>
      <c r="N34" s="208">
        <v>0</v>
      </c>
      <c r="O34" s="208">
        <v>618.14</v>
      </c>
      <c r="P34" s="208">
        <v>0</v>
      </c>
      <c r="Q34" s="208">
        <v>0</v>
      </c>
      <c r="R34" s="208">
        <v>0</v>
      </c>
      <c r="S34" s="208">
        <v>0</v>
      </c>
      <c r="T34" s="208">
        <v>618.14</v>
      </c>
    </row>
    <row r="35" spans="1:20">
      <c r="A35" s="65">
        <v>31</v>
      </c>
      <c r="B35" s="77" t="s">
        <v>263</v>
      </c>
      <c r="C35" s="78"/>
      <c r="D35" s="212">
        <v>0</v>
      </c>
      <c r="E35" s="212">
        <v>0</v>
      </c>
      <c r="F35" s="213">
        <v>31</v>
      </c>
      <c r="G35" s="214">
        <v>0</v>
      </c>
      <c r="H35" s="214">
        <v>0</v>
      </c>
      <c r="I35" s="63">
        <v>0</v>
      </c>
      <c r="J35" s="63">
        <v>0</v>
      </c>
      <c r="K35" s="63"/>
      <c r="L35" s="208">
        <v>0</v>
      </c>
      <c r="M35" s="208">
        <v>0</v>
      </c>
      <c r="N35" s="208">
        <v>0</v>
      </c>
      <c r="O35" s="208">
        <v>618.14</v>
      </c>
      <c r="P35" s="208">
        <v>0</v>
      </c>
      <c r="Q35" s="208">
        <v>0</v>
      </c>
      <c r="R35" s="208">
        <v>0</v>
      </c>
      <c r="S35" s="208">
        <v>0</v>
      </c>
      <c r="T35" s="208">
        <v>618.14</v>
      </c>
    </row>
    <row r="36" spans="1:20">
      <c r="D36" s="71">
        <v>0</v>
      </c>
      <c r="E36" s="71">
        <v>15</v>
      </c>
      <c r="F36" s="71">
        <v>1246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09">
        <v>0</v>
      </c>
      <c r="M36" s="209">
        <v>0</v>
      </c>
      <c r="N36" s="209">
        <v>2268.75</v>
      </c>
      <c r="O36" s="209">
        <v>24845.24</v>
      </c>
      <c r="P36" s="209">
        <v>0</v>
      </c>
      <c r="Q36" s="209">
        <v>0</v>
      </c>
      <c r="R36" s="209">
        <v>0</v>
      </c>
      <c r="S36" s="209">
        <v>0</v>
      </c>
      <c r="T36" s="209">
        <v>27113.99</v>
      </c>
    </row>
    <row r="37" spans="1:20">
      <c r="R37" s="73"/>
      <c r="S37" s="73"/>
      <c r="T37" s="210">
        <v>32536.79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E408-1600-4ED4-8E05-0FDD8E92552B}">
  <sheetPr codeName="Лист35">
    <pageSetUpPr fitToPage="1"/>
  </sheetPr>
  <dimension ref="A1:T37"/>
  <sheetViews>
    <sheetView topLeftCell="B8" workbookViewId="0">
      <selection activeCell="G5" sqref="G5:H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267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268</v>
      </c>
      <c r="H3" s="49" t="s">
        <v>269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13</v>
      </c>
      <c r="P3" s="49" t="s">
        <v>100</v>
      </c>
      <c r="Q3" s="49" t="s">
        <v>270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3.85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61.87</v>
      </c>
      <c r="P5" s="208">
        <v>0</v>
      </c>
      <c r="Q5" s="208">
        <v>0</v>
      </c>
      <c r="R5" s="208">
        <v>0</v>
      </c>
      <c r="S5" s="208">
        <v>0</v>
      </c>
      <c r="T5" s="208">
        <v>61.87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3.85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61.87</v>
      </c>
      <c r="P6" s="208">
        <v>0</v>
      </c>
      <c r="Q6" s="208">
        <v>0</v>
      </c>
      <c r="R6" s="208">
        <v>0</v>
      </c>
      <c r="S6" s="208">
        <v>0</v>
      </c>
      <c r="T6" s="208">
        <v>61.87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3.85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61.87</v>
      </c>
      <c r="P7" s="208">
        <v>0</v>
      </c>
      <c r="Q7" s="208">
        <v>0</v>
      </c>
      <c r="R7" s="208">
        <v>0</v>
      </c>
      <c r="S7" s="208">
        <v>0</v>
      </c>
      <c r="T7" s="208">
        <v>61.87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3.85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61.87</v>
      </c>
      <c r="P8" s="208">
        <v>0</v>
      </c>
      <c r="Q8" s="208">
        <v>0</v>
      </c>
      <c r="R8" s="208">
        <v>0</v>
      </c>
      <c r="S8" s="208">
        <v>0</v>
      </c>
      <c r="T8" s="208">
        <v>61.87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3.85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61.87</v>
      </c>
      <c r="P9" s="208">
        <v>0</v>
      </c>
      <c r="Q9" s="208">
        <v>0</v>
      </c>
      <c r="R9" s="208">
        <v>0</v>
      </c>
      <c r="S9" s="208">
        <v>0</v>
      </c>
      <c r="T9" s="208">
        <v>61.87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3.85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61.87</v>
      </c>
      <c r="P10" s="208">
        <v>0</v>
      </c>
      <c r="Q10" s="208">
        <v>0</v>
      </c>
      <c r="R10" s="208">
        <v>0</v>
      </c>
      <c r="S10" s="208">
        <v>0</v>
      </c>
      <c r="T10" s="208">
        <v>61.87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3.85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61.87</v>
      </c>
      <c r="P11" s="208">
        <v>0</v>
      </c>
      <c r="Q11" s="208">
        <v>0</v>
      </c>
      <c r="R11" s="208">
        <v>0</v>
      </c>
      <c r="S11" s="208">
        <v>0</v>
      </c>
      <c r="T11" s="208">
        <v>61.87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3.85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61.87</v>
      </c>
      <c r="P12" s="208">
        <v>0</v>
      </c>
      <c r="Q12" s="208">
        <v>0</v>
      </c>
      <c r="R12" s="208">
        <v>0</v>
      </c>
      <c r="S12" s="208">
        <v>0</v>
      </c>
      <c r="T12" s="208">
        <v>61.87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3.85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61.87</v>
      </c>
      <c r="P13" s="208">
        <v>0</v>
      </c>
      <c r="Q13" s="208">
        <v>0</v>
      </c>
      <c r="R13" s="208">
        <v>0</v>
      </c>
      <c r="S13" s="208">
        <v>0</v>
      </c>
      <c r="T13" s="208">
        <v>61.87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3.85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61.87</v>
      </c>
      <c r="P14" s="208">
        <v>0</v>
      </c>
      <c r="Q14" s="208">
        <v>0</v>
      </c>
      <c r="R14" s="208">
        <v>0</v>
      </c>
      <c r="S14" s="208">
        <v>0</v>
      </c>
      <c r="T14" s="208">
        <v>61.87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3.85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61.87</v>
      </c>
      <c r="P15" s="208">
        <v>0</v>
      </c>
      <c r="Q15" s="208">
        <v>0</v>
      </c>
      <c r="R15" s="208">
        <v>0</v>
      </c>
      <c r="S15" s="208">
        <v>0</v>
      </c>
      <c r="T15" s="208">
        <v>61.87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3.85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61.87</v>
      </c>
      <c r="P16" s="208">
        <v>0</v>
      </c>
      <c r="Q16" s="208">
        <v>0</v>
      </c>
      <c r="R16" s="208">
        <v>0</v>
      </c>
      <c r="S16" s="208">
        <v>0</v>
      </c>
      <c r="T16" s="208">
        <v>61.87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3.85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61.87</v>
      </c>
      <c r="P17" s="208">
        <v>0</v>
      </c>
      <c r="Q17" s="208">
        <v>0</v>
      </c>
      <c r="R17" s="208">
        <v>0</v>
      </c>
      <c r="S17" s="208">
        <v>0</v>
      </c>
      <c r="T17" s="208">
        <v>61.87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3.85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61.87</v>
      </c>
      <c r="P18" s="208">
        <v>0</v>
      </c>
      <c r="Q18" s="208">
        <v>0</v>
      </c>
      <c r="R18" s="208">
        <v>0</v>
      </c>
      <c r="S18" s="208">
        <v>0</v>
      </c>
      <c r="T18" s="208">
        <v>61.87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3.85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61.87</v>
      </c>
      <c r="P19" s="208">
        <v>0</v>
      </c>
      <c r="Q19" s="208">
        <v>0</v>
      </c>
      <c r="R19" s="208">
        <v>0</v>
      </c>
      <c r="S19" s="208">
        <v>0</v>
      </c>
      <c r="T19" s="208">
        <v>61.87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3.85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61.87</v>
      </c>
      <c r="P20" s="208">
        <v>0</v>
      </c>
      <c r="Q20" s="208">
        <v>0</v>
      </c>
      <c r="R20" s="208">
        <v>0</v>
      </c>
      <c r="S20" s="208">
        <v>0</v>
      </c>
      <c r="T20" s="208">
        <v>61.87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3.85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61.87</v>
      </c>
      <c r="P21" s="208">
        <v>0</v>
      </c>
      <c r="Q21" s="208">
        <v>0</v>
      </c>
      <c r="R21" s="208">
        <v>0</v>
      </c>
      <c r="S21" s="208">
        <v>0</v>
      </c>
      <c r="T21" s="208">
        <v>61.87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3.85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61.87</v>
      </c>
      <c r="P22" s="208">
        <v>0</v>
      </c>
      <c r="Q22" s="208">
        <v>0</v>
      </c>
      <c r="R22" s="208">
        <v>0</v>
      </c>
      <c r="S22" s="208">
        <v>0</v>
      </c>
      <c r="T22" s="208">
        <v>61.87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3.85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61.87</v>
      </c>
      <c r="P23" s="208">
        <v>0</v>
      </c>
      <c r="Q23" s="208">
        <v>0</v>
      </c>
      <c r="R23" s="208">
        <v>0</v>
      </c>
      <c r="S23" s="208">
        <v>0</v>
      </c>
      <c r="T23" s="208">
        <v>61.87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3.85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61.87</v>
      </c>
      <c r="P24" s="208">
        <v>0</v>
      </c>
      <c r="Q24" s="208">
        <v>0</v>
      </c>
      <c r="R24" s="208">
        <v>0</v>
      </c>
      <c r="S24" s="208">
        <v>0</v>
      </c>
      <c r="T24" s="208">
        <v>61.87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3.85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61.87</v>
      </c>
      <c r="P25" s="208">
        <v>0</v>
      </c>
      <c r="Q25" s="208">
        <v>0</v>
      </c>
      <c r="R25" s="208">
        <v>0</v>
      </c>
      <c r="S25" s="208">
        <v>0</v>
      </c>
      <c r="T25" s="208">
        <v>61.87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3.85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61.87</v>
      </c>
      <c r="P26" s="208">
        <v>0</v>
      </c>
      <c r="Q26" s="208">
        <v>0</v>
      </c>
      <c r="R26" s="208">
        <v>0</v>
      </c>
      <c r="S26" s="208">
        <v>0</v>
      </c>
      <c r="T26" s="208">
        <v>61.87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3.85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61.87</v>
      </c>
      <c r="P27" s="208">
        <v>0</v>
      </c>
      <c r="Q27" s="208">
        <v>0</v>
      </c>
      <c r="R27" s="208">
        <v>0</v>
      </c>
      <c r="S27" s="208">
        <v>0</v>
      </c>
      <c r="T27" s="208">
        <v>61.87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3.85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61.87</v>
      </c>
      <c r="P28" s="208">
        <v>0</v>
      </c>
      <c r="Q28" s="208">
        <v>0</v>
      </c>
      <c r="R28" s="208">
        <v>0</v>
      </c>
      <c r="S28" s="208">
        <v>0</v>
      </c>
      <c r="T28" s="208">
        <v>61.87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3.85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61.87</v>
      </c>
      <c r="P29" s="208">
        <v>0</v>
      </c>
      <c r="Q29" s="208">
        <v>0</v>
      </c>
      <c r="R29" s="208">
        <v>0</v>
      </c>
      <c r="S29" s="208">
        <v>0</v>
      </c>
      <c r="T29" s="208">
        <v>61.87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3.85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61.87</v>
      </c>
      <c r="P30" s="208">
        <v>0</v>
      </c>
      <c r="Q30" s="208">
        <v>0</v>
      </c>
      <c r="R30" s="208">
        <v>0</v>
      </c>
      <c r="S30" s="208">
        <v>0</v>
      </c>
      <c r="T30" s="208">
        <v>61.87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3.85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61.87</v>
      </c>
      <c r="P31" s="208">
        <v>0</v>
      </c>
      <c r="Q31" s="208">
        <v>0</v>
      </c>
      <c r="R31" s="208">
        <v>0</v>
      </c>
      <c r="S31" s="208">
        <v>0</v>
      </c>
      <c r="T31" s="208">
        <v>61.87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3.85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61.87</v>
      </c>
      <c r="P32" s="208">
        <v>0</v>
      </c>
      <c r="Q32" s="208">
        <v>0</v>
      </c>
      <c r="R32" s="208">
        <v>0</v>
      </c>
      <c r="S32" s="208">
        <v>0</v>
      </c>
      <c r="T32" s="208">
        <v>61.87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3.85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61.87</v>
      </c>
      <c r="P33" s="208">
        <v>0</v>
      </c>
      <c r="Q33" s="208">
        <v>0</v>
      </c>
      <c r="R33" s="208">
        <v>0</v>
      </c>
      <c r="S33" s="208">
        <v>0</v>
      </c>
      <c r="T33" s="208">
        <v>61.87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3.85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61.87</v>
      </c>
      <c r="P34" s="208">
        <v>0</v>
      </c>
      <c r="Q34" s="208">
        <v>0</v>
      </c>
      <c r="R34" s="208">
        <v>0</v>
      </c>
      <c r="S34" s="208">
        <v>0</v>
      </c>
      <c r="T34" s="208">
        <v>61.87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3.85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61.87</v>
      </c>
      <c r="P35" s="208">
        <v>0</v>
      </c>
      <c r="Q35" s="208">
        <v>0</v>
      </c>
      <c r="R35" s="208">
        <v>0</v>
      </c>
      <c r="S35" s="208">
        <v>0</v>
      </c>
      <c r="T35" s="208">
        <v>61.87</v>
      </c>
    </row>
    <row r="36" spans="1:20">
      <c r="D36" s="70">
        <v>0</v>
      </c>
      <c r="E36" s="70">
        <v>0</v>
      </c>
      <c r="F36" s="70">
        <v>119.34999999999994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0</v>
      </c>
      <c r="N36" s="209">
        <v>0</v>
      </c>
      <c r="O36" s="209">
        <v>1917.95</v>
      </c>
      <c r="P36" s="209">
        <v>0</v>
      </c>
      <c r="Q36" s="209">
        <v>0</v>
      </c>
      <c r="R36" s="209">
        <v>0</v>
      </c>
      <c r="S36" s="209">
        <v>0</v>
      </c>
      <c r="T36" s="209">
        <v>1917.95</v>
      </c>
    </row>
    <row r="37" spans="1:20">
      <c r="R37" s="73"/>
      <c r="S37" s="73"/>
      <c r="T37" s="210">
        <v>2339.9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1E56-B58C-46B6-8A77-927FB35F4CAD}">
  <sheetPr codeName="Лист36">
    <pageSetUpPr fitToPage="1"/>
  </sheetPr>
  <dimension ref="A1:T37"/>
  <sheetViews>
    <sheetView topLeftCell="B8" workbookViewId="0">
      <selection activeCell="G5" sqref="G5:H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268</v>
      </c>
      <c r="H3" s="49" t="s">
        <v>269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13</v>
      </c>
      <c r="P3" s="49" t="s">
        <v>100</v>
      </c>
      <c r="Q3" s="49" t="s">
        <v>270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22.5</v>
      </c>
      <c r="E5" s="211">
        <v>264.5</v>
      </c>
      <c r="F5" s="211">
        <v>9655.7749999999996</v>
      </c>
      <c r="G5" s="207">
        <v>844.22500000000036</v>
      </c>
      <c r="H5" s="207">
        <v>713</v>
      </c>
      <c r="I5" s="62">
        <v>0</v>
      </c>
      <c r="J5" s="62">
        <v>0</v>
      </c>
      <c r="K5" s="63">
        <v>0</v>
      </c>
      <c r="L5" s="208">
        <v>0</v>
      </c>
      <c r="M5" s="208">
        <v>2137.5</v>
      </c>
      <c r="N5" s="208">
        <v>25127.5</v>
      </c>
      <c r="O5" s="208">
        <v>155168.29999999999</v>
      </c>
      <c r="P5" s="208">
        <v>13566.7</v>
      </c>
      <c r="Q5" s="208">
        <v>67735</v>
      </c>
      <c r="R5" s="208">
        <v>0</v>
      </c>
      <c r="S5" s="208">
        <v>0</v>
      </c>
      <c r="T5" s="208">
        <v>263735</v>
      </c>
    </row>
    <row r="6" spans="1:20">
      <c r="A6" s="65">
        <v>2</v>
      </c>
      <c r="B6" s="77" t="s">
        <v>198</v>
      </c>
      <c r="C6" s="78"/>
      <c r="D6" s="211">
        <v>696.99699999999996</v>
      </c>
      <c r="E6" s="211">
        <v>200.5</v>
      </c>
      <c r="F6" s="211">
        <v>10152.272000000001</v>
      </c>
      <c r="G6" s="207">
        <v>347.72799999999916</v>
      </c>
      <c r="H6" s="207">
        <v>102.50300000000004</v>
      </c>
      <c r="I6" s="62">
        <v>1.4750000000000001</v>
      </c>
      <c r="J6" s="62">
        <v>1.4750000000000001</v>
      </c>
      <c r="K6" s="63">
        <v>2.1999999999999999E-2</v>
      </c>
      <c r="L6" s="208">
        <v>3.3</v>
      </c>
      <c r="M6" s="208">
        <v>66214.720000000001</v>
      </c>
      <c r="N6" s="208">
        <v>19047.5</v>
      </c>
      <c r="O6" s="208">
        <v>163147.01</v>
      </c>
      <c r="P6" s="208">
        <v>5587.99</v>
      </c>
      <c r="Q6" s="208">
        <v>9737.7900000000009</v>
      </c>
      <c r="R6" s="208">
        <v>1475</v>
      </c>
      <c r="S6" s="208">
        <v>295</v>
      </c>
      <c r="T6" s="208">
        <v>265508.3</v>
      </c>
    </row>
    <row r="7" spans="1:20">
      <c r="A7" s="65">
        <v>3</v>
      </c>
      <c r="B7" s="77" t="s">
        <v>199</v>
      </c>
      <c r="C7" s="78"/>
      <c r="D7" s="211">
        <v>584.98</v>
      </c>
      <c r="E7" s="211">
        <v>246.5</v>
      </c>
      <c r="F7" s="211">
        <v>10490.752</v>
      </c>
      <c r="G7" s="207">
        <v>9.2479999999995925</v>
      </c>
      <c r="H7" s="207">
        <v>168.51999999999998</v>
      </c>
      <c r="I7" s="62">
        <v>1.4750000000000001</v>
      </c>
      <c r="J7" s="62">
        <v>1.4750000000000001</v>
      </c>
      <c r="K7" s="63">
        <v>5.0000000000000001E-3</v>
      </c>
      <c r="L7" s="208">
        <v>0.75</v>
      </c>
      <c r="M7" s="208">
        <v>55573.1</v>
      </c>
      <c r="N7" s="208">
        <v>23417.5</v>
      </c>
      <c r="O7" s="208">
        <v>168586.38</v>
      </c>
      <c r="P7" s="208">
        <v>148.62</v>
      </c>
      <c r="Q7" s="208">
        <v>16009.4</v>
      </c>
      <c r="R7" s="208">
        <v>1475</v>
      </c>
      <c r="S7" s="208">
        <v>295</v>
      </c>
      <c r="T7" s="208">
        <v>265505.75</v>
      </c>
    </row>
    <row r="8" spans="1:20">
      <c r="A8" s="65">
        <v>4</v>
      </c>
      <c r="B8" s="77" t="s">
        <v>200</v>
      </c>
      <c r="C8" s="78"/>
      <c r="D8" s="211">
        <v>562</v>
      </c>
      <c r="E8" s="211">
        <v>178.5</v>
      </c>
      <c r="F8" s="211">
        <v>10874.252</v>
      </c>
      <c r="G8" s="207">
        <v>0</v>
      </c>
      <c r="H8" s="207">
        <v>259.5</v>
      </c>
      <c r="I8" s="62">
        <v>0</v>
      </c>
      <c r="J8" s="62">
        <v>0</v>
      </c>
      <c r="K8" s="63">
        <v>0</v>
      </c>
      <c r="L8" s="208">
        <v>0</v>
      </c>
      <c r="M8" s="208">
        <v>53390</v>
      </c>
      <c r="N8" s="208">
        <v>16957.5</v>
      </c>
      <c r="O8" s="208">
        <v>174749.23</v>
      </c>
      <c r="P8" s="208">
        <v>0</v>
      </c>
      <c r="Q8" s="208">
        <v>24652.5</v>
      </c>
      <c r="R8" s="208">
        <v>0</v>
      </c>
      <c r="S8" s="208">
        <v>0</v>
      </c>
      <c r="T8" s="208">
        <v>269749.23</v>
      </c>
    </row>
    <row r="9" spans="1:20">
      <c r="A9" s="65">
        <v>5</v>
      </c>
      <c r="B9" s="77" t="s">
        <v>201</v>
      </c>
      <c r="C9" s="78"/>
      <c r="D9" s="211">
        <v>315</v>
      </c>
      <c r="E9" s="211">
        <v>605.5</v>
      </c>
      <c r="F9" s="211">
        <v>10583.752</v>
      </c>
      <c r="G9" s="207">
        <v>0</v>
      </c>
      <c r="H9" s="207">
        <v>79.5</v>
      </c>
      <c r="I9" s="62">
        <v>0</v>
      </c>
      <c r="J9" s="62">
        <v>0</v>
      </c>
      <c r="K9" s="63">
        <v>0</v>
      </c>
      <c r="L9" s="208">
        <v>0</v>
      </c>
      <c r="M9" s="208">
        <v>29925</v>
      </c>
      <c r="N9" s="208">
        <v>57522.5</v>
      </c>
      <c r="O9" s="208">
        <v>170080.89</v>
      </c>
      <c r="P9" s="208">
        <v>0</v>
      </c>
      <c r="Q9" s="208">
        <v>7552.5</v>
      </c>
      <c r="R9" s="208">
        <v>0</v>
      </c>
      <c r="S9" s="208">
        <v>0</v>
      </c>
      <c r="T9" s="208">
        <v>265080.89</v>
      </c>
    </row>
    <row r="10" spans="1:20">
      <c r="A10" s="65">
        <v>6</v>
      </c>
      <c r="B10" s="77" t="s">
        <v>202</v>
      </c>
      <c r="C10" s="78"/>
      <c r="D10" s="211">
        <v>786.46299999999997</v>
      </c>
      <c r="E10" s="211">
        <v>447</v>
      </c>
      <c r="F10" s="211">
        <v>10923.215</v>
      </c>
      <c r="G10" s="207">
        <v>0</v>
      </c>
      <c r="H10" s="207">
        <v>0</v>
      </c>
      <c r="I10" s="62">
        <v>5.85</v>
      </c>
      <c r="J10" s="62">
        <v>5.85</v>
      </c>
      <c r="K10" s="63">
        <v>0.113</v>
      </c>
      <c r="L10" s="208">
        <v>16.95</v>
      </c>
      <c r="M10" s="208">
        <v>74713.990000000005</v>
      </c>
      <c r="N10" s="208">
        <v>42465</v>
      </c>
      <c r="O10" s="208">
        <v>175536.07</v>
      </c>
      <c r="P10" s="208">
        <v>0</v>
      </c>
      <c r="Q10" s="208">
        <v>0</v>
      </c>
      <c r="R10" s="208">
        <v>5850</v>
      </c>
      <c r="S10" s="208">
        <v>1170</v>
      </c>
      <c r="T10" s="208">
        <v>299752</v>
      </c>
    </row>
    <row r="11" spans="1:20">
      <c r="A11" s="65">
        <v>7</v>
      </c>
      <c r="B11" s="77" t="s">
        <v>203</v>
      </c>
      <c r="C11" s="78"/>
      <c r="D11" s="211">
        <v>852.98</v>
      </c>
      <c r="E11" s="211">
        <v>467.5</v>
      </c>
      <c r="F11" s="211">
        <v>11308.695</v>
      </c>
      <c r="G11" s="207">
        <v>0</v>
      </c>
      <c r="H11" s="207">
        <v>0</v>
      </c>
      <c r="I11" s="62">
        <v>2.95</v>
      </c>
      <c r="J11" s="62">
        <v>2.95</v>
      </c>
      <c r="K11" s="63">
        <v>0.03</v>
      </c>
      <c r="L11" s="208">
        <v>4.5</v>
      </c>
      <c r="M11" s="208">
        <v>81033.100000000006</v>
      </c>
      <c r="N11" s="208">
        <v>44412.5</v>
      </c>
      <c r="O11" s="208">
        <v>181730.73</v>
      </c>
      <c r="P11" s="208">
        <v>0</v>
      </c>
      <c r="Q11" s="208">
        <v>0</v>
      </c>
      <c r="R11" s="208">
        <v>2950</v>
      </c>
      <c r="S11" s="208">
        <v>590</v>
      </c>
      <c r="T11" s="208">
        <v>310720.83</v>
      </c>
    </row>
    <row r="12" spans="1:20">
      <c r="A12" s="65">
        <v>8</v>
      </c>
      <c r="B12" s="77" t="s">
        <v>204</v>
      </c>
      <c r="C12" s="78"/>
      <c r="D12" s="211">
        <v>269</v>
      </c>
      <c r="E12" s="211">
        <v>445.625</v>
      </c>
      <c r="F12" s="211">
        <v>11132.07</v>
      </c>
      <c r="G12" s="207">
        <v>0</v>
      </c>
      <c r="H12" s="207">
        <v>285.375</v>
      </c>
      <c r="I12" s="62">
        <v>0</v>
      </c>
      <c r="J12" s="62">
        <v>0</v>
      </c>
      <c r="K12" s="63">
        <v>0</v>
      </c>
      <c r="L12" s="208">
        <v>0</v>
      </c>
      <c r="M12" s="208">
        <v>25555</v>
      </c>
      <c r="N12" s="208">
        <v>42334.38</v>
      </c>
      <c r="O12" s="208">
        <v>178892.36</v>
      </c>
      <c r="P12" s="208">
        <v>0</v>
      </c>
      <c r="Q12" s="208">
        <v>27110.63</v>
      </c>
      <c r="R12" s="208">
        <v>0</v>
      </c>
      <c r="S12" s="208">
        <v>0</v>
      </c>
      <c r="T12" s="208">
        <v>273892.36</v>
      </c>
    </row>
    <row r="13" spans="1:20">
      <c r="A13" s="65">
        <v>9</v>
      </c>
      <c r="B13" s="77" t="s">
        <v>205</v>
      </c>
      <c r="C13" s="78"/>
      <c r="D13" s="211">
        <v>492.5</v>
      </c>
      <c r="E13" s="211">
        <v>404</v>
      </c>
      <c r="F13" s="211">
        <v>11220.57</v>
      </c>
      <c r="G13" s="207">
        <v>0</v>
      </c>
      <c r="H13" s="207">
        <v>103.5</v>
      </c>
      <c r="I13" s="62">
        <v>0</v>
      </c>
      <c r="J13" s="62">
        <v>0</v>
      </c>
      <c r="K13" s="63">
        <v>0</v>
      </c>
      <c r="L13" s="208">
        <v>0</v>
      </c>
      <c r="M13" s="208">
        <v>46787.5</v>
      </c>
      <c r="N13" s="208">
        <v>38380</v>
      </c>
      <c r="O13" s="208">
        <v>180314.56</v>
      </c>
      <c r="P13" s="208">
        <v>0</v>
      </c>
      <c r="Q13" s="208">
        <v>9832.5</v>
      </c>
      <c r="R13" s="208">
        <v>0</v>
      </c>
      <c r="S13" s="208">
        <v>0</v>
      </c>
      <c r="T13" s="208">
        <v>275314.56</v>
      </c>
    </row>
    <row r="14" spans="1:20">
      <c r="A14" s="65">
        <v>10</v>
      </c>
      <c r="B14" s="77" t="s">
        <v>206</v>
      </c>
      <c r="C14" s="78"/>
      <c r="D14" s="211">
        <v>448.49</v>
      </c>
      <c r="E14" s="211">
        <v>344.25</v>
      </c>
      <c r="F14" s="211">
        <v>11324.81</v>
      </c>
      <c r="G14" s="207">
        <v>0</v>
      </c>
      <c r="H14" s="207">
        <v>207.26</v>
      </c>
      <c r="I14" s="62">
        <v>1.45</v>
      </c>
      <c r="J14" s="62">
        <v>1.45</v>
      </c>
      <c r="K14" s="63">
        <v>0.04</v>
      </c>
      <c r="L14" s="208">
        <v>6</v>
      </c>
      <c r="M14" s="208">
        <v>42606.55</v>
      </c>
      <c r="N14" s="208">
        <v>32703.75</v>
      </c>
      <c r="O14" s="208">
        <v>181989.7</v>
      </c>
      <c r="P14" s="208">
        <v>0</v>
      </c>
      <c r="Q14" s="208">
        <v>19689.7</v>
      </c>
      <c r="R14" s="208">
        <v>1450</v>
      </c>
      <c r="S14" s="208">
        <v>290</v>
      </c>
      <c r="T14" s="208">
        <v>278735.7</v>
      </c>
    </row>
    <row r="15" spans="1:20">
      <c r="A15" s="65">
        <v>11</v>
      </c>
      <c r="B15" s="77" t="s">
        <v>207</v>
      </c>
      <c r="C15" s="78"/>
      <c r="D15" s="211">
        <v>962.375</v>
      </c>
      <c r="E15" s="211">
        <v>246.5</v>
      </c>
      <c r="F15" s="211">
        <v>12040.684999999999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91425.63</v>
      </c>
      <c r="N15" s="208">
        <v>23417.5</v>
      </c>
      <c r="O15" s="208">
        <v>193493.81</v>
      </c>
      <c r="P15" s="208">
        <v>0</v>
      </c>
      <c r="Q15" s="208">
        <v>0</v>
      </c>
      <c r="R15" s="208">
        <v>0</v>
      </c>
      <c r="S15" s="208">
        <v>0</v>
      </c>
      <c r="T15" s="208">
        <v>308336.93</v>
      </c>
    </row>
    <row r="16" spans="1:20">
      <c r="A16" s="65">
        <v>12</v>
      </c>
      <c r="B16" s="77" t="s">
        <v>208</v>
      </c>
      <c r="C16" s="78"/>
      <c r="D16" s="211">
        <v>784.47500000000002</v>
      </c>
      <c r="E16" s="211">
        <v>154.125</v>
      </c>
      <c r="F16" s="211">
        <v>12671.035</v>
      </c>
      <c r="G16" s="207">
        <v>0</v>
      </c>
      <c r="H16" s="207">
        <v>61.399999999999977</v>
      </c>
      <c r="I16" s="62">
        <v>1.4750000000000001</v>
      </c>
      <c r="J16" s="62">
        <v>1.4750000000000001</v>
      </c>
      <c r="K16" s="63">
        <v>0</v>
      </c>
      <c r="L16" s="208">
        <v>0</v>
      </c>
      <c r="M16" s="208">
        <v>74525.13</v>
      </c>
      <c r="N16" s="208">
        <v>14641.88</v>
      </c>
      <c r="O16" s="208">
        <v>203623.53</v>
      </c>
      <c r="P16" s="208">
        <v>0</v>
      </c>
      <c r="Q16" s="208">
        <v>5833</v>
      </c>
      <c r="R16" s="208">
        <v>1475</v>
      </c>
      <c r="S16" s="208">
        <v>295</v>
      </c>
      <c r="T16" s="208">
        <v>300393.53000000003</v>
      </c>
    </row>
    <row r="17" spans="1:20">
      <c r="A17" s="65">
        <v>13</v>
      </c>
      <c r="B17" s="77" t="s">
        <v>209</v>
      </c>
      <c r="C17" s="78"/>
      <c r="D17" s="211">
        <v>697.49900000000002</v>
      </c>
      <c r="E17" s="211">
        <v>201</v>
      </c>
      <c r="F17" s="211">
        <v>13167.534</v>
      </c>
      <c r="G17" s="207">
        <v>0</v>
      </c>
      <c r="H17" s="207">
        <v>101.50099999999998</v>
      </c>
      <c r="I17" s="62">
        <v>1.4750000000000001</v>
      </c>
      <c r="J17" s="62">
        <v>1.4750000000000001</v>
      </c>
      <c r="K17" s="63">
        <v>2.4E-2</v>
      </c>
      <c r="L17" s="208">
        <v>3.6</v>
      </c>
      <c r="M17" s="208">
        <v>66262.41</v>
      </c>
      <c r="N17" s="208">
        <v>19095</v>
      </c>
      <c r="O17" s="208">
        <v>211602.27</v>
      </c>
      <c r="P17" s="208">
        <v>0</v>
      </c>
      <c r="Q17" s="208">
        <v>9642.6</v>
      </c>
      <c r="R17" s="208">
        <v>1475</v>
      </c>
      <c r="S17" s="208">
        <v>295</v>
      </c>
      <c r="T17" s="208">
        <v>308375.87</v>
      </c>
    </row>
    <row r="18" spans="1:20">
      <c r="A18" s="65">
        <v>14</v>
      </c>
      <c r="B18" s="77" t="s">
        <v>210</v>
      </c>
      <c r="C18" s="78"/>
      <c r="D18" s="211">
        <v>449.49400000000003</v>
      </c>
      <c r="E18" s="211">
        <v>157.5</v>
      </c>
      <c r="F18" s="211">
        <v>13459.528</v>
      </c>
      <c r="G18" s="207">
        <v>0</v>
      </c>
      <c r="H18" s="207">
        <v>393.00599999999997</v>
      </c>
      <c r="I18" s="62">
        <v>1.45</v>
      </c>
      <c r="J18" s="62">
        <v>1.45</v>
      </c>
      <c r="K18" s="63">
        <v>4.3999999999999997E-2</v>
      </c>
      <c r="L18" s="208">
        <v>6.6</v>
      </c>
      <c r="M18" s="208">
        <v>42701.93</v>
      </c>
      <c r="N18" s="208">
        <v>14962.5</v>
      </c>
      <c r="O18" s="208">
        <v>216294.62</v>
      </c>
      <c r="P18" s="208">
        <v>0</v>
      </c>
      <c r="Q18" s="208">
        <v>37335.57</v>
      </c>
      <c r="R18" s="208">
        <v>1450</v>
      </c>
      <c r="S18" s="208">
        <v>290</v>
      </c>
      <c r="T18" s="208">
        <v>313041.21999999997</v>
      </c>
    </row>
    <row r="19" spans="1:20">
      <c r="A19" s="65">
        <v>15</v>
      </c>
      <c r="B19" s="77" t="s">
        <v>211</v>
      </c>
      <c r="C19" s="78"/>
      <c r="D19" s="211">
        <v>495</v>
      </c>
      <c r="E19" s="211">
        <v>269.375</v>
      </c>
      <c r="F19" s="211">
        <v>13685.153</v>
      </c>
      <c r="G19" s="207">
        <v>0</v>
      </c>
      <c r="H19" s="207">
        <v>235.625</v>
      </c>
      <c r="I19" s="62">
        <v>0</v>
      </c>
      <c r="J19" s="62">
        <v>0</v>
      </c>
      <c r="K19" s="63">
        <v>0</v>
      </c>
      <c r="L19" s="208">
        <v>0</v>
      </c>
      <c r="M19" s="208">
        <v>47025</v>
      </c>
      <c r="N19" s="208">
        <v>25590.63</v>
      </c>
      <c r="O19" s="208">
        <v>219920.41</v>
      </c>
      <c r="P19" s="208">
        <v>0</v>
      </c>
      <c r="Q19" s="208">
        <v>22384.38</v>
      </c>
      <c r="R19" s="208">
        <v>0</v>
      </c>
      <c r="S19" s="208">
        <v>0</v>
      </c>
      <c r="T19" s="208">
        <v>314920.40999999997</v>
      </c>
    </row>
    <row r="20" spans="1:20">
      <c r="A20" s="65">
        <v>16</v>
      </c>
      <c r="B20" s="77" t="s">
        <v>212</v>
      </c>
      <c r="C20" s="78"/>
      <c r="D20" s="211">
        <v>135</v>
      </c>
      <c r="E20" s="211">
        <v>405</v>
      </c>
      <c r="F20" s="211">
        <v>13415.153</v>
      </c>
      <c r="G20" s="207">
        <v>0</v>
      </c>
      <c r="H20" s="207">
        <v>460</v>
      </c>
      <c r="I20" s="62">
        <v>0</v>
      </c>
      <c r="J20" s="62">
        <v>0</v>
      </c>
      <c r="K20" s="63">
        <v>0</v>
      </c>
      <c r="L20" s="208">
        <v>0</v>
      </c>
      <c r="M20" s="208">
        <v>12825</v>
      </c>
      <c r="N20" s="208">
        <v>38475</v>
      </c>
      <c r="O20" s="208">
        <v>215581.51</v>
      </c>
      <c r="P20" s="208">
        <v>0</v>
      </c>
      <c r="Q20" s="208">
        <v>43700</v>
      </c>
      <c r="R20" s="208">
        <v>0</v>
      </c>
      <c r="S20" s="208">
        <v>0</v>
      </c>
      <c r="T20" s="208">
        <v>310581.51</v>
      </c>
    </row>
    <row r="21" spans="1:20">
      <c r="A21" s="65">
        <v>17</v>
      </c>
      <c r="B21" s="77" t="s">
        <v>213</v>
      </c>
      <c r="C21" s="78"/>
      <c r="D21" s="211">
        <v>202</v>
      </c>
      <c r="E21" s="211">
        <v>451.5</v>
      </c>
      <c r="F21" s="211">
        <v>13165.653</v>
      </c>
      <c r="G21" s="207">
        <v>0</v>
      </c>
      <c r="H21" s="207">
        <v>346.5</v>
      </c>
      <c r="I21" s="62">
        <v>0</v>
      </c>
      <c r="J21" s="62">
        <v>0</v>
      </c>
      <c r="K21" s="63">
        <v>0</v>
      </c>
      <c r="L21" s="208">
        <v>0</v>
      </c>
      <c r="M21" s="208">
        <v>19190</v>
      </c>
      <c r="N21" s="208">
        <v>42892.5</v>
      </c>
      <c r="O21" s="208">
        <v>211572.04</v>
      </c>
      <c r="P21" s="208">
        <v>0</v>
      </c>
      <c r="Q21" s="208">
        <v>32917.5</v>
      </c>
      <c r="R21" s="208">
        <v>0</v>
      </c>
      <c r="S21" s="208">
        <v>0</v>
      </c>
      <c r="T21" s="208">
        <v>306572.03999999998</v>
      </c>
    </row>
    <row r="22" spans="1:20">
      <c r="A22" s="65">
        <v>18</v>
      </c>
      <c r="B22" s="77" t="s">
        <v>214</v>
      </c>
      <c r="C22" s="78"/>
      <c r="D22" s="211">
        <v>516.5</v>
      </c>
      <c r="E22" s="211">
        <v>702</v>
      </c>
      <c r="F22" s="211">
        <v>12980.153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49067.5</v>
      </c>
      <c r="N22" s="208">
        <v>66690</v>
      </c>
      <c r="O22" s="208">
        <v>208591.06</v>
      </c>
      <c r="P22" s="208">
        <v>0</v>
      </c>
      <c r="Q22" s="208">
        <v>0</v>
      </c>
      <c r="R22" s="208">
        <v>0</v>
      </c>
      <c r="S22" s="208">
        <v>0</v>
      </c>
      <c r="T22" s="208">
        <v>324348.56</v>
      </c>
    </row>
    <row r="23" spans="1:20">
      <c r="A23" s="65">
        <v>19</v>
      </c>
      <c r="B23" s="77" t="s">
        <v>215</v>
      </c>
      <c r="C23" s="78"/>
      <c r="D23" s="211">
        <v>44.936</v>
      </c>
      <c r="E23" s="211">
        <v>496.47500000000002</v>
      </c>
      <c r="F23" s="211">
        <v>12528.614</v>
      </c>
      <c r="G23" s="207">
        <v>0</v>
      </c>
      <c r="H23" s="207">
        <v>458.58899999999994</v>
      </c>
      <c r="I23" s="62">
        <v>4.375</v>
      </c>
      <c r="J23" s="62">
        <v>4.375</v>
      </c>
      <c r="K23" s="63">
        <v>3.6000000000000004E-2</v>
      </c>
      <c r="L23" s="208">
        <v>5.4</v>
      </c>
      <c r="M23" s="208">
        <v>4268.92</v>
      </c>
      <c r="N23" s="208">
        <v>47165.13</v>
      </c>
      <c r="O23" s="208">
        <v>201334.83</v>
      </c>
      <c r="P23" s="208">
        <v>0</v>
      </c>
      <c r="Q23" s="208">
        <v>43565.96</v>
      </c>
      <c r="R23" s="208">
        <v>4375</v>
      </c>
      <c r="S23" s="208">
        <v>875</v>
      </c>
      <c r="T23" s="208">
        <v>301590.23</v>
      </c>
    </row>
    <row r="24" spans="1:20">
      <c r="A24" s="65">
        <v>20</v>
      </c>
      <c r="B24" s="77" t="s">
        <v>216</v>
      </c>
      <c r="C24" s="78"/>
      <c r="D24" s="211">
        <v>1007.498</v>
      </c>
      <c r="E24" s="211">
        <v>427.5</v>
      </c>
      <c r="F24" s="211">
        <v>13108.611999999999</v>
      </c>
      <c r="G24" s="207">
        <v>0</v>
      </c>
      <c r="H24" s="207">
        <v>0</v>
      </c>
      <c r="I24" s="62">
        <v>4.4749999999999996</v>
      </c>
      <c r="J24" s="62">
        <v>4.4749999999999996</v>
      </c>
      <c r="K24" s="63">
        <v>2.3E-2</v>
      </c>
      <c r="L24" s="208">
        <v>3.45</v>
      </c>
      <c r="M24" s="208">
        <v>95712.31</v>
      </c>
      <c r="N24" s="208">
        <v>40612.5</v>
      </c>
      <c r="O24" s="208">
        <v>210655.39</v>
      </c>
      <c r="P24" s="208">
        <v>0</v>
      </c>
      <c r="Q24" s="208">
        <v>0</v>
      </c>
      <c r="R24" s="208">
        <v>4475</v>
      </c>
      <c r="S24" s="208">
        <v>895</v>
      </c>
      <c r="T24" s="208">
        <v>352353.65</v>
      </c>
    </row>
    <row r="25" spans="1:20">
      <c r="A25" s="65">
        <v>21</v>
      </c>
      <c r="B25" s="77" t="s">
        <v>217</v>
      </c>
      <c r="C25" s="78"/>
      <c r="D25" s="211">
        <v>157.5</v>
      </c>
      <c r="E25" s="211">
        <v>522</v>
      </c>
      <c r="F25" s="211">
        <v>12744.111999999999</v>
      </c>
      <c r="G25" s="207">
        <v>0</v>
      </c>
      <c r="H25" s="207">
        <v>320.5</v>
      </c>
      <c r="I25" s="62">
        <v>0</v>
      </c>
      <c r="J25" s="62">
        <v>0</v>
      </c>
      <c r="K25" s="63">
        <v>0</v>
      </c>
      <c r="L25" s="208">
        <v>0</v>
      </c>
      <c r="M25" s="208">
        <v>14962.5</v>
      </c>
      <c r="N25" s="208">
        <v>49590</v>
      </c>
      <c r="O25" s="208">
        <v>204797.88</v>
      </c>
      <c r="P25" s="208">
        <v>0</v>
      </c>
      <c r="Q25" s="208">
        <v>30447.5</v>
      </c>
      <c r="R25" s="208">
        <v>0</v>
      </c>
      <c r="S25" s="208">
        <v>0</v>
      </c>
      <c r="T25" s="208">
        <v>299797.88</v>
      </c>
    </row>
    <row r="26" spans="1:20">
      <c r="A26" s="65">
        <v>22</v>
      </c>
      <c r="B26" s="77" t="s">
        <v>218</v>
      </c>
      <c r="C26" s="78"/>
      <c r="D26" s="211">
        <v>22</v>
      </c>
      <c r="E26" s="211">
        <v>672.75</v>
      </c>
      <c r="F26" s="211">
        <v>12093.361999999999</v>
      </c>
      <c r="G26" s="207">
        <v>0</v>
      </c>
      <c r="H26" s="207">
        <v>305.25</v>
      </c>
      <c r="I26" s="62">
        <v>0</v>
      </c>
      <c r="J26" s="62">
        <v>0</v>
      </c>
      <c r="K26" s="63">
        <v>0</v>
      </c>
      <c r="L26" s="208">
        <v>0</v>
      </c>
      <c r="M26" s="208">
        <v>2090</v>
      </c>
      <c r="N26" s="208">
        <v>63911.25</v>
      </c>
      <c r="O26" s="208">
        <v>194340.33</v>
      </c>
      <c r="P26" s="208">
        <v>0</v>
      </c>
      <c r="Q26" s="208">
        <v>28998.75</v>
      </c>
      <c r="R26" s="208">
        <v>0</v>
      </c>
      <c r="S26" s="208">
        <v>0</v>
      </c>
      <c r="T26" s="208">
        <v>289340.33</v>
      </c>
    </row>
    <row r="27" spans="1:20">
      <c r="A27" s="65">
        <v>23</v>
      </c>
      <c r="B27" s="77" t="s">
        <v>219</v>
      </c>
      <c r="C27" s="78"/>
      <c r="D27" s="211">
        <v>45</v>
      </c>
      <c r="E27" s="211">
        <v>1208.5</v>
      </c>
      <c r="F27" s="211">
        <v>10929.861999999999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4275</v>
      </c>
      <c r="N27" s="208">
        <v>114807.5</v>
      </c>
      <c r="O27" s="208">
        <v>175642.88</v>
      </c>
      <c r="P27" s="208">
        <v>0</v>
      </c>
      <c r="Q27" s="208">
        <v>0</v>
      </c>
      <c r="R27" s="208">
        <v>0</v>
      </c>
      <c r="S27" s="208">
        <v>0</v>
      </c>
      <c r="T27" s="208">
        <v>294725.38</v>
      </c>
    </row>
    <row r="28" spans="1:20">
      <c r="A28" s="65">
        <v>24</v>
      </c>
      <c r="B28" s="77" t="s">
        <v>220</v>
      </c>
      <c r="C28" s="78"/>
      <c r="D28" s="211">
        <v>112.5</v>
      </c>
      <c r="E28" s="211">
        <v>870.42499999999995</v>
      </c>
      <c r="F28" s="211">
        <v>10171.937</v>
      </c>
      <c r="G28" s="207">
        <v>328.0630000000001</v>
      </c>
      <c r="H28" s="207">
        <v>17.075000000000045</v>
      </c>
      <c r="I28" s="62">
        <v>0</v>
      </c>
      <c r="J28" s="62">
        <v>0</v>
      </c>
      <c r="K28" s="63">
        <v>0</v>
      </c>
      <c r="L28" s="208">
        <v>0</v>
      </c>
      <c r="M28" s="208">
        <v>10687.5</v>
      </c>
      <c r="N28" s="208">
        <v>82690.38</v>
      </c>
      <c r="O28" s="208">
        <v>163463.03</v>
      </c>
      <c r="P28" s="208">
        <v>5271.97</v>
      </c>
      <c r="Q28" s="208">
        <v>1622.13</v>
      </c>
      <c r="R28" s="208">
        <v>0</v>
      </c>
      <c r="S28" s="208">
        <v>0</v>
      </c>
      <c r="T28" s="208">
        <v>263735</v>
      </c>
    </row>
    <row r="29" spans="1:20">
      <c r="A29" s="65">
        <v>25</v>
      </c>
      <c r="B29" s="77" t="s">
        <v>221</v>
      </c>
      <c r="C29" s="78"/>
      <c r="D29" s="211">
        <v>225</v>
      </c>
      <c r="E29" s="211">
        <v>472</v>
      </c>
      <c r="F29" s="211">
        <v>9924.9369999999999</v>
      </c>
      <c r="G29" s="207">
        <v>575.0630000000001</v>
      </c>
      <c r="H29" s="207">
        <v>303</v>
      </c>
      <c r="I29" s="62">
        <v>0</v>
      </c>
      <c r="J29" s="62">
        <v>0</v>
      </c>
      <c r="K29" s="63">
        <v>0</v>
      </c>
      <c r="L29" s="208">
        <v>0</v>
      </c>
      <c r="M29" s="208">
        <v>21375</v>
      </c>
      <c r="N29" s="208">
        <v>44840</v>
      </c>
      <c r="O29" s="208">
        <v>159493.74</v>
      </c>
      <c r="P29" s="208">
        <v>9241.26</v>
      </c>
      <c r="Q29" s="208">
        <v>28785</v>
      </c>
      <c r="R29" s="208">
        <v>0</v>
      </c>
      <c r="S29" s="208">
        <v>0</v>
      </c>
      <c r="T29" s="208">
        <v>263735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645.5</v>
      </c>
      <c r="F30" s="211">
        <v>9279.4369999999999</v>
      </c>
      <c r="G30" s="207">
        <v>1220.5630000000001</v>
      </c>
      <c r="H30" s="207">
        <v>354.5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61322.5</v>
      </c>
      <c r="O30" s="208">
        <v>149120.54999999999</v>
      </c>
      <c r="P30" s="208">
        <v>19614.45</v>
      </c>
      <c r="Q30" s="208">
        <v>33677.5</v>
      </c>
      <c r="R30" s="208">
        <v>0</v>
      </c>
      <c r="S30" s="208">
        <v>0</v>
      </c>
      <c r="T30" s="208">
        <v>263735</v>
      </c>
    </row>
    <row r="31" spans="1:20">
      <c r="A31" s="65">
        <v>27</v>
      </c>
      <c r="B31" s="77" t="s">
        <v>223</v>
      </c>
      <c r="C31" s="78"/>
      <c r="D31" s="211">
        <v>44</v>
      </c>
      <c r="E31" s="211">
        <v>773.875</v>
      </c>
      <c r="F31" s="211">
        <v>8549.5619999999999</v>
      </c>
      <c r="G31" s="207">
        <v>1950.4380000000001</v>
      </c>
      <c r="H31" s="207">
        <v>182.125</v>
      </c>
      <c r="I31" s="62">
        <v>0</v>
      </c>
      <c r="J31" s="62">
        <v>0</v>
      </c>
      <c r="K31" s="63">
        <v>0</v>
      </c>
      <c r="L31" s="208">
        <v>0</v>
      </c>
      <c r="M31" s="208">
        <v>4180</v>
      </c>
      <c r="N31" s="208">
        <v>73518.13</v>
      </c>
      <c r="O31" s="208">
        <v>137391.46</v>
      </c>
      <c r="P31" s="208">
        <v>31343.54</v>
      </c>
      <c r="Q31" s="208">
        <v>17301.88</v>
      </c>
      <c r="R31" s="208">
        <v>0</v>
      </c>
      <c r="S31" s="208">
        <v>0</v>
      </c>
      <c r="T31" s="208">
        <v>263735</v>
      </c>
    </row>
    <row r="32" spans="1:20">
      <c r="A32" s="65">
        <v>28</v>
      </c>
      <c r="B32" s="77" t="s">
        <v>224</v>
      </c>
      <c r="C32" s="78"/>
      <c r="D32" s="211">
        <v>22</v>
      </c>
      <c r="E32" s="211">
        <v>840.5</v>
      </c>
      <c r="F32" s="211">
        <v>7731.0619999999999</v>
      </c>
      <c r="G32" s="207">
        <v>2768.9380000000001</v>
      </c>
      <c r="H32" s="207">
        <v>137.5</v>
      </c>
      <c r="I32" s="62">
        <v>0</v>
      </c>
      <c r="J32" s="62">
        <v>0</v>
      </c>
      <c r="K32" s="63">
        <v>0</v>
      </c>
      <c r="L32" s="208">
        <v>0</v>
      </c>
      <c r="M32" s="208">
        <v>2090</v>
      </c>
      <c r="N32" s="208">
        <v>79847.5</v>
      </c>
      <c r="O32" s="208">
        <v>124238.17</v>
      </c>
      <c r="P32" s="208">
        <v>44496.83</v>
      </c>
      <c r="Q32" s="208">
        <v>13062.5</v>
      </c>
      <c r="R32" s="208">
        <v>0</v>
      </c>
      <c r="S32" s="208">
        <v>0</v>
      </c>
      <c r="T32" s="208">
        <v>263735</v>
      </c>
    </row>
    <row r="33" spans="1:20">
      <c r="A33" s="65">
        <v>29</v>
      </c>
      <c r="B33" s="77" t="s">
        <v>225</v>
      </c>
      <c r="C33" s="78"/>
      <c r="D33" s="211">
        <v>111.5</v>
      </c>
      <c r="E33" s="211">
        <v>672</v>
      </c>
      <c r="F33" s="211">
        <v>7170.5619999999999</v>
      </c>
      <c r="G33" s="207">
        <v>3329.4380000000001</v>
      </c>
      <c r="H33" s="207">
        <v>216.5</v>
      </c>
      <c r="I33" s="62">
        <v>0</v>
      </c>
      <c r="J33" s="62">
        <v>0</v>
      </c>
      <c r="K33" s="63">
        <v>0</v>
      </c>
      <c r="L33" s="208">
        <v>0</v>
      </c>
      <c r="M33" s="208">
        <v>10592.5</v>
      </c>
      <c r="N33" s="208">
        <v>63840</v>
      </c>
      <c r="O33" s="208">
        <v>115230.93</v>
      </c>
      <c r="P33" s="208">
        <v>53504.07</v>
      </c>
      <c r="Q33" s="208">
        <v>20567.5</v>
      </c>
      <c r="R33" s="208">
        <v>0</v>
      </c>
      <c r="S33" s="208">
        <v>0</v>
      </c>
      <c r="T33" s="208">
        <v>263735</v>
      </c>
    </row>
    <row r="34" spans="1:20">
      <c r="A34" s="65">
        <v>30</v>
      </c>
      <c r="B34" s="77" t="s">
        <v>226</v>
      </c>
      <c r="C34" s="78"/>
      <c r="D34" s="211">
        <v>133.47399999999999</v>
      </c>
      <c r="E34" s="211">
        <v>398.17500000000001</v>
      </c>
      <c r="F34" s="211">
        <v>6905.8609999999999</v>
      </c>
      <c r="G34" s="207">
        <v>3594.1390000000001</v>
      </c>
      <c r="H34" s="207">
        <v>468.351</v>
      </c>
      <c r="I34" s="62">
        <v>7</v>
      </c>
      <c r="J34" s="62">
        <v>7</v>
      </c>
      <c r="K34" s="63">
        <v>9.9000000000000005E-2</v>
      </c>
      <c r="L34" s="208">
        <v>14.85</v>
      </c>
      <c r="M34" s="208">
        <v>12680.03</v>
      </c>
      <c r="N34" s="208">
        <v>37826.629999999997</v>
      </c>
      <c r="O34" s="208">
        <v>110977.19</v>
      </c>
      <c r="P34" s="208">
        <v>57757.81</v>
      </c>
      <c r="Q34" s="208">
        <v>44493.35</v>
      </c>
      <c r="R34" s="208">
        <v>7000</v>
      </c>
      <c r="S34" s="208">
        <v>1400</v>
      </c>
      <c r="T34" s="208">
        <v>272149.84999999998</v>
      </c>
    </row>
    <row r="35" spans="1:20">
      <c r="A35" s="65">
        <v>31</v>
      </c>
      <c r="B35" s="77" t="s">
        <v>227</v>
      </c>
      <c r="C35" s="78"/>
      <c r="D35" s="211">
        <v>224.5</v>
      </c>
      <c r="E35" s="211">
        <v>474.5</v>
      </c>
      <c r="F35" s="211">
        <v>6655.8609999999999</v>
      </c>
      <c r="G35" s="207">
        <v>3844.1390000000001</v>
      </c>
      <c r="H35" s="207">
        <v>301</v>
      </c>
      <c r="I35" s="62">
        <v>0</v>
      </c>
      <c r="J35" s="62">
        <v>0</v>
      </c>
      <c r="K35" s="63">
        <v>0</v>
      </c>
      <c r="L35" s="208">
        <v>0</v>
      </c>
      <c r="M35" s="208">
        <v>21327.5</v>
      </c>
      <c r="N35" s="208">
        <v>45077.5</v>
      </c>
      <c r="O35" s="208">
        <v>106959.69</v>
      </c>
      <c r="P35" s="208">
        <v>61775.31</v>
      </c>
      <c r="Q35" s="208">
        <v>28595</v>
      </c>
      <c r="R35" s="208">
        <v>0</v>
      </c>
      <c r="S35" s="208">
        <v>0</v>
      </c>
      <c r="T35" s="208">
        <v>263735</v>
      </c>
    </row>
    <row r="36" spans="1:20">
      <c r="D36" s="70">
        <v>11423.161</v>
      </c>
      <c r="E36" s="70">
        <v>14665.074999999999</v>
      </c>
      <c r="F36" s="70">
        <v>340044.83799999981</v>
      </c>
      <c r="G36" s="70">
        <v>18811.982</v>
      </c>
      <c r="H36" s="70">
        <v>6581.58</v>
      </c>
      <c r="I36" s="70">
        <v>33.449999999999996</v>
      </c>
      <c r="J36" s="70">
        <v>33.449999999999996</v>
      </c>
      <c r="K36" s="70">
        <v>0.43600000000000005</v>
      </c>
      <c r="L36" s="209">
        <v>65.400000000000006</v>
      </c>
      <c r="M36" s="209">
        <v>1085200.3</v>
      </c>
      <c r="N36" s="209">
        <v>1393182.13</v>
      </c>
      <c r="O36" s="209">
        <v>5464520.5499999998</v>
      </c>
      <c r="P36" s="209">
        <v>302308.55</v>
      </c>
      <c r="Q36" s="209">
        <v>625250.1</v>
      </c>
      <c r="R36" s="209">
        <v>33450</v>
      </c>
      <c r="S36" s="209">
        <v>6690</v>
      </c>
      <c r="T36" s="209">
        <v>8910667.0199999996</v>
      </c>
    </row>
    <row r="37" spans="1:20">
      <c r="R37" s="73"/>
      <c r="S37" s="73"/>
      <c r="T37" s="210">
        <v>10871013.76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A63F-4F5A-4728-9A68-9FE40624F787}">
  <sheetPr codeName="Лист37">
    <pageSetUpPr fitToPage="1"/>
  </sheetPr>
  <dimension ref="A1:T37"/>
  <sheetViews>
    <sheetView topLeftCell="B8" workbookViewId="0">
      <selection activeCell="G5" sqref="G5:H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268</v>
      </c>
      <c r="H3" s="49" t="s">
        <v>269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13</v>
      </c>
      <c r="P3" s="49" t="s">
        <v>100</v>
      </c>
      <c r="Q3" s="49" t="s">
        <v>270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360.94499999999999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5800.39</v>
      </c>
      <c r="P5" s="208">
        <v>0</v>
      </c>
      <c r="Q5" s="208">
        <v>0</v>
      </c>
      <c r="R5" s="208">
        <v>0</v>
      </c>
      <c r="S5" s="208">
        <v>0</v>
      </c>
      <c r="T5" s="208">
        <v>5800.39</v>
      </c>
    </row>
    <row r="6" spans="1:20">
      <c r="A6" s="65">
        <v>2</v>
      </c>
      <c r="B6" s="77" t="s">
        <v>198</v>
      </c>
      <c r="C6" s="78"/>
      <c r="D6" s="211">
        <v>44</v>
      </c>
      <c r="E6" s="211">
        <v>0</v>
      </c>
      <c r="F6" s="211">
        <v>404.94499999999999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4180</v>
      </c>
      <c r="N6" s="208">
        <v>0</v>
      </c>
      <c r="O6" s="208">
        <v>6507.47</v>
      </c>
      <c r="P6" s="208">
        <v>0</v>
      </c>
      <c r="Q6" s="208">
        <v>0</v>
      </c>
      <c r="R6" s="208">
        <v>0</v>
      </c>
      <c r="S6" s="208">
        <v>0</v>
      </c>
      <c r="T6" s="208">
        <v>10687.47</v>
      </c>
    </row>
    <row r="7" spans="1:20">
      <c r="A7" s="65">
        <v>3</v>
      </c>
      <c r="B7" s="77" t="s">
        <v>199</v>
      </c>
      <c r="C7" s="78"/>
      <c r="D7" s="211">
        <v>66</v>
      </c>
      <c r="E7" s="211">
        <v>0</v>
      </c>
      <c r="F7" s="211">
        <v>470.94499999999999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6270</v>
      </c>
      <c r="N7" s="208">
        <v>0</v>
      </c>
      <c r="O7" s="208">
        <v>7568.09</v>
      </c>
      <c r="P7" s="208">
        <v>0</v>
      </c>
      <c r="Q7" s="208">
        <v>0</v>
      </c>
      <c r="R7" s="208">
        <v>0</v>
      </c>
      <c r="S7" s="208">
        <v>0</v>
      </c>
      <c r="T7" s="208">
        <v>13838.09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470.94499999999999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7568.09</v>
      </c>
      <c r="P8" s="208">
        <v>0</v>
      </c>
      <c r="Q8" s="208">
        <v>0</v>
      </c>
      <c r="R8" s="208">
        <v>0</v>
      </c>
      <c r="S8" s="208">
        <v>0</v>
      </c>
      <c r="T8" s="208">
        <v>7568.09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9.625</v>
      </c>
      <c r="F9" s="211">
        <v>461.32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914.38</v>
      </c>
      <c r="O9" s="208">
        <v>7413.41</v>
      </c>
      <c r="P9" s="208">
        <v>0</v>
      </c>
      <c r="Q9" s="208">
        <v>0</v>
      </c>
      <c r="R9" s="208">
        <v>0</v>
      </c>
      <c r="S9" s="208">
        <v>0</v>
      </c>
      <c r="T9" s="208">
        <v>8327.7900000000009</v>
      </c>
    </row>
    <row r="10" spans="1:20">
      <c r="A10" s="65">
        <v>6</v>
      </c>
      <c r="B10" s="77" t="s">
        <v>202</v>
      </c>
      <c r="C10" s="78"/>
      <c r="D10" s="211">
        <v>22</v>
      </c>
      <c r="E10" s="211">
        <v>22</v>
      </c>
      <c r="F10" s="211">
        <v>461.32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2090</v>
      </c>
      <c r="N10" s="208">
        <v>2090</v>
      </c>
      <c r="O10" s="208">
        <v>7413.41</v>
      </c>
      <c r="P10" s="208">
        <v>0</v>
      </c>
      <c r="Q10" s="208">
        <v>0</v>
      </c>
      <c r="R10" s="208">
        <v>0</v>
      </c>
      <c r="S10" s="208">
        <v>0</v>
      </c>
      <c r="T10" s="208">
        <v>11593.41</v>
      </c>
    </row>
    <row r="11" spans="1:20">
      <c r="A11" s="65">
        <v>7</v>
      </c>
      <c r="B11" s="77" t="s">
        <v>203</v>
      </c>
      <c r="C11" s="78"/>
      <c r="D11" s="211">
        <v>418</v>
      </c>
      <c r="E11" s="211">
        <v>0</v>
      </c>
      <c r="F11" s="211">
        <v>879.32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39710</v>
      </c>
      <c r="N11" s="208">
        <v>0</v>
      </c>
      <c r="O11" s="208">
        <v>14130.67</v>
      </c>
      <c r="P11" s="208">
        <v>0</v>
      </c>
      <c r="Q11" s="208">
        <v>0</v>
      </c>
      <c r="R11" s="208">
        <v>0</v>
      </c>
      <c r="S11" s="208">
        <v>0</v>
      </c>
      <c r="T11" s="208">
        <v>53840.67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22</v>
      </c>
      <c r="F12" s="211">
        <v>857.32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2090</v>
      </c>
      <c r="O12" s="208">
        <v>13777.13</v>
      </c>
      <c r="P12" s="208">
        <v>0</v>
      </c>
      <c r="Q12" s="208">
        <v>0</v>
      </c>
      <c r="R12" s="208">
        <v>0</v>
      </c>
      <c r="S12" s="208">
        <v>0</v>
      </c>
      <c r="T12" s="208">
        <v>15867.13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44</v>
      </c>
      <c r="F13" s="211">
        <v>813.32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4180</v>
      </c>
      <c r="O13" s="208">
        <v>13070.05</v>
      </c>
      <c r="P13" s="208">
        <v>0</v>
      </c>
      <c r="Q13" s="208">
        <v>0</v>
      </c>
      <c r="R13" s="208">
        <v>0</v>
      </c>
      <c r="S13" s="208">
        <v>0</v>
      </c>
      <c r="T13" s="208">
        <v>17250.05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49</v>
      </c>
      <c r="F14" s="211">
        <v>764.32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4655</v>
      </c>
      <c r="O14" s="208">
        <v>12282.62</v>
      </c>
      <c r="P14" s="208">
        <v>0</v>
      </c>
      <c r="Q14" s="208">
        <v>0</v>
      </c>
      <c r="R14" s="208">
        <v>0</v>
      </c>
      <c r="S14" s="208">
        <v>0</v>
      </c>
      <c r="T14" s="208">
        <v>16937.62</v>
      </c>
    </row>
    <row r="15" spans="1:20">
      <c r="A15" s="65">
        <v>11</v>
      </c>
      <c r="B15" s="77" t="s">
        <v>207</v>
      </c>
      <c r="C15" s="78"/>
      <c r="D15" s="211">
        <v>88</v>
      </c>
      <c r="E15" s="211">
        <v>0</v>
      </c>
      <c r="F15" s="211">
        <v>852.32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8360</v>
      </c>
      <c r="N15" s="208">
        <v>0</v>
      </c>
      <c r="O15" s="208">
        <v>13696.78</v>
      </c>
      <c r="P15" s="208">
        <v>0</v>
      </c>
      <c r="Q15" s="208">
        <v>0</v>
      </c>
      <c r="R15" s="208">
        <v>0</v>
      </c>
      <c r="S15" s="208">
        <v>0</v>
      </c>
      <c r="T15" s="208">
        <v>22056.78</v>
      </c>
    </row>
    <row r="16" spans="1:20">
      <c r="A16" s="65">
        <v>12</v>
      </c>
      <c r="B16" s="77" t="s">
        <v>208</v>
      </c>
      <c r="C16" s="78"/>
      <c r="D16" s="211">
        <v>22</v>
      </c>
      <c r="E16" s="211">
        <v>0</v>
      </c>
      <c r="F16" s="211">
        <v>874.32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2090</v>
      </c>
      <c r="N16" s="208">
        <v>0</v>
      </c>
      <c r="O16" s="208">
        <v>14050.32</v>
      </c>
      <c r="P16" s="208">
        <v>0</v>
      </c>
      <c r="Q16" s="208">
        <v>0</v>
      </c>
      <c r="R16" s="208">
        <v>0</v>
      </c>
      <c r="S16" s="208">
        <v>0</v>
      </c>
      <c r="T16" s="208">
        <v>16140.32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874.32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14050.32</v>
      </c>
      <c r="P17" s="208">
        <v>0</v>
      </c>
      <c r="Q17" s="208">
        <v>0</v>
      </c>
      <c r="R17" s="208">
        <v>0</v>
      </c>
      <c r="S17" s="208">
        <v>0</v>
      </c>
      <c r="T17" s="208">
        <v>14050.32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22</v>
      </c>
      <c r="F18" s="211">
        <v>852.32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2090</v>
      </c>
      <c r="O18" s="208">
        <v>13696.78</v>
      </c>
      <c r="P18" s="208">
        <v>0</v>
      </c>
      <c r="Q18" s="208">
        <v>0</v>
      </c>
      <c r="R18" s="208">
        <v>0</v>
      </c>
      <c r="S18" s="208">
        <v>0</v>
      </c>
      <c r="T18" s="208">
        <v>15786.78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22</v>
      </c>
      <c r="F19" s="211">
        <v>830.32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2090</v>
      </c>
      <c r="O19" s="208">
        <v>13343.24</v>
      </c>
      <c r="P19" s="208">
        <v>0</v>
      </c>
      <c r="Q19" s="208">
        <v>0</v>
      </c>
      <c r="R19" s="208">
        <v>0</v>
      </c>
      <c r="S19" s="208">
        <v>0</v>
      </c>
      <c r="T19" s="208">
        <v>15433.24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44</v>
      </c>
      <c r="F20" s="211">
        <v>786.32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4180</v>
      </c>
      <c r="O20" s="208">
        <v>12636.16</v>
      </c>
      <c r="P20" s="208">
        <v>0</v>
      </c>
      <c r="Q20" s="208">
        <v>0</v>
      </c>
      <c r="R20" s="208">
        <v>0</v>
      </c>
      <c r="S20" s="208">
        <v>0</v>
      </c>
      <c r="T20" s="208">
        <v>16816.16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786.32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12636.16</v>
      </c>
      <c r="P21" s="208">
        <v>0</v>
      </c>
      <c r="Q21" s="208">
        <v>0</v>
      </c>
      <c r="R21" s="208">
        <v>0</v>
      </c>
      <c r="S21" s="208">
        <v>0</v>
      </c>
      <c r="T21" s="208">
        <v>12636.16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22</v>
      </c>
      <c r="F22" s="211">
        <v>764.32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2090</v>
      </c>
      <c r="O22" s="208">
        <v>12282.62</v>
      </c>
      <c r="P22" s="208">
        <v>0</v>
      </c>
      <c r="Q22" s="208">
        <v>0</v>
      </c>
      <c r="R22" s="208">
        <v>0</v>
      </c>
      <c r="S22" s="208">
        <v>0</v>
      </c>
      <c r="T22" s="208">
        <v>14372.62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764.32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12282.62</v>
      </c>
      <c r="P23" s="208">
        <v>0</v>
      </c>
      <c r="Q23" s="208">
        <v>0</v>
      </c>
      <c r="R23" s="208">
        <v>0</v>
      </c>
      <c r="S23" s="208">
        <v>0</v>
      </c>
      <c r="T23" s="208">
        <v>12282.62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764.32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12282.62</v>
      </c>
      <c r="P24" s="208">
        <v>0</v>
      </c>
      <c r="Q24" s="208">
        <v>0</v>
      </c>
      <c r="R24" s="208">
        <v>0</v>
      </c>
      <c r="S24" s="208">
        <v>0</v>
      </c>
      <c r="T24" s="208">
        <v>12282.62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44</v>
      </c>
      <c r="F25" s="211">
        <v>720.32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4180</v>
      </c>
      <c r="O25" s="208">
        <v>11575.54</v>
      </c>
      <c r="P25" s="208">
        <v>0</v>
      </c>
      <c r="Q25" s="208">
        <v>0</v>
      </c>
      <c r="R25" s="208">
        <v>0</v>
      </c>
      <c r="S25" s="208">
        <v>0</v>
      </c>
      <c r="T25" s="208">
        <v>15755.54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720.32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11575.54</v>
      </c>
      <c r="P26" s="208">
        <v>0</v>
      </c>
      <c r="Q26" s="208">
        <v>0</v>
      </c>
      <c r="R26" s="208">
        <v>0</v>
      </c>
      <c r="S26" s="208">
        <v>0</v>
      </c>
      <c r="T26" s="208">
        <v>11575.54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22</v>
      </c>
      <c r="F27" s="211">
        <v>698.32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2090</v>
      </c>
      <c r="O27" s="208">
        <v>11222</v>
      </c>
      <c r="P27" s="208">
        <v>0</v>
      </c>
      <c r="Q27" s="208">
        <v>0</v>
      </c>
      <c r="R27" s="208">
        <v>0</v>
      </c>
      <c r="S27" s="208">
        <v>0</v>
      </c>
      <c r="T27" s="208">
        <v>13312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66</v>
      </c>
      <c r="F28" s="211">
        <v>632.32000000000005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6270</v>
      </c>
      <c r="O28" s="208">
        <v>10161.379999999999</v>
      </c>
      <c r="P28" s="208">
        <v>0</v>
      </c>
      <c r="Q28" s="208">
        <v>0</v>
      </c>
      <c r="R28" s="208">
        <v>0</v>
      </c>
      <c r="S28" s="208">
        <v>0</v>
      </c>
      <c r="T28" s="208">
        <v>16431.38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632.32000000000005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10161.379999999999</v>
      </c>
      <c r="P29" s="208">
        <v>0</v>
      </c>
      <c r="Q29" s="208">
        <v>0</v>
      </c>
      <c r="R29" s="208">
        <v>0</v>
      </c>
      <c r="S29" s="208">
        <v>0</v>
      </c>
      <c r="T29" s="208">
        <v>10161.379999999999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632.32000000000005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10161.379999999999</v>
      </c>
      <c r="P30" s="208">
        <v>0</v>
      </c>
      <c r="Q30" s="208">
        <v>0</v>
      </c>
      <c r="R30" s="208">
        <v>0</v>
      </c>
      <c r="S30" s="208">
        <v>0</v>
      </c>
      <c r="T30" s="208">
        <v>10161.379999999999</v>
      </c>
    </row>
    <row r="31" spans="1:20">
      <c r="A31" s="65">
        <v>27</v>
      </c>
      <c r="B31" s="77" t="s">
        <v>223</v>
      </c>
      <c r="C31" s="78"/>
      <c r="D31" s="211">
        <v>22</v>
      </c>
      <c r="E31" s="211">
        <v>0</v>
      </c>
      <c r="F31" s="211">
        <v>654.32000000000005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2090</v>
      </c>
      <c r="N31" s="208">
        <v>0</v>
      </c>
      <c r="O31" s="208">
        <v>10514.92</v>
      </c>
      <c r="P31" s="208">
        <v>0</v>
      </c>
      <c r="Q31" s="208">
        <v>0</v>
      </c>
      <c r="R31" s="208">
        <v>0</v>
      </c>
      <c r="S31" s="208">
        <v>0</v>
      </c>
      <c r="T31" s="208">
        <v>12604.92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22</v>
      </c>
      <c r="F32" s="211">
        <v>632.32000000000005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2090</v>
      </c>
      <c r="O32" s="208">
        <v>10161.379999999999</v>
      </c>
      <c r="P32" s="208">
        <v>0</v>
      </c>
      <c r="Q32" s="208">
        <v>0</v>
      </c>
      <c r="R32" s="208">
        <v>0</v>
      </c>
      <c r="S32" s="208">
        <v>0</v>
      </c>
      <c r="T32" s="208">
        <v>12251.38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632.32000000000005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10161.379999999999</v>
      </c>
      <c r="P33" s="208">
        <v>0</v>
      </c>
      <c r="Q33" s="208">
        <v>0</v>
      </c>
      <c r="R33" s="208">
        <v>0</v>
      </c>
      <c r="S33" s="208">
        <v>0</v>
      </c>
      <c r="T33" s="208">
        <v>10161.379999999999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632.32000000000005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10161.379999999999</v>
      </c>
      <c r="P34" s="208">
        <v>0</v>
      </c>
      <c r="Q34" s="208">
        <v>0</v>
      </c>
      <c r="R34" s="208">
        <v>0</v>
      </c>
      <c r="S34" s="208">
        <v>0</v>
      </c>
      <c r="T34" s="208">
        <v>10161.379999999999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632.32000000000005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10161.379999999999</v>
      </c>
      <c r="P35" s="208">
        <v>0</v>
      </c>
      <c r="Q35" s="208">
        <v>0</v>
      </c>
      <c r="R35" s="208">
        <v>0</v>
      </c>
      <c r="S35" s="208">
        <v>0</v>
      </c>
      <c r="T35" s="208">
        <v>10161.379999999999</v>
      </c>
    </row>
    <row r="36" spans="1:20">
      <c r="D36" s="70">
        <v>682</v>
      </c>
      <c r="E36" s="70">
        <v>410.625</v>
      </c>
      <c r="F36" s="70">
        <v>21313.419999999995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64790</v>
      </c>
      <c r="N36" s="209">
        <v>39009.379999999997</v>
      </c>
      <c r="O36" s="209">
        <v>342506.66</v>
      </c>
      <c r="P36" s="209">
        <v>0</v>
      </c>
      <c r="Q36" s="209">
        <v>0</v>
      </c>
      <c r="R36" s="209">
        <v>0</v>
      </c>
      <c r="S36" s="209">
        <v>0</v>
      </c>
      <c r="T36" s="209">
        <v>446306.03</v>
      </c>
    </row>
    <row r="37" spans="1:20">
      <c r="R37" s="73"/>
      <c r="S37" s="73"/>
      <c r="T37" s="210">
        <v>544493.36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39E3-7E70-400E-9463-C1733DC81A35}">
  <sheetPr codeName="Лист38">
    <pageSetUpPr fitToPage="1"/>
  </sheetPr>
  <dimension ref="A1:T37"/>
  <sheetViews>
    <sheetView topLeftCell="A10" workbookViewId="0">
      <selection activeCell="T38" sqref="T38"/>
    </sheetView>
  </sheetViews>
  <sheetFormatPr defaultRowHeight="15"/>
  <cols>
    <col min="1" max="3" width="9.140625" style="47"/>
    <col min="4" max="5" width="10.28515625" style="47" customWidth="1"/>
    <col min="6" max="6" width="13.140625" style="47" customWidth="1"/>
    <col min="7" max="7" width="10.5703125" style="47" bestFit="1" customWidth="1"/>
    <col min="8" max="8" width="9.5703125" style="47" bestFit="1" customWidth="1"/>
    <col min="9" max="9" width="10.5703125" style="47" bestFit="1" customWidth="1"/>
    <col min="10" max="12" width="9.140625" style="47"/>
    <col min="13" max="13" width="15.85546875" style="47" customWidth="1"/>
    <col min="14" max="14" width="15.42578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274</v>
      </c>
      <c r="H3" s="49" t="s">
        <v>275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177.39400000000001</v>
      </c>
      <c r="G5" s="207"/>
      <c r="H5" s="207"/>
      <c r="I5" s="62"/>
      <c r="J5" s="63"/>
      <c r="K5" s="63"/>
      <c r="L5" s="208">
        <v>0</v>
      </c>
      <c r="M5" s="208">
        <v>0</v>
      </c>
      <c r="N5" s="208">
        <v>0</v>
      </c>
      <c r="O5" s="208">
        <v>2850.72</v>
      </c>
      <c r="P5" s="208">
        <v>0</v>
      </c>
      <c r="Q5" s="208">
        <v>0</v>
      </c>
      <c r="R5" s="208">
        <v>0</v>
      </c>
      <c r="S5" s="208">
        <v>0</v>
      </c>
      <c r="T5" s="208">
        <v>2850.72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177.39400000000001</v>
      </c>
      <c r="G6" s="207"/>
      <c r="H6" s="207"/>
      <c r="I6" s="62"/>
      <c r="J6" s="63"/>
      <c r="K6" s="63"/>
      <c r="L6" s="208">
        <v>0</v>
      </c>
      <c r="M6" s="208">
        <v>0</v>
      </c>
      <c r="N6" s="208">
        <v>0</v>
      </c>
      <c r="O6" s="208">
        <v>2850.72</v>
      </c>
      <c r="P6" s="208">
        <v>0</v>
      </c>
      <c r="Q6" s="208">
        <v>0</v>
      </c>
      <c r="R6" s="208">
        <v>0</v>
      </c>
      <c r="S6" s="208">
        <v>0</v>
      </c>
      <c r="T6" s="208">
        <v>2850.72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177.39400000000001</v>
      </c>
      <c r="G7" s="207"/>
      <c r="H7" s="207"/>
      <c r="I7" s="62"/>
      <c r="J7" s="63"/>
      <c r="K7" s="63"/>
      <c r="L7" s="208">
        <v>0</v>
      </c>
      <c r="M7" s="208">
        <v>0</v>
      </c>
      <c r="N7" s="208">
        <v>0</v>
      </c>
      <c r="O7" s="208">
        <v>2850.72</v>
      </c>
      <c r="P7" s="208">
        <v>0</v>
      </c>
      <c r="Q7" s="208">
        <v>0</v>
      </c>
      <c r="R7" s="208">
        <v>0</v>
      </c>
      <c r="S7" s="208">
        <v>0</v>
      </c>
      <c r="T7" s="208">
        <v>2850.72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177.39400000000001</v>
      </c>
      <c r="G8" s="207"/>
      <c r="H8" s="207"/>
      <c r="I8" s="62"/>
      <c r="J8" s="63"/>
      <c r="K8" s="63"/>
      <c r="L8" s="208">
        <v>0</v>
      </c>
      <c r="M8" s="208">
        <v>0</v>
      </c>
      <c r="N8" s="208">
        <v>0</v>
      </c>
      <c r="O8" s="208">
        <v>2850.72</v>
      </c>
      <c r="P8" s="208">
        <v>0</v>
      </c>
      <c r="Q8" s="208">
        <v>0</v>
      </c>
      <c r="R8" s="208">
        <v>0</v>
      </c>
      <c r="S8" s="208">
        <v>0</v>
      </c>
      <c r="T8" s="208">
        <v>2850.72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177.39400000000001</v>
      </c>
      <c r="G9" s="207"/>
      <c r="H9" s="207"/>
      <c r="I9" s="62"/>
      <c r="J9" s="63"/>
      <c r="K9" s="63"/>
      <c r="L9" s="208">
        <v>0</v>
      </c>
      <c r="M9" s="208">
        <v>0</v>
      </c>
      <c r="N9" s="208">
        <v>0</v>
      </c>
      <c r="O9" s="208">
        <v>2850.72</v>
      </c>
      <c r="P9" s="208">
        <v>0</v>
      </c>
      <c r="Q9" s="208">
        <v>0</v>
      </c>
      <c r="R9" s="208">
        <v>0</v>
      </c>
      <c r="S9" s="208">
        <v>0</v>
      </c>
      <c r="T9" s="208">
        <v>2850.72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177.39400000000001</v>
      </c>
      <c r="G10" s="207"/>
      <c r="H10" s="207"/>
      <c r="I10" s="62"/>
      <c r="J10" s="63"/>
      <c r="K10" s="63"/>
      <c r="L10" s="208">
        <v>0</v>
      </c>
      <c r="M10" s="208">
        <v>0</v>
      </c>
      <c r="N10" s="208">
        <v>0</v>
      </c>
      <c r="O10" s="208">
        <v>2850.72</v>
      </c>
      <c r="P10" s="208">
        <v>0</v>
      </c>
      <c r="Q10" s="208">
        <v>0</v>
      </c>
      <c r="R10" s="208">
        <v>0</v>
      </c>
      <c r="S10" s="208">
        <v>0</v>
      </c>
      <c r="T10" s="208">
        <v>2850.72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177.39400000000001</v>
      </c>
      <c r="G11" s="207"/>
      <c r="H11" s="207"/>
      <c r="I11" s="62"/>
      <c r="J11" s="63"/>
      <c r="K11" s="63"/>
      <c r="L11" s="208">
        <v>0</v>
      </c>
      <c r="M11" s="208">
        <v>0</v>
      </c>
      <c r="N11" s="208">
        <v>0</v>
      </c>
      <c r="O11" s="208">
        <v>2850.72</v>
      </c>
      <c r="P11" s="208">
        <v>0</v>
      </c>
      <c r="Q11" s="208">
        <v>0</v>
      </c>
      <c r="R11" s="208">
        <v>0</v>
      </c>
      <c r="S11" s="208">
        <v>0</v>
      </c>
      <c r="T11" s="208">
        <v>2850.72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177.39400000000001</v>
      </c>
      <c r="G12" s="207"/>
      <c r="H12" s="207"/>
      <c r="I12" s="62"/>
      <c r="J12" s="63"/>
      <c r="K12" s="63"/>
      <c r="L12" s="208">
        <v>0</v>
      </c>
      <c r="M12" s="208">
        <v>0</v>
      </c>
      <c r="N12" s="208">
        <v>0</v>
      </c>
      <c r="O12" s="208">
        <v>2850.72</v>
      </c>
      <c r="P12" s="208">
        <v>0</v>
      </c>
      <c r="Q12" s="208">
        <v>0</v>
      </c>
      <c r="R12" s="208">
        <v>0</v>
      </c>
      <c r="S12" s="208">
        <v>0</v>
      </c>
      <c r="T12" s="208">
        <v>2850.72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177.39400000000001</v>
      </c>
      <c r="G13" s="207"/>
      <c r="H13" s="207"/>
      <c r="I13" s="62"/>
      <c r="J13" s="63"/>
      <c r="K13" s="63"/>
      <c r="L13" s="208">
        <v>0</v>
      </c>
      <c r="M13" s="208">
        <v>0</v>
      </c>
      <c r="N13" s="208">
        <v>0</v>
      </c>
      <c r="O13" s="208">
        <v>2850.72</v>
      </c>
      <c r="P13" s="208">
        <v>0</v>
      </c>
      <c r="Q13" s="208">
        <v>0</v>
      </c>
      <c r="R13" s="208">
        <v>0</v>
      </c>
      <c r="S13" s="208">
        <v>0</v>
      </c>
      <c r="T13" s="208">
        <v>2850.72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177.39400000000001</v>
      </c>
      <c r="G14" s="207"/>
      <c r="H14" s="207"/>
      <c r="I14" s="62"/>
      <c r="J14" s="63"/>
      <c r="K14" s="63"/>
      <c r="L14" s="208">
        <v>0</v>
      </c>
      <c r="M14" s="208">
        <v>0</v>
      </c>
      <c r="N14" s="208">
        <v>0</v>
      </c>
      <c r="O14" s="208">
        <v>2850.72</v>
      </c>
      <c r="P14" s="208">
        <v>0</v>
      </c>
      <c r="Q14" s="208">
        <v>0</v>
      </c>
      <c r="R14" s="208">
        <v>0</v>
      </c>
      <c r="S14" s="208">
        <v>0</v>
      </c>
      <c r="T14" s="208">
        <v>2850.72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177.39400000000001</v>
      </c>
      <c r="G15" s="207"/>
      <c r="H15" s="207"/>
      <c r="I15" s="62"/>
      <c r="J15" s="63"/>
      <c r="K15" s="63"/>
      <c r="L15" s="208">
        <v>0</v>
      </c>
      <c r="M15" s="208">
        <v>0</v>
      </c>
      <c r="N15" s="208">
        <v>0</v>
      </c>
      <c r="O15" s="208">
        <v>2850.72</v>
      </c>
      <c r="P15" s="208">
        <v>0</v>
      </c>
      <c r="Q15" s="208">
        <v>0</v>
      </c>
      <c r="R15" s="208">
        <v>0</v>
      </c>
      <c r="S15" s="208">
        <v>0</v>
      </c>
      <c r="T15" s="208">
        <v>2850.72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177.39400000000001</v>
      </c>
      <c r="G16" s="207"/>
      <c r="H16" s="207"/>
      <c r="I16" s="62"/>
      <c r="J16" s="63"/>
      <c r="K16" s="63"/>
      <c r="L16" s="208">
        <v>0</v>
      </c>
      <c r="M16" s="208">
        <v>0</v>
      </c>
      <c r="N16" s="208">
        <v>0</v>
      </c>
      <c r="O16" s="208">
        <v>2850.72</v>
      </c>
      <c r="P16" s="208">
        <v>0</v>
      </c>
      <c r="Q16" s="208">
        <v>0</v>
      </c>
      <c r="R16" s="208">
        <v>0</v>
      </c>
      <c r="S16" s="208">
        <v>0</v>
      </c>
      <c r="T16" s="208">
        <v>2850.72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177.39400000000001</v>
      </c>
      <c r="G17" s="207"/>
      <c r="H17" s="207"/>
      <c r="I17" s="62"/>
      <c r="J17" s="63"/>
      <c r="K17" s="63"/>
      <c r="L17" s="208">
        <v>0</v>
      </c>
      <c r="M17" s="208">
        <v>0</v>
      </c>
      <c r="N17" s="208">
        <v>0</v>
      </c>
      <c r="O17" s="208">
        <v>2850.72</v>
      </c>
      <c r="P17" s="208">
        <v>0</v>
      </c>
      <c r="Q17" s="208">
        <v>0</v>
      </c>
      <c r="R17" s="208">
        <v>0</v>
      </c>
      <c r="S17" s="208">
        <v>0</v>
      </c>
      <c r="T17" s="208">
        <v>2850.72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177.39400000000001</v>
      </c>
      <c r="G18" s="207"/>
      <c r="H18" s="207"/>
      <c r="I18" s="62"/>
      <c r="J18" s="63"/>
      <c r="K18" s="63"/>
      <c r="L18" s="208">
        <v>0</v>
      </c>
      <c r="M18" s="208">
        <v>0</v>
      </c>
      <c r="N18" s="208">
        <v>0</v>
      </c>
      <c r="O18" s="208">
        <v>2850.72</v>
      </c>
      <c r="P18" s="208">
        <v>0</v>
      </c>
      <c r="Q18" s="208">
        <v>0</v>
      </c>
      <c r="R18" s="208">
        <v>0</v>
      </c>
      <c r="S18" s="208">
        <v>0</v>
      </c>
      <c r="T18" s="208">
        <v>2850.72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177.39400000000001</v>
      </c>
      <c r="G19" s="207"/>
      <c r="H19" s="207"/>
      <c r="I19" s="62"/>
      <c r="J19" s="63"/>
      <c r="K19" s="63"/>
      <c r="L19" s="208">
        <v>0</v>
      </c>
      <c r="M19" s="208">
        <v>0</v>
      </c>
      <c r="N19" s="208">
        <v>0</v>
      </c>
      <c r="O19" s="208">
        <v>2850.72</v>
      </c>
      <c r="P19" s="208">
        <v>0</v>
      </c>
      <c r="Q19" s="208">
        <v>0</v>
      </c>
      <c r="R19" s="208">
        <v>0</v>
      </c>
      <c r="S19" s="208">
        <v>0</v>
      </c>
      <c r="T19" s="208">
        <v>2850.72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177.39400000000001</v>
      </c>
      <c r="G20" s="207"/>
      <c r="H20" s="207"/>
      <c r="I20" s="62"/>
      <c r="J20" s="63"/>
      <c r="K20" s="63"/>
      <c r="L20" s="208">
        <v>0</v>
      </c>
      <c r="M20" s="208">
        <v>0</v>
      </c>
      <c r="N20" s="208">
        <v>0</v>
      </c>
      <c r="O20" s="208">
        <v>2850.72</v>
      </c>
      <c r="P20" s="208">
        <v>0</v>
      </c>
      <c r="Q20" s="208">
        <v>0</v>
      </c>
      <c r="R20" s="208">
        <v>0</v>
      </c>
      <c r="S20" s="208">
        <v>0</v>
      </c>
      <c r="T20" s="208">
        <v>2850.72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177.39400000000001</v>
      </c>
      <c r="G21" s="207"/>
      <c r="H21" s="207"/>
      <c r="I21" s="62"/>
      <c r="J21" s="63"/>
      <c r="K21" s="63"/>
      <c r="L21" s="208">
        <v>0</v>
      </c>
      <c r="M21" s="208">
        <v>0</v>
      </c>
      <c r="N21" s="208">
        <v>0</v>
      </c>
      <c r="O21" s="208">
        <v>2850.72</v>
      </c>
      <c r="P21" s="208">
        <v>0</v>
      </c>
      <c r="Q21" s="208">
        <v>0</v>
      </c>
      <c r="R21" s="208">
        <v>0</v>
      </c>
      <c r="S21" s="208">
        <v>0</v>
      </c>
      <c r="T21" s="208">
        <v>2850.72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177.39400000000001</v>
      </c>
      <c r="G22" s="207"/>
      <c r="H22" s="207"/>
      <c r="I22" s="62"/>
      <c r="J22" s="63"/>
      <c r="K22" s="63"/>
      <c r="L22" s="208">
        <v>0</v>
      </c>
      <c r="M22" s="208">
        <v>0</v>
      </c>
      <c r="N22" s="208">
        <v>0</v>
      </c>
      <c r="O22" s="208">
        <v>2850.72</v>
      </c>
      <c r="P22" s="208">
        <v>0</v>
      </c>
      <c r="Q22" s="208">
        <v>0</v>
      </c>
      <c r="R22" s="208">
        <v>0</v>
      </c>
      <c r="S22" s="208">
        <v>0</v>
      </c>
      <c r="T22" s="208">
        <v>2850.72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177.39400000000001</v>
      </c>
      <c r="G23" s="207"/>
      <c r="H23" s="207"/>
      <c r="I23" s="62"/>
      <c r="J23" s="63"/>
      <c r="K23" s="63"/>
      <c r="L23" s="208">
        <v>0</v>
      </c>
      <c r="M23" s="208">
        <v>0</v>
      </c>
      <c r="N23" s="208">
        <v>0</v>
      </c>
      <c r="O23" s="208">
        <v>2850.72</v>
      </c>
      <c r="P23" s="208">
        <v>0</v>
      </c>
      <c r="Q23" s="208">
        <v>0</v>
      </c>
      <c r="R23" s="208">
        <v>0</v>
      </c>
      <c r="S23" s="208">
        <v>0</v>
      </c>
      <c r="T23" s="208">
        <v>2850.72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177.39400000000001</v>
      </c>
      <c r="G24" s="207"/>
      <c r="H24" s="207"/>
      <c r="I24" s="62"/>
      <c r="J24" s="63"/>
      <c r="K24" s="63"/>
      <c r="L24" s="208">
        <v>0</v>
      </c>
      <c r="M24" s="208">
        <v>0</v>
      </c>
      <c r="N24" s="208">
        <v>0</v>
      </c>
      <c r="O24" s="208">
        <v>2850.72</v>
      </c>
      <c r="P24" s="208">
        <v>0</v>
      </c>
      <c r="Q24" s="208">
        <v>0</v>
      </c>
      <c r="R24" s="208">
        <v>0</v>
      </c>
      <c r="S24" s="208">
        <v>0</v>
      </c>
      <c r="T24" s="208">
        <v>2850.72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177.39400000000001</v>
      </c>
      <c r="G25" s="207"/>
      <c r="H25" s="207"/>
      <c r="I25" s="62"/>
      <c r="J25" s="63"/>
      <c r="K25" s="63"/>
      <c r="L25" s="208">
        <v>0</v>
      </c>
      <c r="M25" s="208">
        <v>0</v>
      </c>
      <c r="N25" s="208">
        <v>0</v>
      </c>
      <c r="O25" s="208">
        <v>2850.72</v>
      </c>
      <c r="P25" s="208">
        <v>0</v>
      </c>
      <c r="Q25" s="208">
        <v>0</v>
      </c>
      <c r="R25" s="208">
        <v>0</v>
      </c>
      <c r="S25" s="208">
        <v>0</v>
      </c>
      <c r="T25" s="208">
        <v>2850.72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177.39400000000001</v>
      </c>
      <c r="G26" s="207"/>
      <c r="H26" s="207"/>
      <c r="I26" s="62"/>
      <c r="J26" s="63"/>
      <c r="K26" s="63"/>
      <c r="L26" s="208">
        <v>0</v>
      </c>
      <c r="M26" s="208">
        <v>0</v>
      </c>
      <c r="N26" s="208">
        <v>0</v>
      </c>
      <c r="O26" s="208">
        <v>2850.72</v>
      </c>
      <c r="P26" s="208">
        <v>0</v>
      </c>
      <c r="Q26" s="208">
        <v>0</v>
      </c>
      <c r="R26" s="208">
        <v>0</v>
      </c>
      <c r="S26" s="208">
        <v>0</v>
      </c>
      <c r="T26" s="208">
        <v>2850.72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177.39400000000001</v>
      </c>
      <c r="G27" s="207"/>
      <c r="H27" s="207"/>
      <c r="I27" s="62"/>
      <c r="J27" s="63"/>
      <c r="K27" s="63"/>
      <c r="L27" s="208">
        <v>0</v>
      </c>
      <c r="M27" s="208">
        <v>0</v>
      </c>
      <c r="N27" s="208">
        <v>0</v>
      </c>
      <c r="O27" s="208">
        <v>2850.72</v>
      </c>
      <c r="P27" s="208">
        <v>0</v>
      </c>
      <c r="Q27" s="208">
        <v>0</v>
      </c>
      <c r="R27" s="208">
        <v>0</v>
      </c>
      <c r="S27" s="208">
        <v>0</v>
      </c>
      <c r="T27" s="208">
        <v>2850.72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177.39400000000001</v>
      </c>
      <c r="G28" s="207"/>
      <c r="H28" s="207"/>
      <c r="I28" s="62"/>
      <c r="J28" s="63"/>
      <c r="K28" s="63"/>
      <c r="L28" s="208">
        <v>0</v>
      </c>
      <c r="M28" s="208">
        <v>0</v>
      </c>
      <c r="N28" s="208">
        <v>0</v>
      </c>
      <c r="O28" s="208">
        <v>2850.72</v>
      </c>
      <c r="P28" s="208">
        <v>0</v>
      </c>
      <c r="Q28" s="208">
        <v>0</v>
      </c>
      <c r="R28" s="208">
        <v>0</v>
      </c>
      <c r="S28" s="208">
        <v>0</v>
      </c>
      <c r="T28" s="208">
        <v>2850.72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177.39400000000001</v>
      </c>
      <c r="G29" s="207"/>
      <c r="H29" s="207"/>
      <c r="I29" s="62"/>
      <c r="J29" s="63"/>
      <c r="K29" s="63"/>
      <c r="L29" s="208">
        <v>0</v>
      </c>
      <c r="M29" s="208">
        <v>0</v>
      </c>
      <c r="N29" s="208">
        <v>0</v>
      </c>
      <c r="O29" s="208">
        <v>2850.72</v>
      </c>
      <c r="P29" s="208">
        <v>0</v>
      </c>
      <c r="Q29" s="208">
        <v>0</v>
      </c>
      <c r="R29" s="208">
        <v>0</v>
      </c>
      <c r="S29" s="208">
        <v>0</v>
      </c>
      <c r="T29" s="208">
        <v>2850.72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177.39400000000001</v>
      </c>
      <c r="G30" s="207"/>
      <c r="H30" s="207"/>
      <c r="I30" s="62"/>
      <c r="J30" s="63"/>
      <c r="K30" s="63"/>
      <c r="L30" s="208">
        <v>0</v>
      </c>
      <c r="M30" s="208">
        <v>0</v>
      </c>
      <c r="N30" s="208">
        <v>0</v>
      </c>
      <c r="O30" s="208">
        <v>2850.72</v>
      </c>
      <c r="P30" s="208">
        <v>0</v>
      </c>
      <c r="Q30" s="208">
        <v>0</v>
      </c>
      <c r="R30" s="208">
        <v>0</v>
      </c>
      <c r="S30" s="208">
        <v>0</v>
      </c>
      <c r="T30" s="208">
        <v>2850.72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177.39400000000001</v>
      </c>
      <c r="G31" s="207"/>
      <c r="H31" s="207"/>
      <c r="I31" s="62"/>
      <c r="J31" s="63"/>
      <c r="K31" s="63"/>
      <c r="L31" s="208">
        <v>0</v>
      </c>
      <c r="M31" s="208">
        <v>0</v>
      </c>
      <c r="N31" s="208">
        <v>0</v>
      </c>
      <c r="O31" s="208">
        <v>2850.72</v>
      </c>
      <c r="P31" s="208">
        <v>0</v>
      </c>
      <c r="Q31" s="208">
        <v>0</v>
      </c>
      <c r="R31" s="208">
        <v>0</v>
      </c>
      <c r="S31" s="208">
        <v>0</v>
      </c>
      <c r="T31" s="208">
        <v>2850.72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16</v>
      </c>
      <c r="F32" s="211">
        <v>161.39400000000001</v>
      </c>
      <c r="G32" s="207"/>
      <c r="H32" s="207"/>
      <c r="I32" s="62"/>
      <c r="J32" s="63"/>
      <c r="K32" s="63"/>
      <c r="L32" s="208">
        <v>0</v>
      </c>
      <c r="M32" s="208">
        <v>0</v>
      </c>
      <c r="N32" s="208">
        <v>2400</v>
      </c>
      <c r="O32" s="208">
        <v>2593.6</v>
      </c>
      <c r="P32" s="208">
        <v>0</v>
      </c>
      <c r="Q32" s="208">
        <v>0</v>
      </c>
      <c r="R32" s="208">
        <v>0</v>
      </c>
      <c r="S32" s="208">
        <v>0</v>
      </c>
      <c r="T32" s="208">
        <v>4993.6000000000004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161.39400000000001</v>
      </c>
      <c r="G33" s="207"/>
      <c r="H33" s="207"/>
      <c r="I33" s="62"/>
      <c r="J33" s="63"/>
      <c r="K33" s="63"/>
      <c r="L33" s="208">
        <v>0</v>
      </c>
      <c r="M33" s="208">
        <v>0</v>
      </c>
      <c r="N33" s="208">
        <v>0</v>
      </c>
      <c r="O33" s="208">
        <v>2593.6</v>
      </c>
      <c r="P33" s="208">
        <v>0</v>
      </c>
      <c r="Q33" s="208">
        <v>0</v>
      </c>
      <c r="R33" s="208">
        <v>0</v>
      </c>
      <c r="S33" s="208">
        <v>0</v>
      </c>
      <c r="T33" s="208">
        <v>2593.6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32</v>
      </c>
      <c r="F34" s="211">
        <v>129.39400000000001</v>
      </c>
      <c r="G34" s="207"/>
      <c r="H34" s="207"/>
      <c r="I34" s="62"/>
      <c r="J34" s="63"/>
      <c r="K34" s="63"/>
      <c r="L34" s="208">
        <v>0</v>
      </c>
      <c r="M34" s="208">
        <v>0</v>
      </c>
      <c r="N34" s="208">
        <v>4800</v>
      </c>
      <c r="O34" s="208">
        <v>2079.36</v>
      </c>
      <c r="P34" s="208">
        <v>0</v>
      </c>
      <c r="Q34" s="208">
        <v>0</v>
      </c>
      <c r="R34" s="208">
        <v>0</v>
      </c>
      <c r="S34" s="208">
        <v>0</v>
      </c>
      <c r="T34" s="208">
        <v>6879.36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32</v>
      </c>
      <c r="F35" s="211">
        <v>97.394000000000005</v>
      </c>
      <c r="G35" s="207"/>
      <c r="H35" s="207"/>
      <c r="I35" s="62"/>
      <c r="J35" s="63"/>
      <c r="K35" s="63"/>
      <c r="L35" s="208">
        <v>0</v>
      </c>
      <c r="M35" s="208">
        <v>0</v>
      </c>
      <c r="N35" s="208">
        <v>4800</v>
      </c>
      <c r="O35" s="208">
        <v>1565.12</v>
      </c>
      <c r="P35" s="208">
        <v>0</v>
      </c>
      <c r="Q35" s="208">
        <v>0</v>
      </c>
      <c r="R35" s="208">
        <v>0</v>
      </c>
      <c r="S35" s="208">
        <v>0</v>
      </c>
      <c r="T35" s="208">
        <v>6365.12</v>
      </c>
    </row>
    <row r="36" spans="1:20">
      <c r="D36" s="70">
        <v>0</v>
      </c>
      <c r="E36" s="70">
        <v>80</v>
      </c>
      <c r="F36" s="70">
        <v>5339.2140000000045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0</v>
      </c>
      <c r="N36" s="209">
        <v>12000</v>
      </c>
      <c r="O36" s="209">
        <v>85801.17</v>
      </c>
      <c r="P36" s="209">
        <v>0</v>
      </c>
      <c r="Q36" s="209">
        <v>0</v>
      </c>
      <c r="R36" s="209">
        <v>0</v>
      </c>
      <c r="S36" s="209">
        <v>0</v>
      </c>
      <c r="T36" s="209">
        <v>97801.17</v>
      </c>
    </row>
    <row r="37" spans="1:20">
      <c r="R37" s="73"/>
      <c r="S37" s="73"/>
      <c r="T37" s="210">
        <v>119317.43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CED3-C913-45A8-9E88-FA02227A6D4F}">
  <sheetPr codeName="Лист39"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0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0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0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0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0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0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0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0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0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0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0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0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0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0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22</v>
      </c>
      <c r="E19" s="211">
        <v>0</v>
      </c>
      <c r="F19" s="211">
        <v>22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44</v>
      </c>
      <c r="E20" s="211">
        <v>0</v>
      </c>
      <c r="F20" s="211">
        <v>66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44</v>
      </c>
      <c r="E21" s="211">
        <v>0</v>
      </c>
      <c r="F21" s="211">
        <v>110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66</v>
      </c>
      <c r="E22" s="211">
        <v>22</v>
      </c>
      <c r="F22" s="211">
        <v>154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44</v>
      </c>
      <c r="E23" s="211">
        <v>0</v>
      </c>
      <c r="F23" s="211">
        <v>198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198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198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198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198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198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198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198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22</v>
      </c>
      <c r="F31" s="211">
        <v>176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176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176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44</v>
      </c>
      <c r="F34" s="211">
        <v>132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132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220</v>
      </c>
      <c r="E36" s="70">
        <v>88</v>
      </c>
      <c r="F36" s="70">
        <v>2728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30220.38</v>
      </c>
      <c r="N36" s="209">
        <v>12868.25</v>
      </c>
      <c r="O36" s="209">
        <v>21721.95</v>
      </c>
      <c r="P36" s="209">
        <v>9431.81</v>
      </c>
      <c r="Q36" s="209">
        <v>0</v>
      </c>
      <c r="R36" s="209">
        <v>0</v>
      </c>
      <c r="S36" s="209">
        <v>0</v>
      </c>
      <c r="T36" s="209">
        <v>74242.39</v>
      </c>
    </row>
    <row r="37" spans="1:20">
      <c r="R37" s="73"/>
      <c r="S37" s="73"/>
      <c r="T37" s="210">
        <v>90575.72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5770-E266-4B98-BC98-A749B8AF75D9}">
  <sheetPr codeName="Лист40"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22</v>
      </c>
      <c r="E5" s="211">
        <v>66</v>
      </c>
      <c r="F5" s="211">
        <v>1447.5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44</v>
      </c>
      <c r="F6" s="211">
        <v>1403.5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66</v>
      </c>
      <c r="F7" s="211">
        <v>1337.5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22.5</v>
      </c>
      <c r="E8" s="211">
        <v>66</v>
      </c>
      <c r="F8" s="211">
        <v>1294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22.5</v>
      </c>
      <c r="E9" s="211">
        <v>44</v>
      </c>
      <c r="F9" s="211">
        <v>1272.5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88</v>
      </c>
      <c r="E10" s="211">
        <v>44</v>
      </c>
      <c r="F10" s="211">
        <v>1316.5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1316.5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22</v>
      </c>
      <c r="F12" s="211">
        <v>1294.5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112.5</v>
      </c>
      <c r="E13" s="211">
        <v>44</v>
      </c>
      <c r="F13" s="211">
        <v>1363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88</v>
      </c>
      <c r="F14" s="211">
        <v>1275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66</v>
      </c>
      <c r="E15" s="211">
        <v>22</v>
      </c>
      <c r="F15" s="211">
        <v>1319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22</v>
      </c>
      <c r="E16" s="211">
        <v>44</v>
      </c>
      <c r="F16" s="211">
        <v>1297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66</v>
      </c>
      <c r="F17" s="211">
        <v>1231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44</v>
      </c>
      <c r="F18" s="211">
        <v>1187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44</v>
      </c>
      <c r="E19" s="211">
        <v>44</v>
      </c>
      <c r="F19" s="211">
        <v>1187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22</v>
      </c>
      <c r="E20" s="211">
        <v>88</v>
      </c>
      <c r="F20" s="211">
        <v>1121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44</v>
      </c>
      <c r="F21" s="211">
        <v>1077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22</v>
      </c>
      <c r="F22" s="211">
        <v>1055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66</v>
      </c>
      <c r="F23" s="211">
        <v>989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88</v>
      </c>
      <c r="E24" s="211">
        <v>22</v>
      </c>
      <c r="F24" s="211">
        <v>1055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22</v>
      </c>
      <c r="E25" s="211">
        <v>44</v>
      </c>
      <c r="F25" s="211">
        <v>1033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22</v>
      </c>
      <c r="F26" s="211">
        <v>1011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44</v>
      </c>
      <c r="F27" s="211">
        <v>967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22</v>
      </c>
      <c r="F28" s="211">
        <v>945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22</v>
      </c>
      <c r="F29" s="211">
        <v>923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88</v>
      </c>
      <c r="E30" s="211">
        <v>44</v>
      </c>
      <c r="F30" s="211">
        <v>967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44</v>
      </c>
      <c r="F31" s="211">
        <v>923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923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22</v>
      </c>
      <c r="F33" s="211">
        <v>901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44</v>
      </c>
      <c r="F34" s="211">
        <v>857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44</v>
      </c>
      <c r="F35" s="211">
        <v>813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619.5</v>
      </c>
      <c r="E36" s="70">
        <v>1298</v>
      </c>
      <c r="F36" s="70">
        <v>35101.5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85097.85</v>
      </c>
      <c r="N36" s="209">
        <v>189806.69</v>
      </c>
      <c r="O36" s="209">
        <v>279498.96999999997</v>
      </c>
      <c r="P36" s="209">
        <v>121360.16</v>
      </c>
      <c r="Q36" s="209">
        <v>0</v>
      </c>
      <c r="R36" s="209">
        <v>0</v>
      </c>
      <c r="S36" s="209">
        <v>0</v>
      </c>
      <c r="T36" s="209">
        <v>675763.67</v>
      </c>
    </row>
    <row r="37" spans="1:20">
      <c r="R37" s="73"/>
      <c r="S37" s="73"/>
      <c r="T37" s="210">
        <v>824431.68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E637-E9A0-4689-ABA3-03D32C7526E6}">
  <sheetPr codeName="Лист41"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1" width="9.28515625" style="47" bestFit="1" customWidth="1"/>
    <col min="2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7109375" style="47" bestFit="1" customWidth="1"/>
    <col min="10" max="10" width="9.5703125" style="47" bestFit="1" customWidth="1"/>
    <col min="11" max="11" width="9.28515625" style="47" bestFit="1" customWidth="1"/>
    <col min="12" max="12" width="9.5703125" style="47" bestFit="1" customWidth="1"/>
    <col min="13" max="13" width="15.140625" style="47" customWidth="1"/>
    <col min="14" max="14" width="13.5703125" style="47" customWidth="1"/>
    <col min="15" max="15" width="14.5703125" style="47" customWidth="1"/>
    <col min="16" max="16" width="14.710937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154</v>
      </c>
      <c r="E5" s="211">
        <v>0</v>
      </c>
      <c r="F5" s="211">
        <v>10398.657999999999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264</v>
      </c>
      <c r="E6" s="211">
        <v>0</v>
      </c>
      <c r="F6" s="211">
        <v>10662.657999999999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309</v>
      </c>
      <c r="E7" s="211">
        <v>37.125</v>
      </c>
      <c r="F7" s="211">
        <v>10934.532999999999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222</v>
      </c>
      <c r="E8" s="211">
        <v>66.375</v>
      </c>
      <c r="F8" s="211">
        <v>11090.157999999999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467</v>
      </c>
      <c r="E9" s="211">
        <v>155.80000000000001</v>
      </c>
      <c r="F9" s="211">
        <v>11401.358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433.87599999999998</v>
      </c>
      <c r="E10" s="211">
        <v>113.25</v>
      </c>
      <c r="F10" s="211">
        <v>11721.984</v>
      </c>
      <c r="G10" s="207">
        <v>0</v>
      </c>
      <c r="H10" s="207">
        <v>0</v>
      </c>
      <c r="I10" s="62">
        <v>0</v>
      </c>
      <c r="J10" s="62">
        <v>12.45</v>
      </c>
      <c r="K10" s="63">
        <v>12.875999999999999</v>
      </c>
      <c r="L10" s="208">
        <v>1158.8399999999999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1494</v>
      </c>
      <c r="T10" s="208">
        <v>2652.84</v>
      </c>
    </row>
    <row r="11" spans="1:20">
      <c r="A11" s="65">
        <v>7</v>
      </c>
      <c r="B11" s="77" t="s">
        <v>203</v>
      </c>
      <c r="C11" s="78"/>
      <c r="D11" s="211">
        <v>421.5</v>
      </c>
      <c r="E11" s="211">
        <v>241.125</v>
      </c>
      <c r="F11" s="211">
        <v>11902.359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532</v>
      </c>
      <c r="E12" s="211">
        <v>242.25</v>
      </c>
      <c r="F12" s="211">
        <v>12192.109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463.5</v>
      </c>
      <c r="E13" s="211">
        <v>72.5</v>
      </c>
      <c r="F13" s="211">
        <v>12583.109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332</v>
      </c>
      <c r="E14" s="211">
        <v>154</v>
      </c>
      <c r="F14" s="211">
        <v>12761.109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220.875</v>
      </c>
      <c r="E15" s="211">
        <v>246.75</v>
      </c>
      <c r="F15" s="211">
        <v>12735.234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266.35000000000002</v>
      </c>
      <c r="E16" s="211">
        <v>317.875</v>
      </c>
      <c r="F16" s="211">
        <v>12683.709000000001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265.25</v>
      </c>
      <c r="E17" s="211">
        <v>473.375</v>
      </c>
      <c r="F17" s="211">
        <v>12475.584000000001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330.125</v>
      </c>
      <c r="E18" s="211">
        <v>199.375</v>
      </c>
      <c r="F18" s="211">
        <v>12606.334000000001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332.375</v>
      </c>
      <c r="E19" s="211">
        <v>132.5</v>
      </c>
      <c r="F19" s="211">
        <v>12806.209000000001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308.5</v>
      </c>
      <c r="E20" s="211">
        <v>74.424999999999997</v>
      </c>
      <c r="F20" s="211">
        <v>13040.284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420.375</v>
      </c>
      <c r="E21" s="211">
        <v>272.375</v>
      </c>
      <c r="F21" s="211">
        <v>13188.284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332</v>
      </c>
      <c r="E22" s="211">
        <v>282.3</v>
      </c>
      <c r="F22" s="211">
        <v>13237.984</v>
      </c>
      <c r="G22" s="207">
        <v>0</v>
      </c>
      <c r="H22" s="207">
        <v>0</v>
      </c>
      <c r="I22" s="62">
        <v>22.5</v>
      </c>
      <c r="J22" s="62">
        <v>22.5</v>
      </c>
      <c r="K22" s="63">
        <v>22.5</v>
      </c>
      <c r="L22" s="208">
        <v>2025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21375</v>
      </c>
      <c r="S22" s="208">
        <v>2700</v>
      </c>
      <c r="T22" s="208">
        <v>26100</v>
      </c>
    </row>
    <row r="23" spans="1:20">
      <c r="A23" s="65">
        <v>19</v>
      </c>
      <c r="B23" s="77" t="s">
        <v>215</v>
      </c>
      <c r="C23" s="78"/>
      <c r="D23" s="211">
        <v>176.5</v>
      </c>
      <c r="E23" s="211">
        <v>286.77499999999998</v>
      </c>
      <c r="F23" s="211">
        <v>13127.709000000001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175.1</v>
      </c>
      <c r="E24" s="211">
        <v>263.5</v>
      </c>
      <c r="F24" s="211">
        <v>13039.308999999999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44.5</v>
      </c>
      <c r="E25" s="211">
        <v>249.375</v>
      </c>
      <c r="F25" s="211">
        <v>12834.433999999999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175.75</v>
      </c>
      <c r="F26" s="211">
        <v>12658.683999999999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359.67500000000001</v>
      </c>
      <c r="F27" s="211">
        <v>12299.009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248.15</v>
      </c>
      <c r="F28" s="211">
        <v>12050.859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220</v>
      </c>
      <c r="E29" s="211">
        <v>293.75</v>
      </c>
      <c r="F29" s="211">
        <v>11977.109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110</v>
      </c>
      <c r="E30" s="211">
        <v>175.25</v>
      </c>
      <c r="F30" s="211">
        <v>11911.859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88</v>
      </c>
      <c r="E31" s="211">
        <v>245.25</v>
      </c>
      <c r="F31" s="211">
        <v>11754.609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176</v>
      </c>
      <c r="E32" s="211">
        <v>265.5</v>
      </c>
      <c r="F32" s="211">
        <v>11665.109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264</v>
      </c>
      <c r="E33" s="211">
        <v>88</v>
      </c>
      <c r="F33" s="211">
        <v>11841.109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110.02500000000001</v>
      </c>
      <c r="E34" s="211">
        <v>464.375</v>
      </c>
      <c r="F34" s="211">
        <v>11486.759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132</v>
      </c>
      <c r="E35" s="211">
        <v>317.75</v>
      </c>
      <c r="F35" s="211">
        <v>11301.009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7570.8510000000006</v>
      </c>
      <c r="E36" s="70">
        <v>6514.5</v>
      </c>
      <c r="F36" s="70">
        <v>376369.22399999999</v>
      </c>
      <c r="G36" s="70">
        <v>0</v>
      </c>
      <c r="H36" s="70">
        <v>0</v>
      </c>
      <c r="I36" s="70">
        <v>22.5</v>
      </c>
      <c r="J36" s="70">
        <v>34.950000000000003</v>
      </c>
      <c r="K36" s="70">
        <v>35.375999999999998</v>
      </c>
      <c r="L36" s="209">
        <v>3183.84</v>
      </c>
      <c r="M36" s="209">
        <v>1039972.77</v>
      </c>
      <c r="N36" s="209">
        <v>952616.06</v>
      </c>
      <c r="O36" s="209">
        <v>2996875.08</v>
      </c>
      <c r="P36" s="209">
        <v>1301261.46</v>
      </c>
      <c r="Q36" s="209">
        <v>0</v>
      </c>
      <c r="R36" s="209">
        <v>21375</v>
      </c>
      <c r="S36" s="209">
        <v>4194</v>
      </c>
      <c r="T36" s="209">
        <v>6319478.21</v>
      </c>
    </row>
    <row r="37" spans="1:20">
      <c r="R37" s="73"/>
      <c r="S37" s="73"/>
      <c r="T37" s="210">
        <v>7709763.4199999999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97D8-4807-418B-B862-8AC16738D1C4}">
  <sheetPr codeName="Лист42">
    <pageSetUpPr fitToPage="1"/>
  </sheetPr>
  <dimension ref="A1:T37"/>
  <sheetViews>
    <sheetView topLeftCell="A13" workbookViewId="0">
      <selection activeCell="O37" sqref="O37"/>
    </sheetView>
  </sheetViews>
  <sheetFormatPr defaultRowHeight="15"/>
  <cols>
    <col min="1" max="3" width="9.140625" style="47"/>
    <col min="4" max="5" width="9.42578125" style="47" bestFit="1" customWidth="1"/>
    <col min="6" max="6" width="12.42578125" style="47" customWidth="1"/>
    <col min="7" max="7" width="10.5703125" style="47" bestFit="1" customWidth="1"/>
    <col min="8" max="8" width="9.5703125" style="47" bestFit="1" customWidth="1"/>
    <col min="9" max="9" width="10.5703125" style="47" bestFit="1" customWidth="1"/>
    <col min="10" max="12" width="9.140625" style="47"/>
    <col min="13" max="13" width="14.140625" style="47" customWidth="1"/>
    <col min="14" max="14" width="13.5703125" style="47" customWidth="1"/>
    <col min="15" max="15" width="17.5703125" style="47" customWidth="1"/>
    <col min="16" max="16" width="15.85546875" style="47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279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280</v>
      </c>
      <c r="H3" s="49" t="s">
        <v>6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192</v>
      </c>
      <c r="N3" s="49" t="s">
        <v>193</v>
      </c>
      <c r="O3" s="49" t="s">
        <v>281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352</v>
      </c>
      <c r="E5" s="211">
        <v>22</v>
      </c>
      <c r="F5" s="211">
        <v>13795.887000000001</v>
      </c>
      <c r="G5" s="207">
        <v>0</v>
      </c>
      <c r="H5" s="207">
        <v>0</v>
      </c>
      <c r="I5" s="62">
        <v>0</v>
      </c>
      <c r="J5" s="63">
        <v>0</v>
      </c>
      <c r="K5" s="63"/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286</v>
      </c>
      <c r="E6" s="211">
        <v>22</v>
      </c>
      <c r="F6" s="211">
        <v>14059.887000000001</v>
      </c>
      <c r="G6" s="207">
        <v>0</v>
      </c>
      <c r="H6" s="207">
        <v>0</v>
      </c>
      <c r="I6" s="62">
        <v>0</v>
      </c>
      <c r="J6" s="63">
        <v>0</v>
      </c>
      <c r="K6" s="63"/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110</v>
      </c>
      <c r="E7" s="211">
        <v>8.25</v>
      </c>
      <c r="F7" s="211">
        <v>14161.637000000001</v>
      </c>
      <c r="G7" s="207">
        <v>0</v>
      </c>
      <c r="H7" s="207">
        <v>0</v>
      </c>
      <c r="I7" s="62">
        <v>0</v>
      </c>
      <c r="J7" s="63">
        <v>0</v>
      </c>
      <c r="K7" s="63"/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66</v>
      </c>
      <c r="E8" s="211">
        <v>27.5</v>
      </c>
      <c r="F8" s="211">
        <v>14200.137000000001</v>
      </c>
      <c r="G8" s="207">
        <v>0</v>
      </c>
      <c r="H8" s="207">
        <v>0</v>
      </c>
      <c r="I8" s="62">
        <v>0</v>
      </c>
      <c r="J8" s="63">
        <v>0</v>
      </c>
      <c r="K8" s="63"/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66</v>
      </c>
      <c r="F9" s="211">
        <v>14134.137000000001</v>
      </c>
      <c r="G9" s="207">
        <v>0</v>
      </c>
      <c r="H9" s="207">
        <v>0</v>
      </c>
      <c r="I9" s="62">
        <v>0</v>
      </c>
      <c r="J9" s="63">
        <v>0</v>
      </c>
      <c r="K9" s="63"/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88</v>
      </c>
      <c r="F10" s="211">
        <v>14046.137000000001</v>
      </c>
      <c r="G10" s="207">
        <v>0</v>
      </c>
      <c r="H10" s="207">
        <v>0</v>
      </c>
      <c r="I10" s="62">
        <v>0</v>
      </c>
      <c r="J10" s="63">
        <v>0</v>
      </c>
      <c r="K10" s="63"/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176</v>
      </c>
      <c r="E11" s="211">
        <v>0</v>
      </c>
      <c r="F11" s="211">
        <v>14222.137000000001</v>
      </c>
      <c r="G11" s="207">
        <v>0</v>
      </c>
      <c r="H11" s="207">
        <v>0</v>
      </c>
      <c r="I11" s="62">
        <v>0</v>
      </c>
      <c r="J11" s="63">
        <v>0</v>
      </c>
      <c r="K11" s="63"/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66</v>
      </c>
      <c r="E12" s="211">
        <v>154</v>
      </c>
      <c r="F12" s="211">
        <v>14134.137000000001</v>
      </c>
      <c r="G12" s="207">
        <v>0</v>
      </c>
      <c r="H12" s="207">
        <v>0</v>
      </c>
      <c r="I12" s="62">
        <v>0</v>
      </c>
      <c r="J12" s="63">
        <v>0</v>
      </c>
      <c r="K12" s="63"/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110</v>
      </c>
      <c r="F13" s="211">
        <v>14024.137000000001</v>
      </c>
      <c r="G13" s="207">
        <v>0</v>
      </c>
      <c r="H13" s="207">
        <v>0</v>
      </c>
      <c r="I13" s="62">
        <v>0</v>
      </c>
      <c r="J13" s="63">
        <v>0</v>
      </c>
      <c r="K13" s="63"/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57.75</v>
      </c>
      <c r="F14" s="211">
        <v>13966.387000000001</v>
      </c>
      <c r="G14" s="207">
        <v>0</v>
      </c>
      <c r="H14" s="207">
        <v>0</v>
      </c>
      <c r="I14" s="62">
        <v>0</v>
      </c>
      <c r="J14" s="63">
        <v>0</v>
      </c>
      <c r="K14" s="63"/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308</v>
      </c>
      <c r="E15" s="211">
        <v>100.125</v>
      </c>
      <c r="F15" s="211">
        <v>14174.262000000001</v>
      </c>
      <c r="G15" s="207">
        <v>0</v>
      </c>
      <c r="H15" s="207">
        <v>0</v>
      </c>
      <c r="I15" s="62">
        <v>0</v>
      </c>
      <c r="J15" s="63">
        <v>0</v>
      </c>
      <c r="K15" s="63"/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396</v>
      </c>
      <c r="E16" s="211">
        <v>132.4</v>
      </c>
      <c r="F16" s="211">
        <v>14437.861999999999</v>
      </c>
      <c r="G16" s="207">
        <v>0</v>
      </c>
      <c r="H16" s="207">
        <v>0</v>
      </c>
      <c r="I16" s="62">
        <v>0</v>
      </c>
      <c r="J16" s="63">
        <v>0</v>
      </c>
      <c r="K16" s="68"/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132</v>
      </c>
      <c r="E17" s="211">
        <v>88</v>
      </c>
      <c r="F17" s="211">
        <v>14481.861999999999</v>
      </c>
      <c r="G17" s="207">
        <v>0</v>
      </c>
      <c r="H17" s="207">
        <v>0</v>
      </c>
      <c r="I17" s="62">
        <v>0</v>
      </c>
      <c r="J17" s="63">
        <v>0</v>
      </c>
      <c r="K17" s="63"/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220</v>
      </c>
      <c r="E18" s="211">
        <v>110</v>
      </c>
      <c r="F18" s="211">
        <v>14591.861999999999</v>
      </c>
      <c r="G18" s="207">
        <v>0</v>
      </c>
      <c r="H18" s="207">
        <v>0</v>
      </c>
      <c r="I18" s="62">
        <v>0</v>
      </c>
      <c r="J18" s="63">
        <v>0</v>
      </c>
      <c r="K18" s="63"/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264</v>
      </c>
      <c r="E19" s="211">
        <v>110</v>
      </c>
      <c r="F19" s="211">
        <v>14745.861999999999</v>
      </c>
      <c r="G19" s="207">
        <v>0</v>
      </c>
      <c r="H19" s="207">
        <v>0</v>
      </c>
      <c r="I19" s="62">
        <v>0</v>
      </c>
      <c r="J19" s="63">
        <v>0</v>
      </c>
      <c r="K19" s="63"/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154</v>
      </c>
      <c r="E20" s="211">
        <v>161.92500000000001</v>
      </c>
      <c r="F20" s="211">
        <v>14737.937</v>
      </c>
      <c r="G20" s="207">
        <v>0</v>
      </c>
      <c r="H20" s="207">
        <v>0</v>
      </c>
      <c r="I20" s="62">
        <v>0</v>
      </c>
      <c r="J20" s="63">
        <v>0</v>
      </c>
      <c r="K20" s="63"/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154</v>
      </c>
      <c r="E21" s="211">
        <v>145.85</v>
      </c>
      <c r="F21" s="211">
        <v>14746.087</v>
      </c>
      <c r="G21" s="207">
        <v>0</v>
      </c>
      <c r="H21" s="207">
        <v>0</v>
      </c>
      <c r="I21" s="62">
        <v>0</v>
      </c>
      <c r="J21" s="63">
        <v>0</v>
      </c>
      <c r="K21" s="63"/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154</v>
      </c>
      <c r="E22" s="211">
        <v>200.75</v>
      </c>
      <c r="F22" s="211">
        <v>14699.337</v>
      </c>
      <c r="G22" s="207">
        <v>0</v>
      </c>
      <c r="H22" s="207">
        <v>0</v>
      </c>
      <c r="I22" s="62">
        <v>0</v>
      </c>
      <c r="J22" s="63">
        <v>0</v>
      </c>
      <c r="K22" s="63"/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110</v>
      </c>
      <c r="E23" s="211">
        <v>112.75</v>
      </c>
      <c r="F23" s="211">
        <v>14696.587</v>
      </c>
      <c r="G23" s="207">
        <v>0</v>
      </c>
      <c r="H23" s="207">
        <v>0</v>
      </c>
      <c r="I23" s="62">
        <v>0</v>
      </c>
      <c r="J23" s="63">
        <v>0</v>
      </c>
      <c r="K23" s="63"/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132</v>
      </c>
      <c r="E24" s="211">
        <v>244.75</v>
      </c>
      <c r="F24" s="211">
        <v>14583.837</v>
      </c>
      <c r="G24" s="207">
        <v>0</v>
      </c>
      <c r="H24" s="207">
        <v>0</v>
      </c>
      <c r="I24" s="62">
        <v>0</v>
      </c>
      <c r="J24" s="63">
        <v>0</v>
      </c>
      <c r="K24" s="63"/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306.75</v>
      </c>
      <c r="F25" s="211">
        <v>14277.087</v>
      </c>
      <c r="G25" s="207">
        <v>0</v>
      </c>
      <c r="H25" s="207">
        <v>0</v>
      </c>
      <c r="I25" s="62">
        <v>0</v>
      </c>
      <c r="J25" s="63">
        <v>0</v>
      </c>
      <c r="K25" s="63"/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184.25</v>
      </c>
      <c r="F26" s="211">
        <v>14092.837</v>
      </c>
      <c r="G26" s="207">
        <v>0</v>
      </c>
      <c r="H26" s="207">
        <v>0</v>
      </c>
      <c r="I26" s="62">
        <v>0</v>
      </c>
      <c r="J26" s="63">
        <v>0</v>
      </c>
      <c r="K26" s="63"/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66</v>
      </c>
      <c r="E27" s="211">
        <v>283.25</v>
      </c>
      <c r="F27" s="211">
        <v>13875.587</v>
      </c>
      <c r="G27" s="207">
        <v>0</v>
      </c>
      <c r="H27" s="207">
        <v>0</v>
      </c>
      <c r="I27" s="62">
        <v>0</v>
      </c>
      <c r="J27" s="63">
        <v>0</v>
      </c>
      <c r="K27" s="63"/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44</v>
      </c>
      <c r="E28" s="211">
        <v>176</v>
      </c>
      <c r="F28" s="211">
        <v>13743.587</v>
      </c>
      <c r="G28" s="207">
        <v>0</v>
      </c>
      <c r="H28" s="207">
        <v>0</v>
      </c>
      <c r="I28" s="62">
        <v>0</v>
      </c>
      <c r="J28" s="63">
        <v>0</v>
      </c>
      <c r="K28" s="63"/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261.75</v>
      </c>
      <c r="F29" s="211">
        <v>13481.837</v>
      </c>
      <c r="G29" s="207">
        <v>0</v>
      </c>
      <c r="H29" s="207">
        <v>0</v>
      </c>
      <c r="I29" s="62">
        <v>0</v>
      </c>
      <c r="J29" s="63">
        <v>0</v>
      </c>
      <c r="K29" s="63"/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341</v>
      </c>
      <c r="F30" s="211">
        <v>13140.837</v>
      </c>
      <c r="G30" s="207">
        <v>0</v>
      </c>
      <c r="H30" s="207">
        <v>0</v>
      </c>
      <c r="I30" s="62">
        <v>0</v>
      </c>
      <c r="J30" s="63">
        <v>0</v>
      </c>
      <c r="K30" s="63"/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66</v>
      </c>
      <c r="E31" s="211">
        <v>165.1</v>
      </c>
      <c r="F31" s="211">
        <v>13041.736999999999</v>
      </c>
      <c r="G31" s="207">
        <v>0</v>
      </c>
      <c r="H31" s="207">
        <v>0</v>
      </c>
      <c r="I31" s="62">
        <v>0</v>
      </c>
      <c r="J31" s="63">
        <v>0</v>
      </c>
      <c r="K31" s="63"/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132</v>
      </c>
      <c r="E32" s="211">
        <v>209</v>
      </c>
      <c r="F32" s="211">
        <v>12964.736999999999</v>
      </c>
      <c r="G32" s="207">
        <v>0</v>
      </c>
      <c r="H32" s="207">
        <v>0</v>
      </c>
      <c r="I32" s="62">
        <v>0</v>
      </c>
      <c r="J32" s="63">
        <v>0</v>
      </c>
      <c r="K32" s="63"/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108.625</v>
      </c>
      <c r="F33" s="211">
        <v>12856.111999999999</v>
      </c>
      <c r="G33" s="207">
        <v>0</v>
      </c>
      <c r="H33" s="207">
        <v>0</v>
      </c>
      <c r="I33" s="62">
        <v>0</v>
      </c>
      <c r="J33" s="63">
        <v>0</v>
      </c>
      <c r="K33" s="63"/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176</v>
      </c>
      <c r="E34" s="211">
        <v>226.875</v>
      </c>
      <c r="F34" s="211">
        <v>12805.236999999999</v>
      </c>
      <c r="G34" s="207">
        <v>0</v>
      </c>
      <c r="H34" s="207">
        <v>0</v>
      </c>
      <c r="I34" s="62">
        <v>0</v>
      </c>
      <c r="J34" s="63">
        <v>0</v>
      </c>
      <c r="K34" s="63"/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330</v>
      </c>
      <c r="E35" s="211">
        <v>154</v>
      </c>
      <c r="F35" s="211">
        <v>12981.236999999999</v>
      </c>
      <c r="G35" s="207">
        <v>0</v>
      </c>
      <c r="H35" s="207">
        <v>0</v>
      </c>
      <c r="I35" s="62">
        <v>0</v>
      </c>
      <c r="J35" s="63">
        <v>0</v>
      </c>
      <c r="K35" s="63"/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3894</v>
      </c>
      <c r="E36" s="70">
        <v>4378.6499999999996</v>
      </c>
      <c r="F36" s="70">
        <v>433900.94700000004</v>
      </c>
      <c r="G36" s="70">
        <v>0</v>
      </c>
      <c r="H36" s="70">
        <v>0</v>
      </c>
      <c r="I36" s="70">
        <v>0</v>
      </c>
      <c r="J36" s="71">
        <v>0</v>
      </c>
      <c r="K36" s="71">
        <v>0</v>
      </c>
      <c r="L36" s="209">
        <v>0</v>
      </c>
      <c r="M36" s="209">
        <v>1172376</v>
      </c>
      <c r="N36" s="209">
        <v>1172376</v>
      </c>
      <c r="O36" s="209">
        <v>12772098.74</v>
      </c>
      <c r="P36" s="209">
        <v>0</v>
      </c>
      <c r="Q36" s="209">
        <v>0</v>
      </c>
      <c r="R36" s="209">
        <v>0</v>
      </c>
      <c r="S36" s="209">
        <v>0</v>
      </c>
      <c r="T36" s="209">
        <v>15116850.74</v>
      </c>
    </row>
    <row r="37" spans="1:20">
      <c r="R37" s="73"/>
      <c r="S37" s="73"/>
      <c r="T37" s="210">
        <v>18442557.899999999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73D6-6FBC-4607-8FF2-551603721125}">
  <sheetPr codeName="Лист43">
    <pageSetUpPr fitToPage="1"/>
  </sheetPr>
  <dimension ref="A1:T37"/>
  <sheetViews>
    <sheetView topLeftCell="A13" workbookViewId="0">
      <selection activeCell="O37" sqref="O37"/>
    </sheetView>
  </sheetViews>
  <sheetFormatPr defaultRowHeight="15"/>
  <cols>
    <col min="1" max="3" width="9.140625" style="47"/>
    <col min="4" max="5" width="9.42578125" style="47" bestFit="1" customWidth="1"/>
    <col min="6" max="6" width="12.42578125" style="47" customWidth="1"/>
    <col min="7" max="7" width="10.5703125" style="47" bestFit="1" customWidth="1"/>
    <col min="8" max="8" width="9.5703125" style="47" bestFit="1" customWidth="1"/>
    <col min="9" max="9" width="10.5703125" style="47" bestFit="1" customWidth="1"/>
    <col min="10" max="12" width="9.140625" style="47"/>
    <col min="13" max="13" width="14.140625" style="47" customWidth="1"/>
    <col min="14" max="14" width="13.5703125" style="47" customWidth="1"/>
    <col min="15" max="15" width="17.5703125" style="47" customWidth="1"/>
    <col min="16" max="16" width="15.85546875" style="47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282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280</v>
      </c>
      <c r="H3" s="49" t="s">
        <v>6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192</v>
      </c>
      <c r="N3" s="49" t="s">
        <v>193</v>
      </c>
      <c r="O3" s="49" t="s">
        <v>281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10.5</v>
      </c>
      <c r="G5" s="207">
        <v>0</v>
      </c>
      <c r="H5" s="207">
        <v>0</v>
      </c>
      <c r="I5" s="62">
        <v>0</v>
      </c>
      <c r="J5" s="63">
        <v>0</v>
      </c>
      <c r="K5" s="63"/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10.5</v>
      </c>
      <c r="G6" s="207">
        <v>0</v>
      </c>
      <c r="H6" s="207">
        <v>0</v>
      </c>
      <c r="I6" s="62">
        <v>0</v>
      </c>
      <c r="J6" s="63">
        <v>0</v>
      </c>
      <c r="K6" s="63"/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10.5</v>
      </c>
      <c r="G7" s="207">
        <v>0</v>
      </c>
      <c r="H7" s="207">
        <v>0</v>
      </c>
      <c r="I7" s="62">
        <v>0</v>
      </c>
      <c r="J7" s="63">
        <v>0</v>
      </c>
      <c r="K7" s="63"/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10.5</v>
      </c>
      <c r="G8" s="207">
        <v>0</v>
      </c>
      <c r="H8" s="207">
        <v>0</v>
      </c>
      <c r="I8" s="62">
        <v>0</v>
      </c>
      <c r="J8" s="63">
        <v>0</v>
      </c>
      <c r="K8" s="63"/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10.5</v>
      </c>
      <c r="G9" s="207">
        <v>0</v>
      </c>
      <c r="H9" s="207">
        <v>0</v>
      </c>
      <c r="I9" s="62">
        <v>0</v>
      </c>
      <c r="J9" s="63">
        <v>0</v>
      </c>
      <c r="K9" s="63"/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10.5</v>
      </c>
      <c r="G10" s="207">
        <v>0</v>
      </c>
      <c r="H10" s="207">
        <v>0</v>
      </c>
      <c r="I10" s="62">
        <v>0</v>
      </c>
      <c r="J10" s="63">
        <v>0</v>
      </c>
      <c r="K10" s="63"/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10.5</v>
      </c>
      <c r="G11" s="207">
        <v>0</v>
      </c>
      <c r="H11" s="207">
        <v>0</v>
      </c>
      <c r="I11" s="62">
        <v>0</v>
      </c>
      <c r="J11" s="63">
        <v>0</v>
      </c>
      <c r="K11" s="63"/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10.5</v>
      </c>
      <c r="G12" s="207">
        <v>0</v>
      </c>
      <c r="H12" s="207">
        <v>0</v>
      </c>
      <c r="I12" s="62">
        <v>0</v>
      </c>
      <c r="J12" s="63">
        <v>0</v>
      </c>
      <c r="K12" s="63"/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10.5</v>
      </c>
      <c r="G13" s="207">
        <v>0</v>
      </c>
      <c r="H13" s="207">
        <v>0</v>
      </c>
      <c r="I13" s="62">
        <v>0</v>
      </c>
      <c r="J13" s="63">
        <v>0</v>
      </c>
      <c r="K13" s="63"/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10.5</v>
      </c>
      <c r="G14" s="207">
        <v>0</v>
      </c>
      <c r="H14" s="207">
        <v>0</v>
      </c>
      <c r="I14" s="62">
        <v>0</v>
      </c>
      <c r="J14" s="63">
        <v>0</v>
      </c>
      <c r="K14" s="63"/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10.5</v>
      </c>
      <c r="G15" s="207">
        <v>0</v>
      </c>
      <c r="H15" s="207">
        <v>0</v>
      </c>
      <c r="I15" s="62">
        <v>0</v>
      </c>
      <c r="J15" s="63">
        <v>0</v>
      </c>
      <c r="K15" s="63"/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10.5</v>
      </c>
      <c r="G16" s="207">
        <v>0</v>
      </c>
      <c r="H16" s="207">
        <v>0</v>
      </c>
      <c r="I16" s="62">
        <v>0</v>
      </c>
      <c r="J16" s="63">
        <v>0</v>
      </c>
      <c r="K16" s="68"/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10.5</v>
      </c>
      <c r="G17" s="207">
        <v>0</v>
      </c>
      <c r="H17" s="207">
        <v>0</v>
      </c>
      <c r="I17" s="62">
        <v>0</v>
      </c>
      <c r="J17" s="63">
        <v>0</v>
      </c>
      <c r="K17" s="63"/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10.5</v>
      </c>
      <c r="G18" s="207">
        <v>0</v>
      </c>
      <c r="H18" s="207">
        <v>0</v>
      </c>
      <c r="I18" s="62">
        <v>0</v>
      </c>
      <c r="J18" s="63">
        <v>0</v>
      </c>
      <c r="K18" s="63"/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10.5</v>
      </c>
      <c r="G19" s="207">
        <v>0</v>
      </c>
      <c r="H19" s="207">
        <v>0</v>
      </c>
      <c r="I19" s="62">
        <v>0</v>
      </c>
      <c r="J19" s="63">
        <v>0</v>
      </c>
      <c r="K19" s="63"/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10.5</v>
      </c>
      <c r="G20" s="207">
        <v>0</v>
      </c>
      <c r="H20" s="207">
        <v>0</v>
      </c>
      <c r="I20" s="62">
        <v>0</v>
      </c>
      <c r="J20" s="63">
        <v>0</v>
      </c>
      <c r="K20" s="63"/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10.5</v>
      </c>
      <c r="G21" s="207">
        <v>0</v>
      </c>
      <c r="H21" s="207">
        <v>0</v>
      </c>
      <c r="I21" s="62">
        <v>0</v>
      </c>
      <c r="J21" s="63">
        <v>0</v>
      </c>
      <c r="K21" s="63"/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10.5</v>
      </c>
      <c r="G22" s="207">
        <v>0</v>
      </c>
      <c r="H22" s="207">
        <v>0</v>
      </c>
      <c r="I22" s="62">
        <v>0</v>
      </c>
      <c r="J22" s="63">
        <v>0</v>
      </c>
      <c r="K22" s="63"/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10.5</v>
      </c>
      <c r="G23" s="207">
        <v>0</v>
      </c>
      <c r="H23" s="207">
        <v>0</v>
      </c>
      <c r="I23" s="62">
        <v>0</v>
      </c>
      <c r="J23" s="63">
        <v>0</v>
      </c>
      <c r="K23" s="63"/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10.5</v>
      </c>
      <c r="G24" s="207">
        <v>0</v>
      </c>
      <c r="H24" s="207">
        <v>0</v>
      </c>
      <c r="I24" s="62">
        <v>0</v>
      </c>
      <c r="J24" s="63">
        <v>0</v>
      </c>
      <c r="K24" s="63"/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10.5</v>
      </c>
      <c r="G25" s="207">
        <v>0</v>
      </c>
      <c r="H25" s="207">
        <v>0</v>
      </c>
      <c r="I25" s="62">
        <v>0</v>
      </c>
      <c r="J25" s="63">
        <v>0</v>
      </c>
      <c r="K25" s="63"/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10.5</v>
      </c>
      <c r="G26" s="207">
        <v>0</v>
      </c>
      <c r="H26" s="207">
        <v>0</v>
      </c>
      <c r="I26" s="62">
        <v>0</v>
      </c>
      <c r="J26" s="63">
        <v>0</v>
      </c>
      <c r="K26" s="63"/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10.5</v>
      </c>
      <c r="G27" s="207">
        <v>0</v>
      </c>
      <c r="H27" s="207">
        <v>0</v>
      </c>
      <c r="I27" s="62">
        <v>0</v>
      </c>
      <c r="J27" s="63">
        <v>0</v>
      </c>
      <c r="K27" s="63"/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10.5</v>
      </c>
      <c r="G28" s="207">
        <v>0</v>
      </c>
      <c r="H28" s="207">
        <v>0</v>
      </c>
      <c r="I28" s="62">
        <v>0</v>
      </c>
      <c r="J28" s="63">
        <v>0</v>
      </c>
      <c r="K28" s="63"/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10.5</v>
      </c>
      <c r="G29" s="207">
        <v>0</v>
      </c>
      <c r="H29" s="207">
        <v>0</v>
      </c>
      <c r="I29" s="62">
        <v>0</v>
      </c>
      <c r="J29" s="63">
        <v>0</v>
      </c>
      <c r="K29" s="63"/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10.5</v>
      </c>
      <c r="G30" s="207">
        <v>0</v>
      </c>
      <c r="H30" s="207">
        <v>0</v>
      </c>
      <c r="I30" s="62">
        <v>0</v>
      </c>
      <c r="J30" s="63">
        <v>0</v>
      </c>
      <c r="K30" s="63"/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10.5</v>
      </c>
      <c r="G31" s="207">
        <v>0</v>
      </c>
      <c r="H31" s="207">
        <v>0</v>
      </c>
      <c r="I31" s="62">
        <v>0</v>
      </c>
      <c r="J31" s="63">
        <v>0</v>
      </c>
      <c r="K31" s="63"/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10.5</v>
      </c>
      <c r="G32" s="207">
        <v>0</v>
      </c>
      <c r="H32" s="207">
        <v>0</v>
      </c>
      <c r="I32" s="62">
        <v>0</v>
      </c>
      <c r="J32" s="63">
        <v>0</v>
      </c>
      <c r="K32" s="63"/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10.5</v>
      </c>
      <c r="G33" s="207">
        <v>0</v>
      </c>
      <c r="H33" s="207">
        <v>0</v>
      </c>
      <c r="I33" s="62">
        <v>0</v>
      </c>
      <c r="J33" s="63">
        <v>0</v>
      </c>
      <c r="K33" s="63"/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10.5</v>
      </c>
      <c r="G34" s="207">
        <v>0</v>
      </c>
      <c r="H34" s="207">
        <v>0</v>
      </c>
      <c r="I34" s="62">
        <v>0</v>
      </c>
      <c r="J34" s="63">
        <v>0</v>
      </c>
      <c r="K34" s="63"/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10.5</v>
      </c>
      <c r="G35" s="207">
        <v>0</v>
      </c>
      <c r="H35" s="207">
        <v>0</v>
      </c>
      <c r="I35" s="62">
        <v>0</v>
      </c>
      <c r="J35" s="63">
        <v>0</v>
      </c>
      <c r="K35" s="63"/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0</v>
      </c>
      <c r="E36" s="70">
        <v>0</v>
      </c>
      <c r="F36" s="70">
        <v>325.5</v>
      </c>
      <c r="G36" s="70">
        <v>0</v>
      </c>
      <c r="H36" s="70">
        <v>0</v>
      </c>
      <c r="I36" s="70">
        <v>0</v>
      </c>
      <c r="J36" s="71">
        <v>0</v>
      </c>
      <c r="K36" s="71">
        <v>0</v>
      </c>
      <c r="L36" s="209">
        <v>0</v>
      </c>
      <c r="M36" s="209">
        <v>0</v>
      </c>
      <c r="N36" s="209">
        <v>0</v>
      </c>
      <c r="O36" s="209">
        <v>9581.26</v>
      </c>
      <c r="P36" s="209">
        <v>0</v>
      </c>
      <c r="Q36" s="209">
        <v>0</v>
      </c>
      <c r="R36" s="209">
        <v>0</v>
      </c>
      <c r="S36" s="209">
        <v>0</v>
      </c>
      <c r="T36" s="209">
        <v>9581.26</v>
      </c>
    </row>
    <row r="37" spans="1:20">
      <c r="R37" s="73"/>
      <c r="S37" s="73"/>
      <c r="T37" s="210">
        <v>11689.14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6728-C0DE-4349-A7F1-5855555845D4}">
  <sheetPr codeName="Лист45">
    <pageSetUpPr fitToPage="1"/>
  </sheetPr>
  <dimension ref="A1:T37"/>
  <sheetViews>
    <sheetView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283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22</v>
      </c>
      <c r="E5" s="211">
        <v>22</v>
      </c>
      <c r="F5" s="211">
        <v>6535.15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22</v>
      </c>
      <c r="E6" s="211">
        <v>0</v>
      </c>
      <c r="F6" s="211">
        <v>6557.15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286</v>
      </c>
      <c r="E7" s="211">
        <v>22</v>
      </c>
      <c r="F7" s="211">
        <v>6821.15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88</v>
      </c>
      <c r="E8" s="211">
        <v>0</v>
      </c>
      <c r="F8" s="211">
        <v>6909.15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242</v>
      </c>
      <c r="E9" s="211">
        <v>68.75</v>
      </c>
      <c r="F9" s="211">
        <v>7082.4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66</v>
      </c>
      <c r="E10" s="211">
        <v>22</v>
      </c>
      <c r="F10" s="211">
        <v>7126.4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286</v>
      </c>
      <c r="E11" s="211">
        <v>88</v>
      </c>
      <c r="F11" s="211">
        <v>7324.4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264.5</v>
      </c>
      <c r="E12" s="211">
        <v>0</v>
      </c>
      <c r="F12" s="211">
        <v>7588.9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378</v>
      </c>
      <c r="E13" s="211">
        <v>46.75</v>
      </c>
      <c r="F13" s="211">
        <v>7920.15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111</v>
      </c>
      <c r="E14" s="211">
        <v>22</v>
      </c>
      <c r="F14" s="211">
        <v>8009.15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22</v>
      </c>
      <c r="E15" s="211">
        <v>1.375</v>
      </c>
      <c r="F15" s="211">
        <v>8029.7749999999996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45.375</v>
      </c>
      <c r="F16" s="211">
        <v>7984.4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22</v>
      </c>
      <c r="E17" s="211">
        <v>67.125</v>
      </c>
      <c r="F17" s="211">
        <v>7939.2749999999996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88</v>
      </c>
      <c r="F18" s="211">
        <v>7851.2749999999996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7851.2749999999996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154</v>
      </c>
      <c r="F20" s="211">
        <v>7697.2749999999996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22</v>
      </c>
      <c r="E21" s="211">
        <v>88</v>
      </c>
      <c r="F21" s="211">
        <v>7631.2749999999996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22</v>
      </c>
      <c r="E22" s="211">
        <v>99</v>
      </c>
      <c r="F22" s="211">
        <v>7554.2749999999996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22</v>
      </c>
      <c r="E23" s="211">
        <v>111.375</v>
      </c>
      <c r="F23" s="211">
        <v>7464.9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38.5</v>
      </c>
      <c r="F24" s="211">
        <v>7426.4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49.5</v>
      </c>
      <c r="F25" s="211">
        <v>7376.9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44</v>
      </c>
      <c r="F26" s="211">
        <v>7332.9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22</v>
      </c>
      <c r="E27" s="211">
        <v>110</v>
      </c>
      <c r="F27" s="211">
        <v>7244.9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44</v>
      </c>
      <c r="F28" s="211">
        <v>7200.9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44</v>
      </c>
      <c r="F29" s="211">
        <v>7156.9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44</v>
      </c>
      <c r="E30" s="211">
        <v>22</v>
      </c>
      <c r="F30" s="211">
        <v>7178.9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198</v>
      </c>
      <c r="E31" s="211">
        <v>55</v>
      </c>
      <c r="F31" s="211">
        <v>7321.9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44</v>
      </c>
      <c r="E32" s="211">
        <v>33</v>
      </c>
      <c r="F32" s="211">
        <v>7332.9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242</v>
      </c>
      <c r="E33" s="211">
        <v>42.625</v>
      </c>
      <c r="F33" s="211">
        <v>7532.2749999999996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88</v>
      </c>
      <c r="E34" s="211">
        <v>24.75</v>
      </c>
      <c r="F34" s="211">
        <v>7595.5249999999996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44</v>
      </c>
      <c r="E35" s="211">
        <v>135.625</v>
      </c>
      <c r="F35" s="211">
        <v>7503.9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2557.5</v>
      </c>
      <c r="E36" s="70">
        <v>1588.75</v>
      </c>
      <c r="F36" s="70">
        <v>230082.02499999988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711360</v>
      </c>
      <c r="N36" s="209">
        <v>711360</v>
      </c>
      <c r="O36" s="209">
        <v>5107200</v>
      </c>
      <c r="P36" s="209">
        <v>1335096.7</v>
      </c>
      <c r="Q36" s="209">
        <v>0</v>
      </c>
      <c r="R36" s="209">
        <v>0</v>
      </c>
      <c r="S36" s="209">
        <v>0</v>
      </c>
      <c r="T36" s="209">
        <v>7865016.7000000002</v>
      </c>
    </row>
    <row r="37" spans="1:20">
      <c r="R37" s="73"/>
      <c r="S37" s="73"/>
      <c r="T37" s="210">
        <v>9595320.3699999992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5610-1AE5-49A3-9B5C-F46E88AB529A}">
  <sheetPr codeName="Лист46">
    <pageSetUpPr fitToPage="1"/>
  </sheetPr>
  <dimension ref="A1:T37"/>
  <sheetViews>
    <sheetView topLeftCell="A19" workbookViewId="0">
      <selection activeCell="T37" sqref="T37"/>
    </sheetView>
  </sheetViews>
  <sheetFormatPr defaultRowHeight="15"/>
  <cols>
    <col min="1" max="3" width="9.140625" style="47"/>
    <col min="4" max="4" width="12.28515625" style="47" customWidth="1"/>
    <col min="5" max="5" width="11.5703125" style="47" customWidth="1"/>
    <col min="6" max="6" width="12.85546875" style="47" customWidth="1"/>
    <col min="7" max="7" width="9.5703125" style="47" bestFit="1" customWidth="1"/>
    <col min="8" max="8" width="9.28515625" style="47" bestFit="1" customWidth="1"/>
    <col min="9" max="9" width="10.42578125" style="47" bestFit="1" customWidth="1"/>
    <col min="10" max="10" width="9.28515625" style="47" bestFit="1" customWidth="1"/>
    <col min="11" max="12" width="9.140625" style="47"/>
    <col min="13" max="13" width="13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284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285</v>
      </c>
      <c r="H3" s="49" t="s">
        <v>286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1.575</v>
      </c>
      <c r="G5" s="207"/>
      <c r="H5" s="207"/>
      <c r="I5" s="62">
        <v>0</v>
      </c>
      <c r="J5" s="62">
        <v>0</v>
      </c>
      <c r="K5" s="63"/>
      <c r="L5" s="208">
        <v>0</v>
      </c>
      <c r="M5" s="208">
        <v>0</v>
      </c>
      <c r="N5" s="208">
        <v>0</v>
      </c>
      <c r="O5" s="208">
        <v>22.84</v>
      </c>
      <c r="P5" s="208">
        <v>0</v>
      </c>
      <c r="Q5" s="208">
        <v>0</v>
      </c>
      <c r="R5" s="208">
        <v>0</v>
      </c>
      <c r="S5" s="208">
        <v>0</v>
      </c>
      <c r="T5" s="208">
        <v>22.84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1.575</v>
      </c>
      <c r="G6" s="207"/>
      <c r="H6" s="207"/>
      <c r="I6" s="62">
        <v>0</v>
      </c>
      <c r="J6" s="62">
        <v>0</v>
      </c>
      <c r="K6" s="63"/>
      <c r="L6" s="208">
        <v>0</v>
      </c>
      <c r="M6" s="208">
        <v>0</v>
      </c>
      <c r="N6" s="208">
        <v>0</v>
      </c>
      <c r="O6" s="208">
        <v>22.84</v>
      </c>
      <c r="P6" s="208">
        <v>0</v>
      </c>
      <c r="Q6" s="208">
        <v>0</v>
      </c>
      <c r="R6" s="208">
        <v>0</v>
      </c>
      <c r="S6" s="208">
        <v>0</v>
      </c>
      <c r="T6" s="208">
        <v>22.84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1.575</v>
      </c>
      <c r="G7" s="207"/>
      <c r="H7" s="207"/>
      <c r="I7" s="62">
        <v>0</v>
      </c>
      <c r="J7" s="62">
        <v>0</v>
      </c>
      <c r="K7" s="63"/>
      <c r="L7" s="208">
        <v>0</v>
      </c>
      <c r="M7" s="208">
        <v>0</v>
      </c>
      <c r="N7" s="208">
        <v>0</v>
      </c>
      <c r="O7" s="208">
        <v>22.84</v>
      </c>
      <c r="P7" s="208">
        <v>0</v>
      </c>
      <c r="Q7" s="208">
        <v>0</v>
      </c>
      <c r="R7" s="208">
        <v>0</v>
      </c>
      <c r="S7" s="208">
        <v>0</v>
      </c>
      <c r="T7" s="208">
        <v>22.84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1.575</v>
      </c>
      <c r="G8" s="207"/>
      <c r="H8" s="207"/>
      <c r="I8" s="62">
        <v>0</v>
      </c>
      <c r="J8" s="62">
        <v>0</v>
      </c>
      <c r="K8" s="63"/>
      <c r="L8" s="208">
        <v>0</v>
      </c>
      <c r="M8" s="208">
        <v>0</v>
      </c>
      <c r="N8" s="208">
        <v>0</v>
      </c>
      <c r="O8" s="208">
        <v>22.84</v>
      </c>
      <c r="P8" s="208">
        <v>0</v>
      </c>
      <c r="Q8" s="208">
        <v>0</v>
      </c>
      <c r="R8" s="208">
        <v>0</v>
      </c>
      <c r="S8" s="208">
        <v>0</v>
      </c>
      <c r="T8" s="208">
        <v>22.84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1.575</v>
      </c>
      <c r="G9" s="207"/>
      <c r="H9" s="207"/>
      <c r="I9" s="62">
        <v>0</v>
      </c>
      <c r="J9" s="62">
        <v>0</v>
      </c>
      <c r="K9" s="63"/>
      <c r="L9" s="208">
        <v>0</v>
      </c>
      <c r="M9" s="208">
        <v>0</v>
      </c>
      <c r="N9" s="208">
        <v>0</v>
      </c>
      <c r="O9" s="208">
        <v>22.84</v>
      </c>
      <c r="P9" s="208">
        <v>0</v>
      </c>
      <c r="Q9" s="208">
        <v>0</v>
      </c>
      <c r="R9" s="208">
        <v>0</v>
      </c>
      <c r="S9" s="208">
        <v>0</v>
      </c>
      <c r="T9" s="208">
        <v>22.84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1.575</v>
      </c>
      <c r="G10" s="207"/>
      <c r="H10" s="207"/>
      <c r="I10" s="62">
        <v>0</v>
      </c>
      <c r="J10" s="62">
        <v>0</v>
      </c>
      <c r="K10" s="63"/>
      <c r="L10" s="208">
        <v>0</v>
      </c>
      <c r="M10" s="208">
        <v>0</v>
      </c>
      <c r="N10" s="208">
        <v>0</v>
      </c>
      <c r="O10" s="208">
        <v>22.84</v>
      </c>
      <c r="P10" s="208">
        <v>0</v>
      </c>
      <c r="Q10" s="208">
        <v>0</v>
      </c>
      <c r="R10" s="208">
        <v>0</v>
      </c>
      <c r="S10" s="208">
        <v>0</v>
      </c>
      <c r="T10" s="208">
        <v>22.84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1.575</v>
      </c>
      <c r="G11" s="207"/>
      <c r="H11" s="207"/>
      <c r="I11" s="62">
        <v>0</v>
      </c>
      <c r="J11" s="62">
        <v>0</v>
      </c>
      <c r="K11" s="63"/>
      <c r="L11" s="208">
        <v>0</v>
      </c>
      <c r="M11" s="208">
        <v>0</v>
      </c>
      <c r="N11" s="208">
        <v>0</v>
      </c>
      <c r="O11" s="208">
        <v>22.84</v>
      </c>
      <c r="P11" s="208">
        <v>0</v>
      </c>
      <c r="Q11" s="208">
        <v>0</v>
      </c>
      <c r="R11" s="208">
        <v>0</v>
      </c>
      <c r="S11" s="208">
        <v>0</v>
      </c>
      <c r="T11" s="208">
        <v>22.84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1.575</v>
      </c>
      <c r="G12" s="207"/>
      <c r="H12" s="207"/>
      <c r="I12" s="62">
        <v>0</v>
      </c>
      <c r="J12" s="62">
        <v>0</v>
      </c>
      <c r="K12" s="63"/>
      <c r="L12" s="208">
        <v>0</v>
      </c>
      <c r="M12" s="208">
        <v>0</v>
      </c>
      <c r="N12" s="208">
        <v>0</v>
      </c>
      <c r="O12" s="208">
        <v>22.84</v>
      </c>
      <c r="P12" s="208">
        <v>0</v>
      </c>
      <c r="Q12" s="208">
        <v>0</v>
      </c>
      <c r="R12" s="208">
        <v>0</v>
      </c>
      <c r="S12" s="208">
        <v>0</v>
      </c>
      <c r="T12" s="208">
        <v>22.84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1.575</v>
      </c>
      <c r="G13" s="207"/>
      <c r="H13" s="207"/>
      <c r="I13" s="62">
        <v>0</v>
      </c>
      <c r="J13" s="62">
        <v>0</v>
      </c>
      <c r="K13" s="63"/>
      <c r="L13" s="208">
        <v>0</v>
      </c>
      <c r="M13" s="208">
        <v>0</v>
      </c>
      <c r="N13" s="208">
        <v>0</v>
      </c>
      <c r="O13" s="208">
        <v>22.84</v>
      </c>
      <c r="P13" s="208">
        <v>0</v>
      </c>
      <c r="Q13" s="208">
        <v>0</v>
      </c>
      <c r="R13" s="208">
        <v>0</v>
      </c>
      <c r="S13" s="208">
        <v>0</v>
      </c>
      <c r="T13" s="208">
        <v>22.84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1.575</v>
      </c>
      <c r="G14" s="207"/>
      <c r="H14" s="207"/>
      <c r="I14" s="62">
        <v>0</v>
      </c>
      <c r="J14" s="62">
        <v>0</v>
      </c>
      <c r="K14" s="63"/>
      <c r="L14" s="208">
        <v>0</v>
      </c>
      <c r="M14" s="208">
        <v>0</v>
      </c>
      <c r="N14" s="208">
        <v>0</v>
      </c>
      <c r="O14" s="208">
        <v>22.84</v>
      </c>
      <c r="P14" s="208">
        <v>0</v>
      </c>
      <c r="Q14" s="208">
        <v>0</v>
      </c>
      <c r="R14" s="208">
        <v>0</v>
      </c>
      <c r="S14" s="208">
        <v>0</v>
      </c>
      <c r="T14" s="208">
        <v>22.84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1.575</v>
      </c>
      <c r="G15" s="207"/>
      <c r="H15" s="207"/>
      <c r="I15" s="62">
        <v>0</v>
      </c>
      <c r="J15" s="62">
        <v>0</v>
      </c>
      <c r="K15" s="63"/>
      <c r="L15" s="208">
        <v>0</v>
      </c>
      <c r="M15" s="208">
        <v>0</v>
      </c>
      <c r="N15" s="208">
        <v>0</v>
      </c>
      <c r="O15" s="208">
        <v>22.84</v>
      </c>
      <c r="P15" s="208">
        <v>0</v>
      </c>
      <c r="Q15" s="208">
        <v>0</v>
      </c>
      <c r="R15" s="208">
        <v>0</v>
      </c>
      <c r="S15" s="208">
        <v>0</v>
      </c>
      <c r="T15" s="208">
        <v>22.84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1.575</v>
      </c>
      <c r="G16" s="207"/>
      <c r="H16" s="207"/>
      <c r="I16" s="62">
        <v>0</v>
      </c>
      <c r="J16" s="62">
        <v>0</v>
      </c>
      <c r="K16" s="68"/>
      <c r="L16" s="208">
        <v>0</v>
      </c>
      <c r="M16" s="208">
        <v>0</v>
      </c>
      <c r="N16" s="208">
        <v>0</v>
      </c>
      <c r="O16" s="208">
        <v>22.84</v>
      </c>
      <c r="P16" s="208">
        <v>0</v>
      </c>
      <c r="Q16" s="208">
        <v>0</v>
      </c>
      <c r="R16" s="208">
        <v>0</v>
      </c>
      <c r="S16" s="208">
        <v>0</v>
      </c>
      <c r="T16" s="208">
        <v>22.84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1.575</v>
      </c>
      <c r="G17" s="207"/>
      <c r="H17" s="207"/>
      <c r="I17" s="62">
        <v>0</v>
      </c>
      <c r="J17" s="62">
        <v>0</v>
      </c>
      <c r="K17" s="63"/>
      <c r="L17" s="208">
        <v>0</v>
      </c>
      <c r="M17" s="208">
        <v>0</v>
      </c>
      <c r="N17" s="208">
        <v>0</v>
      </c>
      <c r="O17" s="208">
        <v>22.84</v>
      </c>
      <c r="P17" s="208">
        <v>0</v>
      </c>
      <c r="Q17" s="208">
        <v>0</v>
      </c>
      <c r="R17" s="208">
        <v>0</v>
      </c>
      <c r="S17" s="208">
        <v>0</v>
      </c>
      <c r="T17" s="208">
        <v>22.84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1.575</v>
      </c>
      <c r="G18" s="207"/>
      <c r="H18" s="207"/>
      <c r="I18" s="62">
        <v>0</v>
      </c>
      <c r="J18" s="62">
        <v>0</v>
      </c>
      <c r="K18" s="63"/>
      <c r="L18" s="208">
        <v>0</v>
      </c>
      <c r="M18" s="208">
        <v>0</v>
      </c>
      <c r="N18" s="208">
        <v>0</v>
      </c>
      <c r="O18" s="208">
        <v>22.84</v>
      </c>
      <c r="P18" s="208">
        <v>0</v>
      </c>
      <c r="Q18" s="208">
        <v>0</v>
      </c>
      <c r="R18" s="208">
        <v>0</v>
      </c>
      <c r="S18" s="208">
        <v>0</v>
      </c>
      <c r="T18" s="208">
        <v>22.84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1.575</v>
      </c>
      <c r="G19" s="207"/>
      <c r="H19" s="207"/>
      <c r="I19" s="62">
        <v>0</v>
      </c>
      <c r="J19" s="62">
        <v>0</v>
      </c>
      <c r="K19" s="63"/>
      <c r="L19" s="208">
        <v>0</v>
      </c>
      <c r="M19" s="208">
        <v>0</v>
      </c>
      <c r="N19" s="208">
        <v>0</v>
      </c>
      <c r="O19" s="208">
        <v>22.84</v>
      </c>
      <c r="P19" s="208">
        <v>0</v>
      </c>
      <c r="Q19" s="208">
        <v>0</v>
      </c>
      <c r="R19" s="208">
        <v>0</v>
      </c>
      <c r="S19" s="208">
        <v>0</v>
      </c>
      <c r="T19" s="208">
        <v>22.84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1.575</v>
      </c>
      <c r="G20" s="207"/>
      <c r="H20" s="207"/>
      <c r="I20" s="62">
        <v>0</v>
      </c>
      <c r="J20" s="62">
        <v>0</v>
      </c>
      <c r="K20" s="63"/>
      <c r="L20" s="208">
        <v>0</v>
      </c>
      <c r="M20" s="208">
        <v>0</v>
      </c>
      <c r="N20" s="208">
        <v>0</v>
      </c>
      <c r="O20" s="208">
        <v>22.84</v>
      </c>
      <c r="P20" s="208">
        <v>0</v>
      </c>
      <c r="Q20" s="208">
        <v>0</v>
      </c>
      <c r="R20" s="208">
        <v>0</v>
      </c>
      <c r="S20" s="208">
        <v>0</v>
      </c>
      <c r="T20" s="208">
        <v>22.84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1.575</v>
      </c>
      <c r="G21" s="207"/>
      <c r="H21" s="207"/>
      <c r="I21" s="62">
        <v>0</v>
      </c>
      <c r="J21" s="62">
        <v>0</v>
      </c>
      <c r="K21" s="63"/>
      <c r="L21" s="208">
        <v>0</v>
      </c>
      <c r="M21" s="208">
        <v>0</v>
      </c>
      <c r="N21" s="208">
        <v>0</v>
      </c>
      <c r="O21" s="208">
        <v>22.84</v>
      </c>
      <c r="P21" s="208">
        <v>0</v>
      </c>
      <c r="Q21" s="208">
        <v>0</v>
      </c>
      <c r="R21" s="208">
        <v>0</v>
      </c>
      <c r="S21" s="208">
        <v>0</v>
      </c>
      <c r="T21" s="208">
        <v>22.84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1.575</v>
      </c>
      <c r="G22" s="207"/>
      <c r="H22" s="207"/>
      <c r="I22" s="62">
        <v>0</v>
      </c>
      <c r="J22" s="62">
        <v>0</v>
      </c>
      <c r="K22" s="63"/>
      <c r="L22" s="208">
        <v>0</v>
      </c>
      <c r="M22" s="208">
        <v>0</v>
      </c>
      <c r="N22" s="208">
        <v>0</v>
      </c>
      <c r="O22" s="208">
        <v>22.84</v>
      </c>
      <c r="P22" s="208">
        <v>0</v>
      </c>
      <c r="Q22" s="208">
        <v>0</v>
      </c>
      <c r="R22" s="208">
        <v>0</v>
      </c>
      <c r="S22" s="208">
        <v>0</v>
      </c>
      <c r="T22" s="208">
        <v>22.84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1.575</v>
      </c>
      <c r="G23" s="207"/>
      <c r="H23" s="207"/>
      <c r="I23" s="62">
        <v>0</v>
      </c>
      <c r="J23" s="62">
        <v>0</v>
      </c>
      <c r="K23" s="63"/>
      <c r="L23" s="208">
        <v>0</v>
      </c>
      <c r="M23" s="208">
        <v>0</v>
      </c>
      <c r="N23" s="208">
        <v>0</v>
      </c>
      <c r="O23" s="208">
        <v>22.84</v>
      </c>
      <c r="P23" s="208">
        <v>0</v>
      </c>
      <c r="Q23" s="208">
        <v>0</v>
      </c>
      <c r="R23" s="208">
        <v>0</v>
      </c>
      <c r="S23" s="208">
        <v>0</v>
      </c>
      <c r="T23" s="208">
        <v>22.84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1.575</v>
      </c>
      <c r="G24" s="207"/>
      <c r="H24" s="207"/>
      <c r="I24" s="62">
        <v>0</v>
      </c>
      <c r="J24" s="62">
        <v>0</v>
      </c>
      <c r="K24" s="63"/>
      <c r="L24" s="208">
        <v>0</v>
      </c>
      <c r="M24" s="208">
        <v>0</v>
      </c>
      <c r="N24" s="208">
        <v>0</v>
      </c>
      <c r="O24" s="208">
        <v>22.84</v>
      </c>
      <c r="P24" s="208">
        <v>0</v>
      </c>
      <c r="Q24" s="208">
        <v>0</v>
      </c>
      <c r="R24" s="208">
        <v>0</v>
      </c>
      <c r="S24" s="208">
        <v>0</v>
      </c>
      <c r="T24" s="208">
        <v>22.84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1.575</v>
      </c>
      <c r="G25" s="207"/>
      <c r="H25" s="207"/>
      <c r="I25" s="62">
        <v>0</v>
      </c>
      <c r="J25" s="62">
        <v>0</v>
      </c>
      <c r="K25" s="63"/>
      <c r="L25" s="208">
        <v>0</v>
      </c>
      <c r="M25" s="208">
        <v>0</v>
      </c>
      <c r="N25" s="208">
        <v>0</v>
      </c>
      <c r="O25" s="208">
        <v>22.84</v>
      </c>
      <c r="P25" s="208">
        <v>0</v>
      </c>
      <c r="Q25" s="208">
        <v>0</v>
      </c>
      <c r="R25" s="208">
        <v>0</v>
      </c>
      <c r="S25" s="208">
        <v>0</v>
      </c>
      <c r="T25" s="208">
        <v>22.84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1.575</v>
      </c>
      <c r="G26" s="207"/>
      <c r="H26" s="207"/>
      <c r="I26" s="62">
        <v>0</v>
      </c>
      <c r="J26" s="62">
        <v>0</v>
      </c>
      <c r="K26" s="63"/>
      <c r="L26" s="208">
        <v>0</v>
      </c>
      <c r="M26" s="208">
        <v>0</v>
      </c>
      <c r="N26" s="208">
        <v>0</v>
      </c>
      <c r="O26" s="208">
        <v>22.84</v>
      </c>
      <c r="P26" s="208">
        <v>0</v>
      </c>
      <c r="Q26" s="208">
        <v>0</v>
      </c>
      <c r="R26" s="208">
        <v>0</v>
      </c>
      <c r="S26" s="208">
        <v>0</v>
      </c>
      <c r="T26" s="208">
        <v>22.84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1.575</v>
      </c>
      <c r="G27" s="207"/>
      <c r="H27" s="207"/>
      <c r="I27" s="62">
        <v>0</v>
      </c>
      <c r="J27" s="62">
        <v>0</v>
      </c>
      <c r="K27" s="63"/>
      <c r="L27" s="208">
        <v>0</v>
      </c>
      <c r="M27" s="208">
        <v>0</v>
      </c>
      <c r="N27" s="208">
        <v>0</v>
      </c>
      <c r="O27" s="208">
        <v>22.84</v>
      </c>
      <c r="P27" s="208">
        <v>0</v>
      </c>
      <c r="Q27" s="208">
        <v>0</v>
      </c>
      <c r="R27" s="208">
        <v>0</v>
      </c>
      <c r="S27" s="208">
        <v>0</v>
      </c>
      <c r="T27" s="208">
        <v>22.84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1.575</v>
      </c>
      <c r="G28" s="207"/>
      <c r="H28" s="207"/>
      <c r="I28" s="62">
        <v>0</v>
      </c>
      <c r="J28" s="62">
        <v>0</v>
      </c>
      <c r="K28" s="63"/>
      <c r="L28" s="208">
        <v>0</v>
      </c>
      <c r="M28" s="208">
        <v>0</v>
      </c>
      <c r="N28" s="208">
        <v>0</v>
      </c>
      <c r="O28" s="208">
        <v>22.84</v>
      </c>
      <c r="P28" s="208">
        <v>0</v>
      </c>
      <c r="Q28" s="208">
        <v>0</v>
      </c>
      <c r="R28" s="208">
        <v>0</v>
      </c>
      <c r="S28" s="208">
        <v>0</v>
      </c>
      <c r="T28" s="208">
        <v>22.84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1.575</v>
      </c>
      <c r="G29" s="207"/>
      <c r="H29" s="207"/>
      <c r="I29" s="62">
        <v>0</v>
      </c>
      <c r="J29" s="62">
        <v>0</v>
      </c>
      <c r="K29" s="63"/>
      <c r="L29" s="208">
        <v>0</v>
      </c>
      <c r="M29" s="208">
        <v>0</v>
      </c>
      <c r="N29" s="208">
        <v>0</v>
      </c>
      <c r="O29" s="208">
        <v>22.84</v>
      </c>
      <c r="P29" s="208">
        <v>0</v>
      </c>
      <c r="Q29" s="208">
        <v>0</v>
      </c>
      <c r="R29" s="208">
        <v>0</v>
      </c>
      <c r="S29" s="208">
        <v>0</v>
      </c>
      <c r="T29" s="208">
        <v>22.84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1.575</v>
      </c>
      <c r="G30" s="207"/>
      <c r="H30" s="207"/>
      <c r="I30" s="62">
        <v>0</v>
      </c>
      <c r="J30" s="62">
        <v>0</v>
      </c>
      <c r="K30" s="63"/>
      <c r="L30" s="208">
        <v>0</v>
      </c>
      <c r="M30" s="208">
        <v>0</v>
      </c>
      <c r="N30" s="208">
        <v>0</v>
      </c>
      <c r="O30" s="208">
        <v>22.84</v>
      </c>
      <c r="P30" s="208">
        <v>0</v>
      </c>
      <c r="Q30" s="208">
        <v>0</v>
      </c>
      <c r="R30" s="208">
        <v>0</v>
      </c>
      <c r="S30" s="208">
        <v>0</v>
      </c>
      <c r="T30" s="208">
        <v>22.84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1.575</v>
      </c>
      <c r="G31" s="207"/>
      <c r="H31" s="207"/>
      <c r="I31" s="62">
        <v>0</v>
      </c>
      <c r="J31" s="62">
        <v>0</v>
      </c>
      <c r="K31" s="63"/>
      <c r="L31" s="208">
        <v>0</v>
      </c>
      <c r="M31" s="208">
        <v>0</v>
      </c>
      <c r="N31" s="208">
        <v>0</v>
      </c>
      <c r="O31" s="208">
        <v>22.84</v>
      </c>
      <c r="P31" s="208">
        <v>0</v>
      </c>
      <c r="Q31" s="208">
        <v>0</v>
      </c>
      <c r="R31" s="208">
        <v>0</v>
      </c>
      <c r="S31" s="208">
        <v>0</v>
      </c>
      <c r="T31" s="208">
        <v>22.84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1.575</v>
      </c>
      <c r="G32" s="207"/>
      <c r="H32" s="207"/>
      <c r="I32" s="62">
        <v>0</v>
      </c>
      <c r="J32" s="62">
        <v>0</v>
      </c>
      <c r="K32" s="63"/>
      <c r="L32" s="208">
        <v>0</v>
      </c>
      <c r="M32" s="208">
        <v>0</v>
      </c>
      <c r="N32" s="208">
        <v>0</v>
      </c>
      <c r="O32" s="208">
        <v>22.84</v>
      </c>
      <c r="P32" s="208">
        <v>0</v>
      </c>
      <c r="Q32" s="208">
        <v>0</v>
      </c>
      <c r="R32" s="208">
        <v>0</v>
      </c>
      <c r="S32" s="208">
        <v>0</v>
      </c>
      <c r="T32" s="208">
        <v>22.84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1.575</v>
      </c>
      <c r="G33" s="207"/>
      <c r="H33" s="207"/>
      <c r="I33" s="62">
        <v>0</v>
      </c>
      <c r="J33" s="62">
        <v>0</v>
      </c>
      <c r="K33" s="63"/>
      <c r="L33" s="208">
        <v>0</v>
      </c>
      <c r="M33" s="208">
        <v>0</v>
      </c>
      <c r="N33" s="208">
        <v>0</v>
      </c>
      <c r="O33" s="208">
        <v>22.84</v>
      </c>
      <c r="P33" s="208">
        <v>0</v>
      </c>
      <c r="Q33" s="208">
        <v>0</v>
      </c>
      <c r="R33" s="208">
        <v>0</v>
      </c>
      <c r="S33" s="208">
        <v>0</v>
      </c>
      <c r="T33" s="208">
        <v>22.84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1.575</v>
      </c>
      <c r="G34" s="207"/>
      <c r="H34" s="207"/>
      <c r="I34" s="62">
        <v>0</v>
      </c>
      <c r="J34" s="62">
        <v>0</v>
      </c>
      <c r="K34" s="63"/>
      <c r="L34" s="208">
        <v>0</v>
      </c>
      <c r="M34" s="208">
        <v>0</v>
      </c>
      <c r="N34" s="208">
        <v>0</v>
      </c>
      <c r="O34" s="208">
        <v>22.84</v>
      </c>
      <c r="P34" s="208">
        <v>0</v>
      </c>
      <c r="Q34" s="208">
        <v>0</v>
      </c>
      <c r="R34" s="208">
        <v>0</v>
      </c>
      <c r="S34" s="208">
        <v>0</v>
      </c>
      <c r="T34" s="208">
        <v>22.84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1.575</v>
      </c>
      <c r="G35" s="207"/>
      <c r="H35" s="207"/>
      <c r="I35" s="62">
        <v>0</v>
      </c>
      <c r="J35" s="62">
        <v>0</v>
      </c>
      <c r="K35" s="63"/>
      <c r="L35" s="208">
        <v>0</v>
      </c>
      <c r="M35" s="208">
        <v>0</v>
      </c>
      <c r="N35" s="208">
        <v>0</v>
      </c>
      <c r="O35" s="208">
        <v>22.84</v>
      </c>
      <c r="P35" s="208">
        <v>0</v>
      </c>
      <c r="Q35" s="208">
        <v>0</v>
      </c>
      <c r="R35" s="208">
        <v>0</v>
      </c>
      <c r="S35" s="208">
        <v>0</v>
      </c>
      <c r="T35" s="208">
        <v>22.84</v>
      </c>
    </row>
    <row r="36" spans="1:20">
      <c r="D36" s="70">
        <v>0</v>
      </c>
      <c r="E36" s="70">
        <v>0</v>
      </c>
      <c r="F36" s="70">
        <v>48.825000000000017</v>
      </c>
      <c r="G36" s="70">
        <v>0</v>
      </c>
      <c r="H36" s="70">
        <v>0</v>
      </c>
      <c r="I36" s="70">
        <v>0</v>
      </c>
      <c r="J36" s="70">
        <v>0</v>
      </c>
      <c r="K36" s="71">
        <v>0</v>
      </c>
      <c r="L36" s="209">
        <v>0</v>
      </c>
      <c r="M36" s="209">
        <v>0</v>
      </c>
      <c r="N36" s="209">
        <v>0</v>
      </c>
      <c r="O36" s="209">
        <v>707.96</v>
      </c>
      <c r="P36" s="209">
        <v>0</v>
      </c>
      <c r="Q36" s="209">
        <v>0</v>
      </c>
      <c r="R36" s="209">
        <v>0</v>
      </c>
      <c r="S36" s="209">
        <v>0</v>
      </c>
      <c r="T36" s="209">
        <v>707.96</v>
      </c>
    </row>
    <row r="37" spans="1:20">
      <c r="R37" s="73"/>
      <c r="S37" s="73"/>
      <c r="T37" s="210">
        <v>863.71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9471-B92D-431A-A620-A038F36E3CC7}">
  <sheetPr codeName="Лист47">
    <pageSetUpPr fitToPage="1"/>
  </sheetPr>
  <dimension ref="A1:T37"/>
  <sheetViews>
    <sheetView topLeftCell="A7" workbookViewId="0">
      <selection activeCell="M21" sqref="M21"/>
    </sheetView>
  </sheetViews>
  <sheetFormatPr defaultRowHeight="15"/>
  <cols>
    <col min="1" max="3" width="9.140625" style="47"/>
    <col min="4" max="4" width="10.7109375" style="47" customWidth="1"/>
    <col min="5" max="6" width="12" style="47" customWidth="1"/>
    <col min="7" max="7" width="11.85546875" style="47" customWidth="1"/>
    <col min="8" max="8" width="11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3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287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176</v>
      </c>
      <c r="E5" s="211">
        <v>0</v>
      </c>
      <c r="F5" s="211">
        <v>3240.52</v>
      </c>
      <c r="G5" s="207">
        <v>1759.48</v>
      </c>
      <c r="H5" s="207"/>
      <c r="I5" s="62">
        <v>0</v>
      </c>
      <c r="J5" s="62">
        <v>0</v>
      </c>
      <c r="K5" s="63">
        <v>0</v>
      </c>
      <c r="L5" s="208">
        <v>0</v>
      </c>
      <c r="M5" s="208">
        <v>20240</v>
      </c>
      <c r="N5" s="208">
        <v>0</v>
      </c>
      <c r="O5" s="208">
        <v>46339.44</v>
      </c>
      <c r="P5" s="208">
        <v>25160.560000000001</v>
      </c>
      <c r="Q5" s="208">
        <v>0</v>
      </c>
      <c r="R5" s="208">
        <v>0</v>
      </c>
      <c r="S5" s="208">
        <v>0</v>
      </c>
      <c r="T5" s="208">
        <v>91740</v>
      </c>
    </row>
    <row r="6" spans="1:20">
      <c r="A6" s="65">
        <v>2</v>
      </c>
      <c r="B6" s="77" t="s">
        <v>198</v>
      </c>
      <c r="C6" s="78"/>
      <c r="D6" s="211">
        <v>153.995</v>
      </c>
      <c r="E6" s="211">
        <v>0</v>
      </c>
      <c r="F6" s="211">
        <v>3394.5149999999999</v>
      </c>
      <c r="G6" s="207">
        <v>1605.4850000000001</v>
      </c>
      <c r="H6" s="207"/>
      <c r="I6" s="62">
        <v>2.75</v>
      </c>
      <c r="J6" s="62">
        <v>4.125</v>
      </c>
      <c r="K6" s="63">
        <v>1.375</v>
      </c>
      <c r="L6" s="208">
        <v>158.13</v>
      </c>
      <c r="M6" s="208">
        <v>17709.43</v>
      </c>
      <c r="N6" s="208">
        <v>0</v>
      </c>
      <c r="O6" s="208">
        <v>48541.56</v>
      </c>
      <c r="P6" s="208">
        <v>22958.44</v>
      </c>
      <c r="Q6" s="208">
        <v>0</v>
      </c>
      <c r="R6" s="208">
        <v>2612.5</v>
      </c>
      <c r="S6" s="208">
        <v>495</v>
      </c>
      <c r="T6" s="208">
        <v>92475.05</v>
      </c>
    </row>
    <row r="7" spans="1:20">
      <c r="A7" s="65">
        <v>3</v>
      </c>
      <c r="B7" s="77" t="s">
        <v>199</v>
      </c>
      <c r="C7" s="78"/>
      <c r="D7" s="211">
        <v>220</v>
      </c>
      <c r="E7" s="211">
        <v>0</v>
      </c>
      <c r="F7" s="211">
        <v>3614.5149999999999</v>
      </c>
      <c r="G7" s="207">
        <v>1385.4850000000001</v>
      </c>
      <c r="H7" s="207"/>
      <c r="I7" s="62">
        <v>0</v>
      </c>
      <c r="J7" s="62">
        <v>0</v>
      </c>
      <c r="K7" s="63">
        <v>0</v>
      </c>
      <c r="L7" s="208">
        <v>0</v>
      </c>
      <c r="M7" s="208">
        <v>25300</v>
      </c>
      <c r="N7" s="208">
        <v>0</v>
      </c>
      <c r="O7" s="208">
        <v>51687.56</v>
      </c>
      <c r="P7" s="208">
        <v>19812.439999999999</v>
      </c>
      <c r="Q7" s="208">
        <v>0</v>
      </c>
      <c r="R7" s="208">
        <v>0</v>
      </c>
      <c r="S7" s="208">
        <v>0</v>
      </c>
      <c r="T7" s="208">
        <v>96800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3614.5149999999999</v>
      </c>
      <c r="G8" s="207">
        <v>1385.4850000000001</v>
      </c>
      <c r="H8" s="207"/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51687.56</v>
      </c>
      <c r="P8" s="208">
        <v>19812.439999999999</v>
      </c>
      <c r="Q8" s="208">
        <v>0</v>
      </c>
      <c r="R8" s="208">
        <v>0</v>
      </c>
      <c r="S8" s="208">
        <v>0</v>
      </c>
      <c r="T8" s="208">
        <v>71500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22</v>
      </c>
      <c r="F9" s="211">
        <v>3592.5149999999999</v>
      </c>
      <c r="G9" s="207">
        <v>1407.4850000000001</v>
      </c>
      <c r="H9" s="207"/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2530</v>
      </c>
      <c r="O9" s="208">
        <v>51372.959999999999</v>
      </c>
      <c r="P9" s="208">
        <v>20127.04</v>
      </c>
      <c r="Q9" s="208">
        <v>0</v>
      </c>
      <c r="R9" s="208">
        <v>0</v>
      </c>
      <c r="S9" s="208">
        <v>0</v>
      </c>
      <c r="T9" s="208">
        <v>74030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72.625</v>
      </c>
      <c r="F10" s="211">
        <v>3519.89</v>
      </c>
      <c r="G10" s="207">
        <v>1480.1100000000001</v>
      </c>
      <c r="H10" s="207"/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8351.8799999999992</v>
      </c>
      <c r="O10" s="208">
        <v>50334.43</v>
      </c>
      <c r="P10" s="208">
        <v>21165.57</v>
      </c>
      <c r="Q10" s="208">
        <v>0</v>
      </c>
      <c r="R10" s="208">
        <v>0</v>
      </c>
      <c r="S10" s="208">
        <v>0</v>
      </c>
      <c r="T10" s="208">
        <v>79851.88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44</v>
      </c>
      <c r="F11" s="211">
        <v>3475.89</v>
      </c>
      <c r="G11" s="207">
        <v>1524.1100000000001</v>
      </c>
      <c r="H11" s="207"/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5060</v>
      </c>
      <c r="O11" s="208">
        <v>49705.23</v>
      </c>
      <c r="P11" s="208">
        <v>21794.77</v>
      </c>
      <c r="Q11" s="208">
        <v>0</v>
      </c>
      <c r="R11" s="208">
        <v>0</v>
      </c>
      <c r="S11" s="208">
        <v>0</v>
      </c>
      <c r="T11" s="208">
        <v>76560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3475.89</v>
      </c>
      <c r="G12" s="207">
        <v>1524.1100000000001</v>
      </c>
      <c r="H12" s="207"/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49705.23</v>
      </c>
      <c r="P12" s="208">
        <v>21794.77</v>
      </c>
      <c r="Q12" s="208">
        <v>0</v>
      </c>
      <c r="R12" s="208">
        <v>0</v>
      </c>
      <c r="S12" s="208">
        <v>0</v>
      </c>
      <c r="T12" s="208">
        <v>71500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22</v>
      </c>
      <c r="F13" s="211">
        <v>3453.89</v>
      </c>
      <c r="G13" s="207">
        <v>1546.1100000000001</v>
      </c>
      <c r="H13" s="207"/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2530</v>
      </c>
      <c r="O13" s="208">
        <v>49390.63</v>
      </c>
      <c r="P13" s="208">
        <v>22109.37</v>
      </c>
      <c r="Q13" s="208">
        <v>0</v>
      </c>
      <c r="R13" s="208">
        <v>0</v>
      </c>
      <c r="S13" s="208">
        <v>0</v>
      </c>
      <c r="T13" s="208">
        <v>74030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3453.89</v>
      </c>
      <c r="G14" s="207">
        <v>1546.1100000000001</v>
      </c>
      <c r="H14" s="207"/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49390.63</v>
      </c>
      <c r="P14" s="208">
        <v>22109.37</v>
      </c>
      <c r="Q14" s="208">
        <v>0</v>
      </c>
      <c r="R14" s="208">
        <v>0</v>
      </c>
      <c r="S14" s="208">
        <v>0</v>
      </c>
      <c r="T14" s="208">
        <v>71500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44</v>
      </c>
      <c r="F15" s="211">
        <v>3409.89</v>
      </c>
      <c r="G15" s="207">
        <v>1590.1100000000001</v>
      </c>
      <c r="H15" s="207"/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5060</v>
      </c>
      <c r="O15" s="208">
        <v>48761.43</v>
      </c>
      <c r="P15" s="208">
        <v>22738.57</v>
      </c>
      <c r="Q15" s="208">
        <v>0</v>
      </c>
      <c r="R15" s="208">
        <v>0</v>
      </c>
      <c r="S15" s="208">
        <v>0</v>
      </c>
      <c r="T15" s="208">
        <v>76560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18.975000000000001</v>
      </c>
      <c r="F16" s="211">
        <v>3390.915</v>
      </c>
      <c r="G16" s="207">
        <v>1609.085</v>
      </c>
      <c r="H16" s="207"/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2182.13</v>
      </c>
      <c r="O16" s="208">
        <v>48490.080000000002</v>
      </c>
      <c r="P16" s="208">
        <v>23009.919999999998</v>
      </c>
      <c r="Q16" s="208">
        <v>0</v>
      </c>
      <c r="R16" s="208">
        <v>0</v>
      </c>
      <c r="S16" s="208">
        <v>0</v>
      </c>
      <c r="T16" s="208">
        <v>73682.13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105.925</v>
      </c>
      <c r="F17" s="211">
        <v>3284.99</v>
      </c>
      <c r="G17" s="207">
        <v>1715.0100000000002</v>
      </c>
      <c r="H17" s="207"/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12181.38</v>
      </c>
      <c r="O17" s="208">
        <v>46975.360000000001</v>
      </c>
      <c r="P17" s="208">
        <v>24524.639999999999</v>
      </c>
      <c r="Q17" s="208">
        <v>0</v>
      </c>
      <c r="R17" s="208">
        <v>0</v>
      </c>
      <c r="S17" s="208">
        <v>0</v>
      </c>
      <c r="T17" s="208">
        <v>83681.38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44</v>
      </c>
      <c r="F18" s="211">
        <v>3240.99</v>
      </c>
      <c r="G18" s="207">
        <v>1759.0100000000002</v>
      </c>
      <c r="H18" s="207"/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5060</v>
      </c>
      <c r="O18" s="208">
        <v>46346.16</v>
      </c>
      <c r="P18" s="208">
        <v>25153.84</v>
      </c>
      <c r="Q18" s="208">
        <v>0</v>
      </c>
      <c r="R18" s="208">
        <v>0</v>
      </c>
      <c r="S18" s="208">
        <v>0</v>
      </c>
      <c r="T18" s="208">
        <v>76560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3240.99</v>
      </c>
      <c r="G19" s="207">
        <v>1759.0100000000002</v>
      </c>
      <c r="H19" s="207"/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46346.16</v>
      </c>
      <c r="P19" s="208">
        <v>25153.84</v>
      </c>
      <c r="Q19" s="208">
        <v>0</v>
      </c>
      <c r="R19" s="208">
        <v>0</v>
      </c>
      <c r="S19" s="208">
        <v>0</v>
      </c>
      <c r="T19" s="208">
        <v>71500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105.97499999999999</v>
      </c>
      <c r="F20" s="211">
        <v>3135.0149999999999</v>
      </c>
      <c r="G20" s="207">
        <v>1864.9850000000001</v>
      </c>
      <c r="H20" s="207"/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12187.13</v>
      </c>
      <c r="O20" s="208">
        <v>44830.71</v>
      </c>
      <c r="P20" s="208">
        <v>26669.29</v>
      </c>
      <c r="Q20" s="208">
        <v>0</v>
      </c>
      <c r="R20" s="208">
        <v>0</v>
      </c>
      <c r="S20" s="208">
        <v>0</v>
      </c>
      <c r="T20" s="208">
        <v>83687.13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281.97500000000002</v>
      </c>
      <c r="F21" s="211">
        <v>2853.04</v>
      </c>
      <c r="G21" s="207">
        <v>2146.96</v>
      </c>
      <c r="H21" s="207"/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32427.13</v>
      </c>
      <c r="O21" s="208">
        <v>40798.47</v>
      </c>
      <c r="P21" s="208">
        <v>30701.53</v>
      </c>
      <c r="Q21" s="208">
        <v>0</v>
      </c>
      <c r="R21" s="208">
        <v>0</v>
      </c>
      <c r="S21" s="208">
        <v>0</v>
      </c>
      <c r="T21" s="208">
        <v>103927.13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151.67500000000001</v>
      </c>
      <c r="F22" s="211">
        <v>2701.3649999999998</v>
      </c>
      <c r="G22" s="207">
        <v>2298.6350000000002</v>
      </c>
      <c r="H22" s="207"/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17442.63</v>
      </c>
      <c r="O22" s="208">
        <v>38629.519999999997</v>
      </c>
      <c r="P22" s="208">
        <v>32870.480000000003</v>
      </c>
      <c r="Q22" s="208">
        <v>0</v>
      </c>
      <c r="R22" s="208">
        <v>0</v>
      </c>
      <c r="S22" s="208">
        <v>0</v>
      </c>
      <c r="T22" s="208">
        <v>88942.63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64</v>
      </c>
      <c r="F23" s="211">
        <v>2637.3649999999998</v>
      </c>
      <c r="G23" s="207">
        <v>2362.6350000000002</v>
      </c>
      <c r="H23" s="207"/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7360</v>
      </c>
      <c r="O23" s="208">
        <v>37714.32</v>
      </c>
      <c r="P23" s="208">
        <v>33785.68</v>
      </c>
      <c r="Q23" s="208">
        <v>0</v>
      </c>
      <c r="R23" s="208">
        <v>0</v>
      </c>
      <c r="S23" s="208">
        <v>0</v>
      </c>
      <c r="T23" s="208">
        <v>78860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108.72499999999999</v>
      </c>
      <c r="F24" s="211">
        <v>2528.64</v>
      </c>
      <c r="G24" s="207">
        <v>2471.36</v>
      </c>
      <c r="H24" s="207"/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12503.38</v>
      </c>
      <c r="O24" s="208">
        <v>36159.550000000003</v>
      </c>
      <c r="P24" s="208">
        <v>35340.449999999997</v>
      </c>
      <c r="Q24" s="208">
        <v>0</v>
      </c>
      <c r="R24" s="208">
        <v>0</v>
      </c>
      <c r="S24" s="208">
        <v>0</v>
      </c>
      <c r="T24" s="208">
        <v>84003.38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63.625</v>
      </c>
      <c r="F25" s="211">
        <v>2465.0149999999999</v>
      </c>
      <c r="G25" s="207">
        <v>2534.9850000000001</v>
      </c>
      <c r="H25" s="207"/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7316.88</v>
      </c>
      <c r="O25" s="208">
        <v>35249.71</v>
      </c>
      <c r="P25" s="208">
        <v>36250.29</v>
      </c>
      <c r="Q25" s="208">
        <v>0</v>
      </c>
      <c r="R25" s="208">
        <v>0</v>
      </c>
      <c r="S25" s="208">
        <v>0</v>
      </c>
      <c r="T25" s="208">
        <v>78816.88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66.05</v>
      </c>
      <c r="F26" s="211">
        <v>2398.9650000000001</v>
      </c>
      <c r="G26" s="207">
        <v>2601.0349999999999</v>
      </c>
      <c r="H26" s="207"/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7595.75</v>
      </c>
      <c r="O26" s="208">
        <v>34305.199999999997</v>
      </c>
      <c r="P26" s="208">
        <v>37194.800000000003</v>
      </c>
      <c r="Q26" s="208">
        <v>0</v>
      </c>
      <c r="R26" s="208">
        <v>0</v>
      </c>
      <c r="S26" s="208">
        <v>0</v>
      </c>
      <c r="T26" s="208">
        <v>79095.75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132.1</v>
      </c>
      <c r="F27" s="211">
        <v>2266.8649999999998</v>
      </c>
      <c r="G27" s="207">
        <v>2733.1350000000002</v>
      </c>
      <c r="H27" s="207"/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15191.5</v>
      </c>
      <c r="O27" s="208">
        <v>32416.17</v>
      </c>
      <c r="P27" s="208">
        <v>39083.83</v>
      </c>
      <c r="Q27" s="208">
        <v>0</v>
      </c>
      <c r="R27" s="208">
        <v>0</v>
      </c>
      <c r="S27" s="208">
        <v>0</v>
      </c>
      <c r="T27" s="208">
        <v>86691.5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109.075</v>
      </c>
      <c r="F28" s="211">
        <v>2157.79</v>
      </c>
      <c r="G28" s="207">
        <v>2842.21</v>
      </c>
      <c r="H28" s="207"/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12543.63</v>
      </c>
      <c r="O28" s="208">
        <v>30856.400000000001</v>
      </c>
      <c r="P28" s="208">
        <v>40643.599999999999</v>
      </c>
      <c r="Q28" s="208">
        <v>0</v>
      </c>
      <c r="R28" s="208">
        <v>0</v>
      </c>
      <c r="S28" s="208">
        <v>0</v>
      </c>
      <c r="T28" s="208">
        <v>84043.63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139.22499999999999</v>
      </c>
      <c r="F29" s="211">
        <v>2018.5650000000001</v>
      </c>
      <c r="G29" s="207">
        <v>2981.4349999999999</v>
      </c>
      <c r="H29" s="207"/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16010.88</v>
      </c>
      <c r="O29" s="208">
        <v>28865.48</v>
      </c>
      <c r="P29" s="208">
        <v>42634.52</v>
      </c>
      <c r="Q29" s="208">
        <v>0</v>
      </c>
      <c r="R29" s="208">
        <v>0</v>
      </c>
      <c r="S29" s="208">
        <v>0</v>
      </c>
      <c r="T29" s="208">
        <v>87510.88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42</v>
      </c>
      <c r="F30" s="211">
        <v>1976.5650000000001</v>
      </c>
      <c r="G30" s="207">
        <v>3023.4349999999999</v>
      </c>
      <c r="H30" s="207"/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4830</v>
      </c>
      <c r="O30" s="208">
        <v>28264.880000000001</v>
      </c>
      <c r="P30" s="208">
        <v>43235.12</v>
      </c>
      <c r="Q30" s="208">
        <v>0</v>
      </c>
      <c r="R30" s="208">
        <v>0</v>
      </c>
      <c r="S30" s="208">
        <v>0</v>
      </c>
      <c r="T30" s="208">
        <v>76330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150.05000000000001</v>
      </c>
      <c r="F31" s="211">
        <v>1826.5150000000001</v>
      </c>
      <c r="G31" s="207">
        <v>3173.4849999999997</v>
      </c>
      <c r="H31" s="207"/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17255.75</v>
      </c>
      <c r="O31" s="208">
        <v>26119.16</v>
      </c>
      <c r="P31" s="208">
        <v>45380.84</v>
      </c>
      <c r="Q31" s="208">
        <v>0</v>
      </c>
      <c r="R31" s="208">
        <v>0</v>
      </c>
      <c r="S31" s="208">
        <v>0</v>
      </c>
      <c r="T31" s="208">
        <v>88755.75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241</v>
      </c>
      <c r="F32" s="211">
        <v>1585.5150000000001</v>
      </c>
      <c r="G32" s="207">
        <v>3414.4849999999997</v>
      </c>
      <c r="H32" s="207"/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27715</v>
      </c>
      <c r="O32" s="208">
        <v>22672.86</v>
      </c>
      <c r="P32" s="208">
        <v>48827.14</v>
      </c>
      <c r="Q32" s="208">
        <v>0</v>
      </c>
      <c r="R32" s="208">
        <v>0</v>
      </c>
      <c r="S32" s="208">
        <v>0</v>
      </c>
      <c r="T32" s="208">
        <v>99215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154</v>
      </c>
      <c r="F33" s="211">
        <v>1431.5150000000001</v>
      </c>
      <c r="G33" s="207">
        <v>3568.4849999999997</v>
      </c>
      <c r="H33" s="207"/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17710</v>
      </c>
      <c r="O33" s="208">
        <v>20470.66</v>
      </c>
      <c r="P33" s="208">
        <v>51029.34</v>
      </c>
      <c r="Q33" s="208">
        <v>0</v>
      </c>
      <c r="R33" s="208">
        <v>0</v>
      </c>
      <c r="S33" s="208">
        <v>0</v>
      </c>
      <c r="T33" s="208">
        <v>89210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120.6</v>
      </c>
      <c r="F34" s="211">
        <v>1310.915</v>
      </c>
      <c r="G34" s="207">
        <v>3689.085</v>
      </c>
      <c r="H34" s="207"/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13869</v>
      </c>
      <c r="O34" s="208">
        <v>18746.080000000002</v>
      </c>
      <c r="P34" s="208">
        <v>52753.919999999998</v>
      </c>
      <c r="Q34" s="208">
        <v>0</v>
      </c>
      <c r="R34" s="208">
        <v>0</v>
      </c>
      <c r="S34" s="208">
        <v>0</v>
      </c>
      <c r="T34" s="208">
        <v>85369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4.125</v>
      </c>
      <c r="F35" s="211">
        <v>1306.79</v>
      </c>
      <c r="G35" s="207">
        <v>3693.21</v>
      </c>
      <c r="H35" s="207"/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474.38</v>
      </c>
      <c r="O35" s="208">
        <v>18687.099999999999</v>
      </c>
      <c r="P35" s="208">
        <v>52812.9</v>
      </c>
      <c r="Q35" s="208">
        <v>0</v>
      </c>
      <c r="R35" s="208">
        <v>0</v>
      </c>
      <c r="S35" s="208">
        <v>0</v>
      </c>
      <c r="T35" s="208">
        <v>71974.38</v>
      </c>
    </row>
    <row r="36" spans="1:20">
      <c r="D36" s="70">
        <v>549.995</v>
      </c>
      <c r="E36" s="70">
        <v>2307.7249999999999</v>
      </c>
      <c r="F36" s="70">
        <v>86004.244999999981</v>
      </c>
      <c r="G36" s="70">
        <v>68995.755000000005</v>
      </c>
      <c r="H36" s="70">
        <v>0</v>
      </c>
      <c r="I36" s="70">
        <v>2.75</v>
      </c>
      <c r="J36" s="70">
        <v>4.125</v>
      </c>
      <c r="K36" s="71">
        <v>1.375</v>
      </c>
      <c r="L36" s="209">
        <v>158.13</v>
      </c>
      <c r="M36" s="209">
        <v>63249.43</v>
      </c>
      <c r="N36" s="209">
        <v>265388.38</v>
      </c>
      <c r="O36" s="209">
        <v>1229860.7</v>
      </c>
      <c r="P36" s="209">
        <v>986639.3</v>
      </c>
      <c r="Q36" s="209">
        <v>0</v>
      </c>
      <c r="R36" s="209">
        <v>2612.5</v>
      </c>
      <c r="S36" s="209">
        <v>495</v>
      </c>
      <c r="T36" s="209">
        <v>2548403.4300000002</v>
      </c>
    </row>
    <row r="37" spans="1:20">
      <c r="R37" s="73"/>
      <c r="S37" s="73"/>
      <c r="T37" s="210">
        <v>3109052.18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2E98-C937-424B-8C45-E610D7C34B33}">
  <sheetPr codeName="Лист48">
    <pageSetUpPr fitToPage="1"/>
  </sheetPr>
  <dimension ref="A1:T37"/>
  <sheetViews>
    <sheetView topLeftCell="B16"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289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30.035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30.035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30.035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30.035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30.035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30.035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30.035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30.035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30.035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30.035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30.035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30.035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30.035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30.035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30.035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30.035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30.035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30.035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30.035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30.035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30.035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30.035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30.035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30.035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30.452999999999999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30.452999999999999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30.452999999999999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30.452999999999999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30.452999999999999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30.452999999999999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30.452999999999999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0</v>
      </c>
      <c r="E36" s="70">
        <v>0</v>
      </c>
      <c r="F36" s="70">
        <v>934.01099999999985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0</v>
      </c>
      <c r="N36" s="209">
        <v>0</v>
      </c>
      <c r="O36" s="209">
        <v>37910.449999999997</v>
      </c>
      <c r="P36" s="209">
        <v>0</v>
      </c>
      <c r="Q36" s="209">
        <v>0</v>
      </c>
      <c r="R36" s="209">
        <v>0</v>
      </c>
      <c r="S36" s="209">
        <v>0</v>
      </c>
      <c r="T36" s="209">
        <v>37910.449999999997</v>
      </c>
    </row>
    <row r="37" spans="1:20">
      <c r="R37" s="73"/>
      <c r="S37" s="73"/>
      <c r="T37" s="210">
        <v>46250.75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8BEC-73D6-418B-8C44-07872C4C35AF}">
  <sheetPr codeName="Лист49">
    <pageSetUpPr fitToPage="1"/>
  </sheetPr>
  <dimension ref="A1:T37"/>
  <sheetViews>
    <sheetView topLeftCell="B16" workbookViewId="0">
      <selection activeCell="Q37" sqref="Q37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290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5589.3639999999996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5589.3639999999996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22.5</v>
      </c>
      <c r="E7" s="211">
        <v>45</v>
      </c>
      <c r="F7" s="211">
        <v>5566.8639999999996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44</v>
      </c>
      <c r="F8" s="211">
        <v>5522.8639999999996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67.5</v>
      </c>
      <c r="E9" s="211">
        <v>35.9</v>
      </c>
      <c r="F9" s="211">
        <v>5554.4639999999999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45</v>
      </c>
      <c r="E10" s="211">
        <v>66</v>
      </c>
      <c r="F10" s="211">
        <v>5533.4639999999999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5533.4639999999999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157.47499999999999</v>
      </c>
      <c r="E12" s="211">
        <v>0</v>
      </c>
      <c r="F12" s="211">
        <v>5690.9390000000003</v>
      </c>
      <c r="G12" s="207">
        <v>0</v>
      </c>
      <c r="H12" s="207">
        <v>0</v>
      </c>
      <c r="I12" s="62">
        <v>1.5</v>
      </c>
      <c r="J12" s="62">
        <v>1.5</v>
      </c>
      <c r="K12" s="63">
        <v>2.5000000000000001E-2</v>
      </c>
      <c r="L12" s="208">
        <v>2.25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1425</v>
      </c>
      <c r="S12" s="208">
        <v>180</v>
      </c>
      <c r="T12" s="208">
        <v>1607.25</v>
      </c>
    </row>
    <row r="13" spans="1:20">
      <c r="A13" s="65">
        <v>9</v>
      </c>
      <c r="B13" s="77" t="s">
        <v>205</v>
      </c>
      <c r="C13" s="78"/>
      <c r="D13" s="211">
        <v>45</v>
      </c>
      <c r="E13" s="211">
        <v>48.5</v>
      </c>
      <c r="F13" s="211">
        <v>5687.4390000000003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67.5</v>
      </c>
      <c r="E14" s="211">
        <v>44</v>
      </c>
      <c r="F14" s="211">
        <v>5710.9390000000003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22.5</v>
      </c>
      <c r="E15" s="211">
        <v>92.75</v>
      </c>
      <c r="F15" s="211">
        <v>5640.6890000000003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201.5</v>
      </c>
      <c r="F16" s="211">
        <v>5439.1890000000003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45</v>
      </c>
      <c r="E17" s="211">
        <v>22</v>
      </c>
      <c r="F17" s="211">
        <v>5462.1890000000003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5462.1890000000003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45</v>
      </c>
      <c r="E19" s="211">
        <v>44</v>
      </c>
      <c r="F19" s="211">
        <v>5463.1890000000003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22.5</v>
      </c>
      <c r="E20" s="211">
        <v>0</v>
      </c>
      <c r="F20" s="211">
        <v>5485.6890000000003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22</v>
      </c>
      <c r="F21" s="211">
        <v>5463.6890000000003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44.024999999999999</v>
      </c>
      <c r="F22" s="211">
        <v>5419.6639999999998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22</v>
      </c>
      <c r="F23" s="211">
        <v>5397.6639999999998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22</v>
      </c>
      <c r="E24" s="211">
        <v>22</v>
      </c>
      <c r="F24" s="211">
        <v>5397.6639999999998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1.2</v>
      </c>
      <c r="E25" s="211">
        <v>0</v>
      </c>
      <c r="F25" s="211">
        <v>5398.8639999999996</v>
      </c>
      <c r="G25" s="207">
        <v>0</v>
      </c>
      <c r="H25" s="207">
        <v>0</v>
      </c>
      <c r="I25" s="62">
        <v>0</v>
      </c>
      <c r="J25" s="62">
        <v>0</v>
      </c>
      <c r="K25" s="63">
        <v>1.2</v>
      </c>
      <c r="L25" s="208">
        <v>108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108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5398.8639999999996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21.375</v>
      </c>
      <c r="E27" s="211">
        <v>0</v>
      </c>
      <c r="F27" s="211">
        <v>5420.2389999999996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44</v>
      </c>
      <c r="F28" s="211">
        <v>5376.2389999999996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45</v>
      </c>
      <c r="F29" s="211">
        <v>5223.6850000000004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85.625</v>
      </c>
      <c r="F30" s="211">
        <v>5138.0600000000004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5138.0600000000004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157.5</v>
      </c>
      <c r="F32" s="211">
        <v>4980.5600000000004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66</v>
      </c>
      <c r="F33" s="211">
        <v>4914.5600000000004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135</v>
      </c>
      <c r="F34" s="211">
        <v>4779.5600000000004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42.625</v>
      </c>
      <c r="F35" s="211">
        <v>4736.9350000000004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584.55000000000007</v>
      </c>
      <c r="E36" s="70">
        <v>1329.425</v>
      </c>
      <c r="F36" s="70">
        <v>167116.60599999997</v>
      </c>
      <c r="G36" s="70">
        <v>0</v>
      </c>
      <c r="H36" s="70">
        <v>0</v>
      </c>
      <c r="I36" s="70">
        <v>1.5</v>
      </c>
      <c r="J36" s="70">
        <v>1.5</v>
      </c>
      <c r="K36" s="70">
        <v>1.2249999999999999</v>
      </c>
      <c r="L36" s="209">
        <v>110.25</v>
      </c>
      <c r="M36" s="209">
        <v>912000</v>
      </c>
      <c r="N36" s="209">
        <v>912000</v>
      </c>
      <c r="O36" s="209">
        <v>6783073.71</v>
      </c>
      <c r="P36" s="209">
        <v>0</v>
      </c>
      <c r="Q36" s="209">
        <v>0</v>
      </c>
      <c r="R36" s="209">
        <v>1425</v>
      </c>
      <c r="S36" s="209">
        <v>180</v>
      </c>
      <c r="T36" s="209">
        <v>8608678.7100000009</v>
      </c>
    </row>
    <row r="37" spans="1:20">
      <c r="R37" s="73"/>
      <c r="S37" s="73"/>
      <c r="T37" s="210">
        <v>10502588.029999999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0706-E96F-446B-9CE8-AB98B6F684A8}">
  <sheetPr codeName="Лист50">
    <pageSetUpPr fitToPage="1"/>
  </sheetPr>
  <dimension ref="A1:T37"/>
  <sheetViews>
    <sheetView topLeftCell="B15" workbookViewId="0">
      <selection activeCell="T38" sqref="T38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15.1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15.1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15.1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15.1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15.1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15.1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15.1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15.1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15.1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15.1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15.1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15.1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15.1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15.1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15.1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15.1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15.1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15.1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15.1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15.1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15.1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15.1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15.1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15.1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15.157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15.157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15.157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15.157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15.157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15.157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15.157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0</v>
      </c>
      <c r="E36" s="70">
        <v>0</v>
      </c>
      <c r="F36" s="70">
        <v>468.49899999999997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0</v>
      </c>
      <c r="N36" s="209">
        <v>0</v>
      </c>
      <c r="O36" s="209">
        <v>19015.84</v>
      </c>
      <c r="P36" s="209">
        <v>0</v>
      </c>
      <c r="Q36" s="209">
        <v>0</v>
      </c>
      <c r="R36" s="209">
        <v>0</v>
      </c>
      <c r="S36" s="209">
        <v>0</v>
      </c>
      <c r="T36" s="209">
        <v>19015.84</v>
      </c>
    </row>
    <row r="37" spans="1:20">
      <c r="R37" s="73"/>
      <c r="S37" s="73"/>
      <c r="T37" s="210">
        <v>23199.32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BE41-6F6E-482F-A533-1EE675A8DFEC}">
  <sheetPr codeName="Лист51"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21.91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21.91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21.91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21.91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21.91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21.91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21.91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21.91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21.91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21.91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21.91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21.91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21.91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21.91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21.91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21.91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21.91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21.91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21.91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21.91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21.91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21.91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21.91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21.91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21.91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21.91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21.91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21.91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21.91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21.91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21.91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0</v>
      </c>
      <c r="E36" s="70">
        <v>0</v>
      </c>
      <c r="F36" s="70">
        <v>679.21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0</v>
      </c>
      <c r="N36" s="209">
        <v>0</v>
      </c>
      <c r="O36" s="209">
        <v>15314.28</v>
      </c>
      <c r="P36" s="209">
        <v>0</v>
      </c>
      <c r="Q36" s="209">
        <v>0</v>
      </c>
      <c r="R36" s="209">
        <v>0</v>
      </c>
      <c r="S36" s="209">
        <v>0</v>
      </c>
      <c r="T36" s="209">
        <v>15314.28</v>
      </c>
    </row>
    <row r="37" spans="1:20">
      <c r="R37" s="73"/>
      <c r="S37" s="73"/>
      <c r="T37" s="210">
        <v>18683.419999999998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12E-6D37-4BC4-AB50-E8490F3BFC05}">
  <sheetPr codeName="Лист52"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2896.1889999999999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90</v>
      </c>
      <c r="E6" s="211">
        <v>0</v>
      </c>
      <c r="F6" s="211">
        <v>2986.1889999999999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202.5</v>
      </c>
      <c r="E7" s="211">
        <v>24.875</v>
      </c>
      <c r="F7" s="211">
        <v>3163.8139999999999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337.5</v>
      </c>
      <c r="E8" s="211">
        <v>0</v>
      </c>
      <c r="F8" s="211">
        <v>3501.3139999999999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292.5</v>
      </c>
      <c r="E9" s="211">
        <v>24.75</v>
      </c>
      <c r="F9" s="211">
        <v>3769.0639999999999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22.5</v>
      </c>
      <c r="E10" s="211">
        <v>68.625</v>
      </c>
      <c r="F10" s="211">
        <v>3722.9389999999999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3722.9389999999999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3722.9389999999999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3722.9389999999999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247.5</v>
      </c>
      <c r="E14" s="211">
        <v>121.925</v>
      </c>
      <c r="F14" s="211">
        <v>3848.5140000000001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90</v>
      </c>
      <c r="E15" s="211">
        <v>133.125</v>
      </c>
      <c r="F15" s="211">
        <v>3805.3890000000001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90</v>
      </c>
      <c r="E16" s="211">
        <v>202.5</v>
      </c>
      <c r="F16" s="211">
        <v>3692.8890000000001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22.5</v>
      </c>
      <c r="E17" s="211">
        <v>405</v>
      </c>
      <c r="F17" s="211">
        <v>3310.3890000000001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3310.3890000000001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3310.3890000000001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157.5</v>
      </c>
      <c r="E20" s="211">
        <v>112.5</v>
      </c>
      <c r="F20" s="211">
        <v>3355.3890000000001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337.5</v>
      </c>
      <c r="E21" s="211">
        <v>112</v>
      </c>
      <c r="F21" s="211">
        <v>3580.8890000000001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112.5</v>
      </c>
      <c r="E22" s="211">
        <v>112</v>
      </c>
      <c r="F22" s="211">
        <v>3581.3890000000001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90</v>
      </c>
      <c r="E23" s="211">
        <v>45</v>
      </c>
      <c r="F23" s="211">
        <v>3626.3890000000001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67.5</v>
      </c>
      <c r="E24" s="211">
        <v>65.625</v>
      </c>
      <c r="F24" s="211">
        <v>3628.2640000000001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3628.2640000000001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3628.2640000000001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22</v>
      </c>
      <c r="E27" s="211">
        <v>51.424999999999997</v>
      </c>
      <c r="F27" s="211">
        <v>3598.8389999999999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66.5</v>
      </c>
      <c r="E28" s="211">
        <v>46.5</v>
      </c>
      <c r="F28" s="211">
        <v>3618.8389999999999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179.5</v>
      </c>
      <c r="E29" s="211">
        <v>25.05</v>
      </c>
      <c r="F29" s="211">
        <v>3773.2890000000002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178.85</v>
      </c>
      <c r="E30" s="211">
        <v>97.5</v>
      </c>
      <c r="F30" s="211">
        <v>3854.6390000000001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157.5</v>
      </c>
      <c r="E31" s="211">
        <v>68.875</v>
      </c>
      <c r="F31" s="211">
        <v>3943.2640000000001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3943.2640000000001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3943.2640000000001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223.875</v>
      </c>
      <c r="E34" s="211">
        <v>138.375</v>
      </c>
      <c r="F34" s="211">
        <v>4028.7640000000001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157.5</v>
      </c>
      <c r="E35" s="211">
        <v>47.875</v>
      </c>
      <c r="F35" s="211">
        <v>4138.3890000000001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3145.7249999999999</v>
      </c>
      <c r="E36" s="70">
        <v>1903.5249999999999</v>
      </c>
      <c r="F36" s="70">
        <v>112357.68399999999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450934.36</v>
      </c>
      <c r="N36" s="209">
        <v>437606.52</v>
      </c>
      <c r="O36" s="209">
        <v>2533351.31</v>
      </c>
      <c r="P36" s="209">
        <v>0</v>
      </c>
      <c r="Q36" s="209">
        <v>0</v>
      </c>
      <c r="R36" s="209">
        <v>0</v>
      </c>
      <c r="S36" s="209">
        <v>0</v>
      </c>
      <c r="T36" s="209">
        <v>3421892.19</v>
      </c>
    </row>
    <row r="37" spans="1:20">
      <c r="R37" s="73"/>
      <c r="S37" s="73"/>
      <c r="T37" s="210">
        <v>4174708.47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729E-8BEA-4CED-8535-FD19A243973A}">
  <sheetPr codeName="Лист53"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7"/>
    <col min="4" max="4" width="11.7109375" style="47" customWidth="1"/>
    <col min="5" max="5" width="12.140625" style="47" customWidth="1"/>
    <col min="6" max="6" width="13.28515625" style="47" customWidth="1"/>
    <col min="7" max="7" width="11.42578125" style="47" customWidth="1"/>
    <col min="8" max="8" width="10.42578125" style="47" customWidth="1"/>
    <col min="9" max="9" width="10.5703125" style="47" bestFit="1" customWidth="1"/>
    <col min="10" max="10" width="9.42578125" style="47" bestFit="1" customWidth="1"/>
    <col min="11" max="12" width="9.140625" style="47"/>
    <col min="13" max="13" width="15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188</v>
      </c>
      <c r="H3" s="49" t="s">
        <v>189</v>
      </c>
      <c r="I3" s="49" t="s">
        <v>7</v>
      </c>
      <c r="J3" s="49" t="s">
        <v>8</v>
      </c>
      <c r="K3" s="49" t="s">
        <v>190</v>
      </c>
      <c r="L3" s="49" t="s">
        <v>191</v>
      </c>
      <c r="M3" s="49" t="s">
        <v>192</v>
      </c>
      <c r="N3" s="49" t="s">
        <v>193</v>
      </c>
      <c r="O3" s="49" t="s">
        <v>194</v>
      </c>
      <c r="P3" s="49" t="s">
        <v>195</v>
      </c>
      <c r="Q3" s="49" t="s">
        <v>196</v>
      </c>
      <c r="R3" s="49" t="s">
        <v>16</v>
      </c>
      <c r="S3" s="49" t="s">
        <v>17</v>
      </c>
      <c r="T3" s="49" t="s">
        <v>18</v>
      </c>
    </row>
    <row r="4" spans="1:20" ht="27" customHeight="1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29.1</v>
      </c>
      <c r="G5" s="207">
        <v>0</v>
      </c>
      <c r="H5" s="207">
        <v>0</v>
      </c>
      <c r="I5" s="62">
        <v>0</v>
      </c>
      <c r="J5" s="62">
        <v>0</v>
      </c>
      <c r="K5" s="63">
        <v>0</v>
      </c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29.1</v>
      </c>
      <c r="G6" s="207">
        <v>0</v>
      </c>
      <c r="H6" s="207">
        <v>0</v>
      </c>
      <c r="I6" s="62">
        <v>0</v>
      </c>
      <c r="J6" s="62">
        <v>0</v>
      </c>
      <c r="K6" s="63">
        <v>0</v>
      </c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29.1</v>
      </c>
      <c r="G7" s="207">
        <v>0</v>
      </c>
      <c r="H7" s="207">
        <v>0</v>
      </c>
      <c r="I7" s="62">
        <v>0</v>
      </c>
      <c r="J7" s="62">
        <v>0</v>
      </c>
      <c r="K7" s="63">
        <v>0</v>
      </c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29.1</v>
      </c>
      <c r="G8" s="207">
        <v>0</v>
      </c>
      <c r="H8" s="207">
        <v>0</v>
      </c>
      <c r="I8" s="62">
        <v>0</v>
      </c>
      <c r="J8" s="62">
        <v>0</v>
      </c>
      <c r="K8" s="63">
        <v>0</v>
      </c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29.1</v>
      </c>
      <c r="G9" s="207">
        <v>0</v>
      </c>
      <c r="H9" s="207">
        <v>0</v>
      </c>
      <c r="I9" s="62">
        <v>0</v>
      </c>
      <c r="J9" s="62">
        <v>0</v>
      </c>
      <c r="K9" s="63">
        <v>0</v>
      </c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29.1</v>
      </c>
      <c r="G10" s="207">
        <v>0</v>
      </c>
      <c r="H10" s="207">
        <v>0</v>
      </c>
      <c r="I10" s="62">
        <v>0</v>
      </c>
      <c r="J10" s="62">
        <v>0</v>
      </c>
      <c r="K10" s="63">
        <v>0</v>
      </c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29.1</v>
      </c>
      <c r="G11" s="207">
        <v>0</v>
      </c>
      <c r="H11" s="207">
        <v>0</v>
      </c>
      <c r="I11" s="62">
        <v>0</v>
      </c>
      <c r="J11" s="62">
        <v>0</v>
      </c>
      <c r="K11" s="63">
        <v>0</v>
      </c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29.1</v>
      </c>
      <c r="G12" s="207">
        <v>0</v>
      </c>
      <c r="H12" s="207">
        <v>0</v>
      </c>
      <c r="I12" s="62">
        <v>0</v>
      </c>
      <c r="J12" s="62">
        <v>0</v>
      </c>
      <c r="K12" s="63">
        <v>0</v>
      </c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29.1</v>
      </c>
      <c r="G13" s="207">
        <v>0</v>
      </c>
      <c r="H13" s="207">
        <v>0</v>
      </c>
      <c r="I13" s="62">
        <v>0</v>
      </c>
      <c r="J13" s="62">
        <v>0</v>
      </c>
      <c r="K13" s="63">
        <v>0</v>
      </c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29.1</v>
      </c>
      <c r="G14" s="207">
        <v>0</v>
      </c>
      <c r="H14" s="207">
        <v>0</v>
      </c>
      <c r="I14" s="62">
        <v>0</v>
      </c>
      <c r="J14" s="62">
        <v>0</v>
      </c>
      <c r="K14" s="63">
        <v>0</v>
      </c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29.1</v>
      </c>
      <c r="G15" s="207">
        <v>0</v>
      </c>
      <c r="H15" s="207">
        <v>0</v>
      </c>
      <c r="I15" s="62">
        <v>0</v>
      </c>
      <c r="J15" s="62">
        <v>0</v>
      </c>
      <c r="K15" s="63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29.1</v>
      </c>
      <c r="G16" s="207">
        <v>0</v>
      </c>
      <c r="H16" s="207">
        <v>0</v>
      </c>
      <c r="I16" s="62">
        <v>0</v>
      </c>
      <c r="J16" s="62">
        <v>0</v>
      </c>
      <c r="K16" s="63">
        <v>0</v>
      </c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29.1</v>
      </c>
      <c r="G17" s="207">
        <v>0</v>
      </c>
      <c r="H17" s="207">
        <v>0</v>
      </c>
      <c r="I17" s="62">
        <v>0</v>
      </c>
      <c r="J17" s="62">
        <v>0</v>
      </c>
      <c r="K17" s="63">
        <v>0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29.1</v>
      </c>
      <c r="G18" s="207">
        <v>0</v>
      </c>
      <c r="H18" s="207">
        <v>0</v>
      </c>
      <c r="I18" s="62">
        <v>0</v>
      </c>
      <c r="J18" s="62">
        <v>0</v>
      </c>
      <c r="K18" s="63">
        <v>0</v>
      </c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29.1</v>
      </c>
      <c r="G19" s="207">
        <v>0</v>
      </c>
      <c r="H19" s="207">
        <v>0</v>
      </c>
      <c r="I19" s="62">
        <v>0</v>
      </c>
      <c r="J19" s="62">
        <v>0</v>
      </c>
      <c r="K19" s="63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110</v>
      </c>
      <c r="E20" s="211">
        <v>0</v>
      </c>
      <c r="F20" s="211">
        <v>139.1</v>
      </c>
      <c r="G20" s="207">
        <v>0</v>
      </c>
      <c r="H20" s="207">
        <v>0</v>
      </c>
      <c r="I20" s="62">
        <v>0</v>
      </c>
      <c r="J20" s="62">
        <v>0</v>
      </c>
      <c r="K20" s="63">
        <v>0</v>
      </c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44</v>
      </c>
      <c r="E21" s="211">
        <v>0</v>
      </c>
      <c r="F21" s="211">
        <v>183.1</v>
      </c>
      <c r="G21" s="207">
        <v>0</v>
      </c>
      <c r="H21" s="207">
        <v>0</v>
      </c>
      <c r="I21" s="62">
        <v>0</v>
      </c>
      <c r="J21" s="62">
        <v>0</v>
      </c>
      <c r="K21" s="63">
        <v>0</v>
      </c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183.1</v>
      </c>
      <c r="G22" s="207">
        <v>0</v>
      </c>
      <c r="H22" s="207">
        <v>0</v>
      </c>
      <c r="I22" s="62">
        <v>0</v>
      </c>
      <c r="J22" s="62">
        <v>0</v>
      </c>
      <c r="K22" s="63">
        <v>0</v>
      </c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183.1</v>
      </c>
      <c r="G23" s="207">
        <v>0</v>
      </c>
      <c r="H23" s="207">
        <v>0</v>
      </c>
      <c r="I23" s="62">
        <v>0</v>
      </c>
      <c r="J23" s="62">
        <v>0</v>
      </c>
      <c r="K23" s="63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183.1</v>
      </c>
      <c r="G24" s="207">
        <v>0</v>
      </c>
      <c r="H24" s="207">
        <v>0</v>
      </c>
      <c r="I24" s="62">
        <v>0</v>
      </c>
      <c r="J24" s="62">
        <v>0</v>
      </c>
      <c r="K24" s="63">
        <v>0</v>
      </c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183.1</v>
      </c>
      <c r="G25" s="207">
        <v>0</v>
      </c>
      <c r="H25" s="207">
        <v>0</v>
      </c>
      <c r="I25" s="62">
        <v>0</v>
      </c>
      <c r="J25" s="62">
        <v>0</v>
      </c>
      <c r="K25" s="63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183.1</v>
      </c>
      <c r="G26" s="207">
        <v>0</v>
      </c>
      <c r="H26" s="207">
        <v>0</v>
      </c>
      <c r="I26" s="62">
        <v>0</v>
      </c>
      <c r="J26" s="62">
        <v>0</v>
      </c>
      <c r="K26" s="63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22</v>
      </c>
      <c r="F27" s="211">
        <v>161.1</v>
      </c>
      <c r="G27" s="207">
        <v>0</v>
      </c>
      <c r="H27" s="207">
        <v>0</v>
      </c>
      <c r="I27" s="62">
        <v>0</v>
      </c>
      <c r="J27" s="62">
        <v>0</v>
      </c>
      <c r="K27" s="63">
        <v>0</v>
      </c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44</v>
      </c>
      <c r="F28" s="211">
        <v>117.1</v>
      </c>
      <c r="G28" s="207">
        <v>0</v>
      </c>
      <c r="H28" s="207">
        <v>0</v>
      </c>
      <c r="I28" s="62">
        <v>0</v>
      </c>
      <c r="J28" s="62">
        <v>0</v>
      </c>
      <c r="K28" s="63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117.1</v>
      </c>
      <c r="G29" s="207">
        <v>0</v>
      </c>
      <c r="H29" s="207">
        <v>0</v>
      </c>
      <c r="I29" s="62">
        <v>0</v>
      </c>
      <c r="J29" s="62">
        <v>0</v>
      </c>
      <c r="K29" s="63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44</v>
      </c>
      <c r="F30" s="211">
        <v>73.099999999999994</v>
      </c>
      <c r="G30" s="207">
        <v>0</v>
      </c>
      <c r="H30" s="207">
        <v>0</v>
      </c>
      <c r="I30" s="62">
        <v>0</v>
      </c>
      <c r="J30" s="62">
        <v>0</v>
      </c>
      <c r="K30" s="63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22</v>
      </c>
      <c r="F31" s="211">
        <v>51.1</v>
      </c>
      <c r="G31" s="207">
        <v>0</v>
      </c>
      <c r="H31" s="207">
        <v>0</v>
      </c>
      <c r="I31" s="62">
        <v>0</v>
      </c>
      <c r="J31" s="62">
        <v>0</v>
      </c>
      <c r="K31" s="63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51.1</v>
      </c>
      <c r="G32" s="207">
        <v>0</v>
      </c>
      <c r="H32" s="207">
        <v>0</v>
      </c>
      <c r="I32" s="62">
        <v>0</v>
      </c>
      <c r="J32" s="62">
        <v>0</v>
      </c>
      <c r="K32" s="63">
        <v>0</v>
      </c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51.1</v>
      </c>
      <c r="G33" s="207">
        <v>0</v>
      </c>
      <c r="H33" s="207">
        <v>0</v>
      </c>
      <c r="I33" s="62">
        <v>0</v>
      </c>
      <c r="J33" s="62">
        <v>0</v>
      </c>
      <c r="K33" s="63">
        <v>0</v>
      </c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51.1</v>
      </c>
      <c r="G34" s="207">
        <v>0</v>
      </c>
      <c r="H34" s="207">
        <v>0</v>
      </c>
      <c r="I34" s="62">
        <v>0</v>
      </c>
      <c r="J34" s="62">
        <v>0</v>
      </c>
      <c r="K34" s="63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22</v>
      </c>
      <c r="F35" s="211">
        <v>29.1</v>
      </c>
      <c r="G35" s="207">
        <v>0</v>
      </c>
      <c r="H35" s="207">
        <v>0</v>
      </c>
      <c r="I35" s="62">
        <v>0</v>
      </c>
      <c r="J35" s="62">
        <v>0</v>
      </c>
      <c r="K35" s="63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154</v>
      </c>
      <c r="E36" s="70">
        <v>154</v>
      </c>
      <c r="F36" s="70">
        <v>2376.099999999999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209">
        <v>0</v>
      </c>
      <c r="M36" s="209">
        <v>22075.64</v>
      </c>
      <c r="N36" s="209">
        <v>35403.480000000003</v>
      </c>
      <c r="O36" s="209">
        <v>53574.400000000001</v>
      </c>
      <c r="P36" s="209">
        <v>0</v>
      </c>
      <c r="Q36" s="209">
        <v>0</v>
      </c>
      <c r="R36" s="209">
        <v>0</v>
      </c>
      <c r="S36" s="209">
        <v>0</v>
      </c>
      <c r="T36" s="209">
        <v>111053.52</v>
      </c>
    </row>
    <row r="37" spans="1:20">
      <c r="R37" s="73"/>
      <c r="S37" s="73"/>
      <c r="T37" s="210">
        <v>135485.29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00E1-F61D-4188-A985-76A6B8DD5E09}">
  <sheetPr codeName="Лист54">
    <pageSetUpPr fitToPage="1"/>
  </sheetPr>
  <dimension ref="A1:T37"/>
  <sheetViews>
    <sheetView topLeftCell="A14" workbookViewId="0">
      <selection activeCell="T37" sqref="T37"/>
    </sheetView>
  </sheetViews>
  <sheetFormatPr defaultRowHeight="15"/>
  <cols>
    <col min="1" max="3" width="9.140625" style="47"/>
    <col min="4" max="4" width="11.85546875" style="47" customWidth="1"/>
    <col min="5" max="5" width="12.28515625" style="47" customWidth="1"/>
    <col min="6" max="6" width="13.140625" style="47" customWidth="1"/>
    <col min="7" max="7" width="11.42578125" style="47" customWidth="1"/>
    <col min="8" max="8" width="10.7109375" style="47" customWidth="1"/>
    <col min="9" max="9" width="10.5703125" style="47" bestFit="1" customWidth="1"/>
    <col min="10" max="12" width="9.140625" style="47"/>
    <col min="13" max="13" width="13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280</v>
      </c>
      <c r="H3" s="49" t="s">
        <v>189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281</v>
      </c>
      <c r="P3" s="49" t="s">
        <v>195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927.84299999999996</v>
      </c>
      <c r="G5" s="207">
        <v>0</v>
      </c>
      <c r="H5" s="207">
        <v>0</v>
      </c>
      <c r="I5" s="62">
        <v>0</v>
      </c>
      <c r="J5" s="63">
        <v>0</v>
      </c>
      <c r="K5" s="63"/>
      <c r="L5" s="208">
        <v>0</v>
      </c>
      <c r="M5" s="208">
        <v>0</v>
      </c>
      <c r="N5" s="208">
        <v>0</v>
      </c>
      <c r="O5" s="208">
        <v>0</v>
      </c>
      <c r="P5" s="208">
        <v>0</v>
      </c>
      <c r="Q5" s="208">
        <v>0</v>
      </c>
      <c r="R5" s="208">
        <v>0</v>
      </c>
      <c r="S5" s="208">
        <v>0</v>
      </c>
      <c r="T5" s="208">
        <v>0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927.84299999999996</v>
      </c>
      <c r="G6" s="207">
        <v>0</v>
      </c>
      <c r="H6" s="207">
        <v>0</v>
      </c>
      <c r="I6" s="62">
        <v>0</v>
      </c>
      <c r="J6" s="63">
        <v>0</v>
      </c>
      <c r="K6" s="63"/>
      <c r="L6" s="208">
        <v>0</v>
      </c>
      <c r="M6" s="208">
        <v>0</v>
      </c>
      <c r="N6" s="208">
        <v>0</v>
      </c>
      <c r="O6" s="208">
        <v>0</v>
      </c>
      <c r="P6" s="208">
        <v>0</v>
      </c>
      <c r="Q6" s="208">
        <v>0</v>
      </c>
      <c r="R6" s="208">
        <v>0</v>
      </c>
      <c r="S6" s="208">
        <v>0</v>
      </c>
      <c r="T6" s="208">
        <v>0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927.84299999999996</v>
      </c>
      <c r="G7" s="207">
        <v>0</v>
      </c>
      <c r="H7" s="207">
        <v>0</v>
      </c>
      <c r="I7" s="62">
        <v>0</v>
      </c>
      <c r="J7" s="63">
        <v>0</v>
      </c>
      <c r="K7" s="63"/>
      <c r="L7" s="208">
        <v>0</v>
      </c>
      <c r="M7" s="208">
        <v>0</v>
      </c>
      <c r="N7" s="208">
        <v>0</v>
      </c>
      <c r="O7" s="208">
        <v>0</v>
      </c>
      <c r="P7" s="208">
        <v>0</v>
      </c>
      <c r="Q7" s="208">
        <v>0</v>
      </c>
      <c r="R7" s="208">
        <v>0</v>
      </c>
      <c r="S7" s="208">
        <v>0</v>
      </c>
      <c r="T7" s="208">
        <v>0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927.84299999999996</v>
      </c>
      <c r="G8" s="207">
        <v>0</v>
      </c>
      <c r="H8" s="207">
        <v>0</v>
      </c>
      <c r="I8" s="62">
        <v>0</v>
      </c>
      <c r="J8" s="63">
        <v>0</v>
      </c>
      <c r="K8" s="63"/>
      <c r="L8" s="208">
        <v>0</v>
      </c>
      <c r="M8" s="208">
        <v>0</v>
      </c>
      <c r="N8" s="208">
        <v>0</v>
      </c>
      <c r="O8" s="208">
        <v>0</v>
      </c>
      <c r="P8" s="208">
        <v>0</v>
      </c>
      <c r="Q8" s="208">
        <v>0</v>
      </c>
      <c r="R8" s="208">
        <v>0</v>
      </c>
      <c r="S8" s="208">
        <v>0</v>
      </c>
      <c r="T8" s="208">
        <v>0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927.84299999999996</v>
      </c>
      <c r="G9" s="207">
        <v>0</v>
      </c>
      <c r="H9" s="207">
        <v>0</v>
      </c>
      <c r="I9" s="62">
        <v>0</v>
      </c>
      <c r="J9" s="63">
        <v>0</v>
      </c>
      <c r="K9" s="63"/>
      <c r="L9" s="208">
        <v>0</v>
      </c>
      <c r="M9" s="208">
        <v>0</v>
      </c>
      <c r="N9" s="208">
        <v>0</v>
      </c>
      <c r="O9" s="208">
        <v>0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927.84299999999996</v>
      </c>
      <c r="G10" s="207">
        <v>0</v>
      </c>
      <c r="H10" s="207">
        <v>0</v>
      </c>
      <c r="I10" s="62">
        <v>0</v>
      </c>
      <c r="J10" s="63">
        <v>0</v>
      </c>
      <c r="K10" s="63"/>
      <c r="L10" s="208">
        <v>0</v>
      </c>
      <c r="M10" s="208">
        <v>0</v>
      </c>
      <c r="N10" s="208">
        <v>0</v>
      </c>
      <c r="O10" s="208">
        <v>0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927.84299999999996</v>
      </c>
      <c r="G11" s="207">
        <v>0</v>
      </c>
      <c r="H11" s="207">
        <v>0</v>
      </c>
      <c r="I11" s="62">
        <v>0</v>
      </c>
      <c r="J11" s="63">
        <v>0</v>
      </c>
      <c r="K11" s="63"/>
      <c r="L11" s="208">
        <v>0</v>
      </c>
      <c r="M11" s="208">
        <v>0</v>
      </c>
      <c r="N11" s="208">
        <v>0</v>
      </c>
      <c r="O11" s="208">
        <v>0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927.84299999999996</v>
      </c>
      <c r="G12" s="207">
        <v>0</v>
      </c>
      <c r="H12" s="207">
        <v>0</v>
      </c>
      <c r="I12" s="62">
        <v>0</v>
      </c>
      <c r="J12" s="63">
        <v>0</v>
      </c>
      <c r="K12" s="63"/>
      <c r="L12" s="208">
        <v>0</v>
      </c>
      <c r="M12" s="208">
        <v>0</v>
      </c>
      <c r="N12" s="208">
        <v>0</v>
      </c>
      <c r="O12" s="208">
        <v>0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927.84299999999996</v>
      </c>
      <c r="G13" s="207">
        <v>0</v>
      </c>
      <c r="H13" s="207">
        <v>0</v>
      </c>
      <c r="I13" s="62">
        <v>0</v>
      </c>
      <c r="J13" s="63">
        <v>0</v>
      </c>
      <c r="K13" s="63"/>
      <c r="L13" s="208">
        <v>0</v>
      </c>
      <c r="M13" s="208">
        <v>0</v>
      </c>
      <c r="N13" s="208">
        <v>0</v>
      </c>
      <c r="O13" s="208">
        <v>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927.84299999999996</v>
      </c>
      <c r="G14" s="207">
        <v>0</v>
      </c>
      <c r="H14" s="207">
        <v>0</v>
      </c>
      <c r="I14" s="62">
        <v>0</v>
      </c>
      <c r="J14" s="63">
        <v>0</v>
      </c>
      <c r="K14" s="63"/>
      <c r="L14" s="208">
        <v>0</v>
      </c>
      <c r="M14" s="208">
        <v>0</v>
      </c>
      <c r="N14" s="208">
        <v>0</v>
      </c>
      <c r="O14" s="208">
        <v>0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927.84299999999996</v>
      </c>
      <c r="G15" s="207">
        <v>0</v>
      </c>
      <c r="H15" s="207">
        <v>0</v>
      </c>
      <c r="I15" s="62">
        <v>0</v>
      </c>
      <c r="J15" s="63">
        <v>0</v>
      </c>
      <c r="K15" s="63"/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208">
        <v>0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927.84299999999996</v>
      </c>
      <c r="G16" s="207">
        <v>0</v>
      </c>
      <c r="H16" s="207">
        <v>0</v>
      </c>
      <c r="I16" s="62">
        <v>0</v>
      </c>
      <c r="J16" s="63">
        <v>0</v>
      </c>
      <c r="K16" s="68"/>
      <c r="L16" s="208">
        <v>0</v>
      </c>
      <c r="M16" s="208">
        <v>0</v>
      </c>
      <c r="N16" s="208">
        <v>0</v>
      </c>
      <c r="O16" s="208">
        <v>0</v>
      </c>
      <c r="P16" s="208">
        <v>0</v>
      </c>
      <c r="Q16" s="208">
        <v>0</v>
      </c>
      <c r="R16" s="208">
        <v>0</v>
      </c>
      <c r="S16" s="208">
        <v>0</v>
      </c>
      <c r="T16" s="208">
        <v>0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927.84299999999996</v>
      </c>
      <c r="G17" s="207">
        <v>0</v>
      </c>
      <c r="H17" s="207">
        <v>0</v>
      </c>
      <c r="I17" s="62">
        <v>0</v>
      </c>
      <c r="J17" s="63">
        <v>0</v>
      </c>
      <c r="K17" s="63"/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208">
        <v>0</v>
      </c>
      <c r="S17" s="208">
        <v>0</v>
      </c>
      <c r="T17" s="208">
        <v>0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927.84299999999996</v>
      </c>
      <c r="G18" s="207">
        <v>0</v>
      </c>
      <c r="H18" s="207">
        <v>0</v>
      </c>
      <c r="I18" s="62">
        <v>0</v>
      </c>
      <c r="J18" s="63">
        <v>0</v>
      </c>
      <c r="K18" s="63"/>
      <c r="L18" s="208">
        <v>0</v>
      </c>
      <c r="M18" s="208">
        <v>0</v>
      </c>
      <c r="N18" s="208">
        <v>0</v>
      </c>
      <c r="O18" s="208">
        <v>0</v>
      </c>
      <c r="P18" s="208">
        <v>0</v>
      </c>
      <c r="Q18" s="208">
        <v>0</v>
      </c>
      <c r="R18" s="208">
        <v>0</v>
      </c>
      <c r="S18" s="208">
        <v>0</v>
      </c>
      <c r="T18" s="208">
        <v>0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927.84299999999996</v>
      </c>
      <c r="G19" s="207">
        <v>0</v>
      </c>
      <c r="H19" s="207">
        <v>0</v>
      </c>
      <c r="I19" s="62">
        <v>0</v>
      </c>
      <c r="J19" s="63">
        <v>0</v>
      </c>
      <c r="K19" s="63"/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208">
        <v>0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0</v>
      </c>
      <c r="F20" s="211">
        <v>927.84299999999996</v>
      </c>
      <c r="G20" s="207">
        <v>0</v>
      </c>
      <c r="H20" s="207">
        <v>0</v>
      </c>
      <c r="I20" s="62">
        <v>0</v>
      </c>
      <c r="J20" s="63">
        <v>0</v>
      </c>
      <c r="K20" s="63"/>
      <c r="L20" s="208">
        <v>0</v>
      </c>
      <c r="M20" s="208">
        <v>0</v>
      </c>
      <c r="N20" s="208">
        <v>0</v>
      </c>
      <c r="O20" s="208">
        <v>0</v>
      </c>
      <c r="P20" s="208">
        <v>0</v>
      </c>
      <c r="Q20" s="208">
        <v>0</v>
      </c>
      <c r="R20" s="208">
        <v>0</v>
      </c>
      <c r="S20" s="208">
        <v>0</v>
      </c>
      <c r="T20" s="208">
        <v>0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0</v>
      </c>
      <c r="F21" s="211">
        <v>927.84299999999996</v>
      </c>
      <c r="G21" s="207">
        <v>0</v>
      </c>
      <c r="H21" s="207">
        <v>0</v>
      </c>
      <c r="I21" s="62">
        <v>0</v>
      </c>
      <c r="J21" s="63">
        <v>0</v>
      </c>
      <c r="K21" s="63"/>
      <c r="L21" s="208">
        <v>0</v>
      </c>
      <c r="M21" s="208">
        <v>0</v>
      </c>
      <c r="N21" s="208">
        <v>0</v>
      </c>
      <c r="O21" s="208">
        <v>0</v>
      </c>
      <c r="P21" s="208">
        <v>0</v>
      </c>
      <c r="Q21" s="208">
        <v>0</v>
      </c>
      <c r="R21" s="208">
        <v>0</v>
      </c>
      <c r="S21" s="208">
        <v>0</v>
      </c>
      <c r="T21" s="208">
        <v>0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0</v>
      </c>
      <c r="F22" s="211">
        <v>927.84299999999996</v>
      </c>
      <c r="G22" s="207">
        <v>0</v>
      </c>
      <c r="H22" s="207">
        <v>0</v>
      </c>
      <c r="I22" s="62">
        <v>0</v>
      </c>
      <c r="J22" s="63">
        <v>0</v>
      </c>
      <c r="K22" s="63"/>
      <c r="L22" s="208">
        <v>0</v>
      </c>
      <c r="M22" s="208">
        <v>0</v>
      </c>
      <c r="N22" s="208">
        <v>0</v>
      </c>
      <c r="O22" s="208">
        <v>0</v>
      </c>
      <c r="P22" s="208">
        <v>0</v>
      </c>
      <c r="Q22" s="208">
        <v>0</v>
      </c>
      <c r="R22" s="208">
        <v>0</v>
      </c>
      <c r="S22" s="208">
        <v>0</v>
      </c>
      <c r="T22" s="208">
        <v>0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0</v>
      </c>
      <c r="F23" s="211">
        <v>927.84299999999996</v>
      </c>
      <c r="G23" s="207">
        <v>0</v>
      </c>
      <c r="H23" s="207">
        <v>0</v>
      </c>
      <c r="I23" s="62">
        <v>0</v>
      </c>
      <c r="J23" s="63">
        <v>0</v>
      </c>
      <c r="K23" s="63"/>
      <c r="L23" s="208">
        <v>0</v>
      </c>
      <c r="M23" s="208">
        <v>0</v>
      </c>
      <c r="N23" s="208">
        <v>0</v>
      </c>
      <c r="O23" s="208">
        <v>0</v>
      </c>
      <c r="P23" s="208">
        <v>0</v>
      </c>
      <c r="Q23" s="208">
        <v>0</v>
      </c>
      <c r="R23" s="208">
        <v>0</v>
      </c>
      <c r="S23" s="208">
        <v>0</v>
      </c>
      <c r="T23" s="208">
        <v>0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0</v>
      </c>
      <c r="F24" s="211">
        <v>927.84299999999996</v>
      </c>
      <c r="G24" s="207">
        <v>0</v>
      </c>
      <c r="H24" s="207">
        <v>0</v>
      </c>
      <c r="I24" s="62">
        <v>0</v>
      </c>
      <c r="J24" s="63">
        <v>0</v>
      </c>
      <c r="K24" s="63"/>
      <c r="L24" s="208">
        <v>0</v>
      </c>
      <c r="M24" s="208">
        <v>0</v>
      </c>
      <c r="N24" s="208">
        <v>0</v>
      </c>
      <c r="O24" s="208">
        <v>0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927.84299999999996</v>
      </c>
      <c r="G25" s="207">
        <v>0</v>
      </c>
      <c r="H25" s="207">
        <v>0</v>
      </c>
      <c r="I25" s="62">
        <v>0</v>
      </c>
      <c r="J25" s="63">
        <v>0</v>
      </c>
      <c r="K25" s="63"/>
      <c r="L25" s="208">
        <v>0</v>
      </c>
      <c r="M25" s="208">
        <v>0</v>
      </c>
      <c r="N25" s="208">
        <v>0</v>
      </c>
      <c r="O25" s="208">
        <v>0</v>
      </c>
      <c r="P25" s="208">
        <v>0</v>
      </c>
      <c r="Q25" s="208">
        <v>0</v>
      </c>
      <c r="R25" s="208">
        <v>0</v>
      </c>
      <c r="S25" s="208">
        <v>0</v>
      </c>
      <c r="T25" s="208">
        <v>0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927.84299999999996</v>
      </c>
      <c r="G26" s="207">
        <v>0</v>
      </c>
      <c r="H26" s="207">
        <v>0</v>
      </c>
      <c r="I26" s="62">
        <v>0</v>
      </c>
      <c r="J26" s="63">
        <v>0</v>
      </c>
      <c r="K26" s="63"/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0</v>
      </c>
      <c r="F27" s="211">
        <v>927.84299999999996</v>
      </c>
      <c r="G27" s="207">
        <v>0</v>
      </c>
      <c r="H27" s="207">
        <v>0</v>
      </c>
      <c r="I27" s="62">
        <v>0</v>
      </c>
      <c r="J27" s="63">
        <v>0</v>
      </c>
      <c r="K27" s="63"/>
      <c r="L27" s="208">
        <v>0</v>
      </c>
      <c r="M27" s="208">
        <v>0</v>
      </c>
      <c r="N27" s="208">
        <v>0</v>
      </c>
      <c r="O27" s="208">
        <v>0</v>
      </c>
      <c r="P27" s="208">
        <v>0</v>
      </c>
      <c r="Q27" s="208">
        <v>0</v>
      </c>
      <c r="R27" s="208">
        <v>0</v>
      </c>
      <c r="S27" s="208">
        <v>0</v>
      </c>
      <c r="T27" s="208">
        <v>0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0</v>
      </c>
      <c r="F28" s="211">
        <v>927.84299999999996</v>
      </c>
      <c r="G28" s="207">
        <v>0</v>
      </c>
      <c r="H28" s="207">
        <v>0</v>
      </c>
      <c r="I28" s="62">
        <v>0</v>
      </c>
      <c r="J28" s="63">
        <v>0</v>
      </c>
      <c r="K28" s="63"/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208">
        <v>0</v>
      </c>
      <c r="S28" s="208">
        <v>0</v>
      </c>
      <c r="T28" s="208">
        <v>0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0</v>
      </c>
      <c r="F29" s="211">
        <v>927.84299999999996</v>
      </c>
      <c r="G29" s="207">
        <v>0</v>
      </c>
      <c r="H29" s="207">
        <v>0</v>
      </c>
      <c r="I29" s="62">
        <v>0</v>
      </c>
      <c r="J29" s="63">
        <v>0</v>
      </c>
      <c r="K29" s="63"/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208">
        <v>0</v>
      </c>
      <c r="S29" s="208">
        <v>0</v>
      </c>
      <c r="T29" s="208">
        <v>0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0</v>
      </c>
      <c r="F30" s="211">
        <v>927.84299999999996</v>
      </c>
      <c r="G30" s="207">
        <v>0</v>
      </c>
      <c r="H30" s="207">
        <v>0</v>
      </c>
      <c r="I30" s="62">
        <v>0</v>
      </c>
      <c r="J30" s="63">
        <v>0</v>
      </c>
      <c r="K30" s="63"/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208">
        <v>0</v>
      </c>
      <c r="S30" s="208">
        <v>0</v>
      </c>
      <c r="T30" s="208">
        <v>0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0</v>
      </c>
      <c r="F31" s="211">
        <v>927.84299999999996</v>
      </c>
      <c r="G31" s="207">
        <v>0</v>
      </c>
      <c r="H31" s="207">
        <v>0</v>
      </c>
      <c r="I31" s="62">
        <v>0</v>
      </c>
      <c r="J31" s="63">
        <v>0</v>
      </c>
      <c r="K31" s="63"/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208">
        <v>0</v>
      </c>
      <c r="S31" s="208">
        <v>0</v>
      </c>
      <c r="T31" s="208">
        <v>0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927.84299999999996</v>
      </c>
      <c r="G32" s="207">
        <v>0</v>
      </c>
      <c r="H32" s="207">
        <v>0</v>
      </c>
      <c r="I32" s="62">
        <v>0</v>
      </c>
      <c r="J32" s="63">
        <v>0</v>
      </c>
      <c r="K32" s="63"/>
      <c r="L32" s="208">
        <v>0</v>
      </c>
      <c r="M32" s="208">
        <v>0</v>
      </c>
      <c r="N32" s="208">
        <v>0</v>
      </c>
      <c r="O32" s="208">
        <v>0</v>
      </c>
      <c r="P32" s="208">
        <v>0</v>
      </c>
      <c r="Q32" s="208">
        <v>0</v>
      </c>
      <c r="R32" s="208">
        <v>0</v>
      </c>
      <c r="S32" s="208">
        <v>0</v>
      </c>
      <c r="T32" s="208">
        <v>0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927.84299999999996</v>
      </c>
      <c r="G33" s="207">
        <v>0</v>
      </c>
      <c r="H33" s="207">
        <v>0</v>
      </c>
      <c r="I33" s="62">
        <v>0</v>
      </c>
      <c r="J33" s="63">
        <v>0</v>
      </c>
      <c r="K33" s="63"/>
      <c r="L33" s="208">
        <v>0</v>
      </c>
      <c r="M33" s="208">
        <v>0</v>
      </c>
      <c r="N33" s="208">
        <v>0</v>
      </c>
      <c r="O33" s="208">
        <v>0</v>
      </c>
      <c r="P33" s="208">
        <v>0</v>
      </c>
      <c r="Q33" s="208">
        <v>0</v>
      </c>
      <c r="R33" s="208">
        <v>0</v>
      </c>
      <c r="S33" s="208">
        <v>0</v>
      </c>
      <c r="T33" s="208">
        <v>0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927.84299999999996</v>
      </c>
      <c r="G34" s="207">
        <v>0</v>
      </c>
      <c r="H34" s="207">
        <v>0</v>
      </c>
      <c r="I34" s="62">
        <v>0</v>
      </c>
      <c r="J34" s="63">
        <v>0</v>
      </c>
      <c r="K34" s="63"/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208">
        <v>0</v>
      </c>
      <c r="S34" s="208">
        <v>0</v>
      </c>
      <c r="T34" s="208">
        <v>0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927.84299999999996</v>
      </c>
      <c r="G35" s="207">
        <v>0</v>
      </c>
      <c r="H35" s="207">
        <v>0</v>
      </c>
      <c r="I35" s="62">
        <v>0</v>
      </c>
      <c r="J35" s="63">
        <v>0</v>
      </c>
      <c r="K35" s="63"/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208">
        <v>0</v>
      </c>
      <c r="S35" s="208">
        <v>0</v>
      </c>
      <c r="T35" s="208">
        <v>0</v>
      </c>
    </row>
    <row r="36" spans="1:20">
      <c r="D36" s="70">
        <v>0</v>
      </c>
      <c r="E36" s="70">
        <v>0</v>
      </c>
      <c r="F36" s="70">
        <v>28763.133000000016</v>
      </c>
      <c r="G36" s="70">
        <v>0</v>
      </c>
      <c r="H36" s="70">
        <v>0</v>
      </c>
      <c r="I36" s="70">
        <v>0</v>
      </c>
      <c r="J36" s="71">
        <v>0</v>
      </c>
      <c r="K36" s="71">
        <v>0</v>
      </c>
      <c r="L36" s="209">
        <v>0</v>
      </c>
      <c r="M36" s="209">
        <v>0</v>
      </c>
      <c r="N36" s="209">
        <v>0</v>
      </c>
      <c r="O36" s="209">
        <v>1007760</v>
      </c>
      <c r="P36" s="209">
        <v>861843.65</v>
      </c>
      <c r="Q36" s="209">
        <v>0</v>
      </c>
      <c r="R36" s="209">
        <v>0</v>
      </c>
      <c r="S36" s="209">
        <v>0</v>
      </c>
      <c r="T36" s="209">
        <v>1869603.65</v>
      </c>
    </row>
    <row r="37" spans="1:20">
      <c r="R37" s="73"/>
      <c r="S37" s="73"/>
      <c r="T37" s="210">
        <v>2280916.4500000002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71EE-79D5-4EF0-B43F-F14BF1035C9C}">
  <sheetPr codeName="Лист55">
    <pageSetUpPr fitToPage="1"/>
  </sheetPr>
  <dimension ref="A1:T37"/>
  <sheetViews>
    <sheetView workbookViewId="0">
      <selection activeCell="H5" sqref="H5:H35"/>
    </sheetView>
  </sheetViews>
  <sheetFormatPr defaultRowHeight="15"/>
  <cols>
    <col min="1" max="3" width="9.140625" style="47"/>
    <col min="4" max="4" width="11.85546875" style="47" customWidth="1"/>
    <col min="5" max="5" width="12.28515625" style="47" customWidth="1"/>
    <col min="6" max="6" width="13.140625" style="47" customWidth="1"/>
    <col min="7" max="7" width="11.42578125" style="47" customWidth="1"/>
    <col min="8" max="8" width="10.7109375" style="47" customWidth="1"/>
    <col min="9" max="9" width="10.5703125" style="47" bestFit="1" customWidth="1"/>
    <col min="10" max="12" width="9.140625" style="47"/>
    <col min="13" max="13" width="13.140625" style="47" customWidth="1"/>
    <col min="14" max="14" width="13.5703125" style="47" customWidth="1"/>
    <col min="15" max="15" width="14.5703125" style="47" customWidth="1"/>
    <col min="16" max="16" width="14.5703125" style="47" bestFit="1" customWidth="1"/>
    <col min="17" max="17" width="15" style="47" customWidth="1"/>
    <col min="18" max="18" width="13.28515625" style="47" customWidth="1"/>
    <col min="19" max="19" width="11.7109375" style="47" customWidth="1"/>
    <col min="20" max="20" width="24.28515625" style="47" customWidth="1"/>
    <col min="21" max="16384" width="9.140625" style="47"/>
  </cols>
  <sheetData>
    <row r="1" spans="1:20">
      <c r="I1" s="48"/>
    </row>
    <row r="2" spans="1:20" ht="28.9" customHeight="1">
      <c r="A2" s="76" t="s">
        <v>296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0" ht="28.9" customHeight="1">
      <c r="A3" s="49" t="s">
        <v>0</v>
      </c>
      <c r="B3" s="50" t="s">
        <v>1</v>
      </c>
      <c r="C3" s="51"/>
      <c r="D3" s="49" t="s">
        <v>2</v>
      </c>
      <c r="E3" s="49" t="s">
        <v>3</v>
      </c>
      <c r="F3" s="52" t="s">
        <v>4</v>
      </c>
      <c r="G3" s="49" t="s">
        <v>297</v>
      </c>
      <c r="H3" s="49" t="s">
        <v>298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49" t="s">
        <v>15</v>
      </c>
      <c r="R3" s="49" t="s">
        <v>16</v>
      </c>
      <c r="S3" s="49" t="s">
        <v>17</v>
      </c>
      <c r="T3" s="49" t="s">
        <v>18</v>
      </c>
    </row>
    <row r="4" spans="1:20">
      <c r="A4" s="53"/>
      <c r="B4" s="54"/>
      <c r="C4" s="55"/>
      <c r="D4" s="53"/>
      <c r="E4" s="53"/>
      <c r="F4" s="56"/>
      <c r="G4" s="53"/>
      <c r="H4" s="53"/>
      <c r="I4" s="53"/>
      <c r="J4" s="53"/>
      <c r="K4" s="57"/>
      <c r="L4" s="57"/>
      <c r="M4" s="53"/>
      <c r="N4" s="53"/>
      <c r="O4" s="53"/>
      <c r="P4" s="53"/>
      <c r="Q4" s="53"/>
      <c r="R4" s="53"/>
      <c r="S4" s="53"/>
      <c r="T4" s="53"/>
    </row>
    <row r="5" spans="1:20">
      <c r="A5" s="65">
        <v>1</v>
      </c>
      <c r="B5" s="77" t="s">
        <v>197</v>
      </c>
      <c r="C5" s="78"/>
      <c r="D5" s="211">
        <v>0</v>
      </c>
      <c r="E5" s="211">
        <v>0</v>
      </c>
      <c r="F5" s="211">
        <v>2396.2350000000001</v>
      </c>
      <c r="G5" s="207">
        <v>0</v>
      </c>
      <c r="H5" s="207">
        <v>0</v>
      </c>
      <c r="I5" s="62">
        <v>0</v>
      </c>
      <c r="J5" s="63">
        <v>0</v>
      </c>
      <c r="K5" s="63"/>
      <c r="L5" s="208">
        <v>0</v>
      </c>
      <c r="M5" s="208">
        <v>0</v>
      </c>
      <c r="N5" s="208">
        <v>0</v>
      </c>
      <c r="O5" s="208">
        <v>155755.28</v>
      </c>
      <c r="P5" s="208">
        <v>0</v>
      </c>
      <c r="Q5" s="208">
        <v>0</v>
      </c>
      <c r="R5" s="208">
        <v>0</v>
      </c>
      <c r="S5" s="208">
        <v>0</v>
      </c>
      <c r="T5" s="208">
        <v>155755.28</v>
      </c>
    </row>
    <row r="6" spans="1:20">
      <c r="A6" s="65">
        <v>2</v>
      </c>
      <c r="B6" s="77" t="s">
        <v>198</v>
      </c>
      <c r="C6" s="78"/>
      <c r="D6" s="211">
        <v>0</v>
      </c>
      <c r="E6" s="211">
        <v>0</v>
      </c>
      <c r="F6" s="211">
        <v>2396.2350000000001</v>
      </c>
      <c r="G6" s="207">
        <v>0</v>
      </c>
      <c r="H6" s="207">
        <v>75</v>
      </c>
      <c r="I6" s="62">
        <v>0</v>
      </c>
      <c r="J6" s="63">
        <v>0</v>
      </c>
      <c r="K6" s="63"/>
      <c r="L6" s="208">
        <v>0</v>
      </c>
      <c r="M6" s="208">
        <v>0</v>
      </c>
      <c r="N6" s="208">
        <v>0</v>
      </c>
      <c r="O6" s="208">
        <v>155755.28</v>
      </c>
      <c r="P6" s="208">
        <v>0</v>
      </c>
      <c r="Q6" s="208">
        <v>11250</v>
      </c>
      <c r="R6" s="208">
        <v>0</v>
      </c>
      <c r="S6" s="208">
        <v>0</v>
      </c>
      <c r="T6" s="208">
        <v>167005.28</v>
      </c>
    </row>
    <row r="7" spans="1:20">
      <c r="A7" s="65">
        <v>3</v>
      </c>
      <c r="B7" s="77" t="s">
        <v>199</v>
      </c>
      <c r="C7" s="78"/>
      <c r="D7" s="211">
        <v>0</v>
      </c>
      <c r="E7" s="211">
        <v>0</v>
      </c>
      <c r="F7" s="211">
        <v>2396.2350000000001</v>
      </c>
      <c r="G7" s="207">
        <v>0</v>
      </c>
      <c r="H7" s="207">
        <v>75</v>
      </c>
      <c r="I7" s="62">
        <v>0</v>
      </c>
      <c r="J7" s="63">
        <v>0</v>
      </c>
      <c r="K7" s="63"/>
      <c r="L7" s="208">
        <v>0</v>
      </c>
      <c r="M7" s="208">
        <v>0</v>
      </c>
      <c r="N7" s="208">
        <v>0</v>
      </c>
      <c r="O7" s="208">
        <v>155755.28</v>
      </c>
      <c r="P7" s="208">
        <v>0</v>
      </c>
      <c r="Q7" s="208">
        <v>11250</v>
      </c>
      <c r="R7" s="208">
        <v>0</v>
      </c>
      <c r="S7" s="208">
        <v>0</v>
      </c>
      <c r="T7" s="208">
        <v>167005.28</v>
      </c>
    </row>
    <row r="8" spans="1:20">
      <c r="A8" s="65">
        <v>4</v>
      </c>
      <c r="B8" s="77" t="s">
        <v>200</v>
      </c>
      <c r="C8" s="78"/>
      <c r="D8" s="211">
        <v>0</v>
      </c>
      <c r="E8" s="211">
        <v>0</v>
      </c>
      <c r="F8" s="211">
        <v>2396.2350000000001</v>
      </c>
      <c r="G8" s="207">
        <v>0</v>
      </c>
      <c r="H8" s="207">
        <v>75</v>
      </c>
      <c r="I8" s="62">
        <v>0</v>
      </c>
      <c r="J8" s="63">
        <v>0</v>
      </c>
      <c r="K8" s="63"/>
      <c r="L8" s="208">
        <v>0</v>
      </c>
      <c r="M8" s="208">
        <v>0</v>
      </c>
      <c r="N8" s="208">
        <v>0</v>
      </c>
      <c r="O8" s="208">
        <v>155755.28</v>
      </c>
      <c r="P8" s="208">
        <v>0</v>
      </c>
      <c r="Q8" s="208">
        <v>11250</v>
      </c>
      <c r="R8" s="208">
        <v>0</v>
      </c>
      <c r="S8" s="208">
        <v>0</v>
      </c>
      <c r="T8" s="208">
        <v>167005.28</v>
      </c>
    </row>
    <row r="9" spans="1:20">
      <c r="A9" s="65">
        <v>5</v>
      </c>
      <c r="B9" s="77" t="s">
        <v>201</v>
      </c>
      <c r="C9" s="78"/>
      <c r="D9" s="211">
        <v>0</v>
      </c>
      <c r="E9" s="211">
        <v>0</v>
      </c>
      <c r="F9" s="211">
        <v>2396.2350000000001</v>
      </c>
      <c r="G9" s="207">
        <v>0</v>
      </c>
      <c r="H9" s="207">
        <v>75</v>
      </c>
      <c r="I9" s="62">
        <v>0</v>
      </c>
      <c r="J9" s="63">
        <v>0</v>
      </c>
      <c r="K9" s="63"/>
      <c r="L9" s="208">
        <v>0</v>
      </c>
      <c r="M9" s="208">
        <v>0</v>
      </c>
      <c r="N9" s="208">
        <v>0</v>
      </c>
      <c r="O9" s="208">
        <v>155755.28</v>
      </c>
      <c r="P9" s="208">
        <v>0</v>
      </c>
      <c r="Q9" s="208">
        <v>11250</v>
      </c>
      <c r="R9" s="208">
        <v>0</v>
      </c>
      <c r="S9" s="208">
        <v>0</v>
      </c>
      <c r="T9" s="208">
        <v>167005.28</v>
      </c>
    </row>
    <row r="10" spans="1:20">
      <c r="A10" s="65">
        <v>6</v>
      </c>
      <c r="B10" s="77" t="s">
        <v>202</v>
      </c>
      <c r="C10" s="78"/>
      <c r="D10" s="211">
        <v>0</v>
      </c>
      <c r="E10" s="211">
        <v>0</v>
      </c>
      <c r="F10" s="211">
        <v>2396.2350000000001</v>
      </c>
      <c r="G10" s="207">
        <v>0</v>
      </c>
      <c r="H10" s="207">
        <v>75</v>
      </c>
      <c r="I10" s="62">
        <v>0</v>
      </c>
      <c r="J10" s="63">
        <v>0</v>
      </c>
      <c r="K10" s="63"/>
      <c r="L10" s="208">
        <v>0</v>
      </c>
      <c r="M10" s="208">
        <v>0</v>
      </c>
      <c r="N10" s="208">
        <v>0</v>
      </c>
      <c r="O10" s="208">
        <v>155755.28</v>
      </c>
      <c r="P10" s="208">
        <v>0</v>
      </c>
      <c r="Q10" s="208">
        <v>11250</v>
      </c>
      <c r="R10" s="208">
        <v>0</v>
      </c>
      <c r="S10" s="208">
        <v>0</v>
      </c>
      <c r="T10" s="208">
        <v>167005.28</v>
      </c>
    </row>
    <row r="11" spans="1:20">
      <c r="A11" s="65">
        <v>7</v>
      </c>
      <c r="B11" s="77" t="s">
        <v>203</v>
      </c>
      <c r="C11" s="78"/>
      <c r="D11" s="211">
        <v>0</v>
      </c>
      <c r="E11" s="211">
        <v>0</v>
      </c>
      <c r="F11" s="211">
        <v>2396.2350000000001</v>
      </c>
      <c r="G11" s="207">
        <v>0</v>
      </c>
      <c r="H11" s="207">
        <v>0</v>
      </c>
      <c r="I11" s="62">
        <v>0</v>
      </c>
      <c r="J11" s="63">
        <v>0</v>
      </c>
      <c r="K11" s="63"/>
      <c r="L11" s="208">
        <v>0</v>
      </c>
      <c r="M11" s="208">
        <v>0</v>
      </c>
      <c r="N11" s="208">
        <v>0</v>
      </c>
      <c r="O11" s="208">
        <v>155755.28</v>
      </c>
      <c r="P11" s="208">
        <v>0</v>
      </c>
      <c r="Q11" s="208">
        <v>0</v>
      </c>
      <c r="R11" s="208">
        <v>0</v>
      </c>
      <c r="S11" s="208">
        <v>0</v>
      </c>
      <c r="T11" s="208">
        <v>155755.28</v>
      </c>
    </row>
    <row r="12" spans="1:20">
      <c r="A12" s="65">
        <v>8</v>
      </c>
      <c r="B12" s="77" t="s">
        <v>204</v>
      </c>
      <c r="C12" s="78"/>
      <c r="D12" s="211">
        <v>0</v>
      </c>
      <c r="E12" s="211">
        <v>0</v>
      </c>
      <c r="F12" s="211">
        <v>2396.2350000000001</v>
      </c>
      <c r="G12" s="207">
        <v>0</v>
      </c>
      <c r="H12" s="207">
        <v>0</v>
      </c>
      <c r="I12" s="62">
        <v>0</v>
      </c>
      <c r="J12" s="63">
        <v>0</v>
      </c>
      <c r="K12" s="63"/>
      <c r="L12" s="208">
        <v>0</v>
      </c>
      <c r="M12" s="208">
        <v>0</v>
      </c>
      <c r="N12" s="208">
        <v>0</v>
      </c>
      <c r="O12" s="208">
        <v>155755.28</v>
      </c>
      <c r="P12" s="208">
        <v>0</v>
      </c>
      <c r="Q12" s="208">
        <v>0</v>
      </c>
      <c r="R12" s="208">
        <v>0</v>
      </c>
      <c r="S12" s="208">
        <v>0</v>
      </c>
      <c r="T12" s="208">
        <v>155755.28</v>
      </c>
    </row>
    <row r="13" spans="1:20">
      <c r="A13" s="65">
        <v>9</v>
      </c>
      <c r="B13" s="77" t="s">
        <v>205</v>
      </c>
      <c r="C13" s="78"/>
      <c r="D13" s="211">
        <v>0</v>
      </c>
      <c r="E13" s="211">
        <v>0</v>
      </c>
      <c r="F13" s="211">
        <v>2396.2350000000001</v>
      </c>
      <c r="G13" s="207">
        <v>0</v>
      </c>
      <c r="H13" s="207">
        <v>0</v>
      </c>
      <c r="I13" s="62">
        <v>0</v>
      </c>
      <c r="J13" s="63">
        <v>0</v>
      </c>
      <c r="K13" s="63"/>
      <c r="L13" s="208">
        <v>0</v>
      </c>
      <c r="M13" s="208">
        <v>0</v>
      </c>
      <c r="N13" s="208">
        <v>0</v>
      </c>
      <c r="O13" s="208">
        <v>155755.28</v>
      </c>
      <c r="P13" s="208">
        <v>0</v>
      </c>
      <c r="Q13" s="208">
        <v>0</v>
      </c>
      <c r="R13" s="208">
        <v>0</v>
      </c>
      <c r="S13" s="208">
        <v>0</v>
      </c>
      <c r="T13" s="208">
        <v>155755.28</v>
      </c>
    </row>
    <row r="14" spans="1:20">
      <c r="A14" s="65">
        <v>10</v>
      </c>
      <c r="B14" s="77" t="s">
        <v>206</v>
      </c>
      <c r="C14" s="78"/>
      <c r="D14" s="211">
        <v>0</v>
      </c>
      <c r="E14" s="211">
        <v>0</v>
      </c>
      <c r="F14" s="211">
        <v>2396.2350000000001</v>
      </c>
      <c r="G14" s="207">
        <v>0</v>
      </c>
      <c r="H14" s="207">
        <v>75</v>
      </c>
      <c r="I14" s="62">
        <v>0</v>
      </c>
      <c r="J14" s="63">
        <v>0</v>
      </c>
      <c r="K14" s="63"/>
      <c r="L14" s="208">
        <v>0</v>
      </c>
      <c r="M14" s="208">
        <v>0</v>
      </c>
      <c r="N14" s="208">
        <v>0</v>
      </c>
      <c r="O14" s="208">
        <v>155755.28</v>
      </c>
      <c r="P14" s="208">
        <v>0</v>
      </c>
      <c r="Q14" s="208">
        <v>11250</v>
      </c>
      <c r="R14" s="208">
        <v>0</v>
      </c>
      <c r="S14" s="208">
        <v>0</v>
      </c>
      <c r="T14" s="208">
        <v>167005.28</v>
      </c>
    </row>
    <row r="15" spans="1:20">
      <c r="A15" s="65">
        <v>11</v>
      </c>
      <c r="B15" s="77" t="s">
        <v>207</v>
      </c>
      <c r="C15" s="78"/>
      <c r="D15" s="211">
        <v>0</v>
      </c>
      <c r="E15" s="211">
        <v>0</v>
      </c>
      <c r="F15" s="211">
        <v>2396.2350000000001</v>
      </c>
      <c r="G15" s="207">
        <v>0</v>
      </c>
      <c r="H15" s="207">
        <v>75</v>
      </c>
      <c r="I15" s="62">
        <v>0</v>
      </c>
      <c r="J15" s="63">
        <v>0</v>
      </c>
      <c r="K15" s="63"/>
      <c r="L15" s="208">
        <v>0</v>
      </c>
      <c r="M15" s="208">
        <v>0</v>
      </c>
      <c r="N15" s="208">
        <v>0</v>
      </c>
      <c r="O15" s="208">
        <v>155755.28</v>
      </c>
      <c r="P15" s="208">
        <v>0</v>
      </c>
      <c r="Q15" s="208">
        <v>11250</v>
      </c>
      <c r="R15" s="208">
        <v>0</v>
      </c>
      <c r="S15" s="208">
        <v>0</v>
      </c>
      <c r="T15" s="208">
        <v>167005.28</v>
      </c>
    </row>
    <row r="16" spans="1:20">
      <c r="A16" s="65">
        <v>12</v>
      </c>
      <c r="B16" s="77" t="s">
        <v>208</v>
      </c>
      <c r="C16" s="78"/>
      <c r="D16" s="211">
        <v>0</v>
      </c>
      <c r="E16" s="211">
        <v>0</v>
      </c>
      <c r="F16" s="211">
        <v>2396.2350000000001</v>
      </c>
      <c r="G16" s="207">
        <v>0</v>
      </c>
      <c r="H16" s="207">
        <v>75</v>
      </c>
      <c r="I16" s="62">
        <v>0</v>
      </c>
      <c r="J16" s="63">
        <v>0</v>
      </c>
      <c r="K16" s="68"/>
      <c r="L16" s="208">
        <v>0</v>
      </c>
      <c r="M16" s="208">
        <v>0</v>
      </c>
      <c r="N16" s="208">
        <v>0</v>
      </c>
      <c r="O16" s="208">
        <v>155755.28</v>
      </c>
      <c r="P16" s="208">
        <v>0</v>
      </c>
      <c r="Q16" s="208">
        <v>11250</v>
      </c>
      <c r="R16" s="208">
        <v>0</v>
      </c>
      <c r="S16" s="208">
        <v>0</v>
      </c>
      <c r="T16" s="208">
        <v>167005.28</v>
      </c>
    </row>
    <row r="17" spans="1:20">
      <c r="A17" s="65">
        <v>13</v>
      </c>
      <c r="B17" s="77" t="s">
        <v>209</v>
      </c>
      <c r="C17" s="78"/>
      <c r="D17" s="211">
        <v>0</v>
      </c>
      <c r="E17" s="211">
        <v>0</v>
      </c>
      <c r="F17" s="211">
        <v>2396.2350000000001</v>
      </c>
      <c r="G17" s="207">
        <v>0</v>
      </c>
      <c r="H17" s="207">
        <v>75</v>
      </c>
      <c r="I17" s="62">
        <v>0</v>
      </c>
      <c r="J17" s="63">
        <v>0</v>
      </c>
      <c r="K17" s="63"/>
      <c r="L17" s="208">
        <v>0</v>
      </c>
      <c r="M17" s="208">
        <v>0</v>
      </c>
      <c r="N17" s="208">
        <v>0</v>
      </c>
      <c r="O17" s="208">
        <v>155755.28</v>
      </c>
      <c r="P17" s="208">
        <v>0</v>
      </c>
      <c r="Q17" s="208">
        <v>11250</v>
      </c>
      <c r="R17" s="208">
        <v>0</v>
      </c>
      <c r="S17" s="208">
        <v>0</v>
      </c>
      <c r="T17" s="208">
        <v>167005.28</v>
      </c>
    </row>
    <row r="18" spans="1:20">
      <c r="A18" s="65">
        <v>14</v>
      </c>
      <c r="B18" s="77" t="s">
        <v>210</v>
      </c>
      <c r="C18" s="78"/>
      <c r="D18" s="211">
        <v>0</v>
      </c>
      <c r="E18" s="211">
        <v>0</v>
      </c>
      <c r="F18" s="211">
        <v>2396.2350000000001</v>
      </c>
      <c r="G18" s="207">
        <v>0</v>
      </c>
      <c r="H18" s="207">
        <v>0</v>
      </c>
      <c r="I18" s="62">
        <v>0</v>
      </c>
      <c r="J18" s="63">
        <v>0</v>
      </c>
      <c r="K18" s="63"/>
      <c r="L18" s="208">
        <v>0</v>
      </c>
      <c r="M18" s="208">
        <v>0</v>
      </c>
      <c r="N18" s="208">
        <v>0</v>
      </c>
      <c r="O18" s="208">
        <v>155755.28</v>
      </c>
      <c r="P18" s="208">
        <v>0</v>
      </c>
      <c r="Q18" s="208">
        <v>0</v>
      </c>
      <c r="R18" s="208">
        <v>0</v>
      </c>
      <c r="S18" s="208">
        <v>0</v>
      </c>
      <c r="T18" s="208">
        <v>155755.28</v>
      </c>
    </row>
    <row r="19" spans="1:20">
      <c r="A19" s="65">
        <v>15</v>
      </c>
      <c r="B19" s="77" t="s">
        <v>211</v>
      </c>
      <c r="C19" s="78"/>
      <c r="D19" s="211">
        <v>0</v>
      </c>
      <c r="E19" s="211">
        <v>0</v>
      </c>
      <c r="F19" s="211">
        <v>2396.2350000000001</v>
      </c>
      <c r="G19" s="207">
        <v>0</v>
      </c>
      <c r="H19" s="207">
        <v>0</v>
      </c>
      <c r="I19" s="62">
        <v>0</v>
      </c>
      <c r="J19" s="63">
        <v>0</v>
      </c>
      <c r="K19" s="63"/>
      <c r="L19" s="208">
        <v>0</v>
      </c>
      <c r="M19" s="208">
        <v>0</v>
      </c>
      <c r="N19" s="208">
        <v>0</v>
      </c>
      <c r="O19" s="208">
        <v>155755.28</v>
      </c>
      <c r="P19" s="208">
        <v>0</v>
      </c>
      <c r="Q19" s="208">
        <v>0</v>
      </c>
      <c r="R19" s="208">
        <v>0</v>
      </c>
      <c r="S19" s="208">
        <v>0</v>
      </c>
      <c r="T19" s="208">
        <v>155755.28</v>
      </c>
    </row>
    <row r="20" spans="1:20">
      <c r="A20" s="65">
        <v>16</v>
      </c>
      <c r="B20" s="77" t="s">
        <v>212</v>
      </c>
      <c r="C20" s="78"/>
      <c r="D20" s="211">
        <v>0</v>
      </c>
      <c r="E20" s="211">
        <v>67.650999999999996</v>
      </c>
      <c r="F20" s="211">
        <v>2328.5839999999998</v>
      </c>
      <c r="G20" s="207">
        <v>0</v>
      </c>
      <c r="H20" s="207">
        <v>7.3490000000000038</v>
      </c>
      <c r="I20" s="62">
        <v>0</v>
      </c>
      <c r="J20" s="63">
        <v>0</v>
      </c>
      <c r="K20" s="63"/>
      <c r="L20" s="208">
        <v>0</v>
      </c>
      <c r="M20" s="208">
        <v>0</v>
      </c>
      <c r="N20" s="208">
        <v>10147.65</v>
      </c>
      <c r="O20" s="208">
        <v>151357.96</v>
      </c>
      <c r="P20" s="208">
        <v>0</v>
      </c>
      <c r="Q20" s="208">
        <v>1102.3499999999999</v>
      </c>
      <c r="R20" s="208">
        <v>0</v>
      </c>
      <c r="S20" s="208">
        <v>0</v>
      </c>
      <c r="T20" s="208">
        <v>162607.96</v>
      </c>
    </row>
    <row r="21" spans="1:20">
      <c r="A21" s="65">
        <v>17</v>
      </c>
      <c r="B21" s="77" t="s">
        <v>213</v>
      </c>
      <c r="C21" s="78"/>
      <c r="D21" s="211">
        <v>0</v>
      </c>
      <c r="E21" s="211">
        <v>69.093999999999994</v>
      </c>
      <c r="F21" s="211">
        <v>2259.4899999999998</v>
      </c>
      <c r="G21" s="207">
        <v>0</v>
      </c>
      <c r="H21" s="207">
        <v>5.9060000000000059</v>
      </c>
      <c r="I21" s="62">
        <v>0</v>
      </c>
      <c r="J21" s="63">
        <v>0</v>
      </c>
      <c r="K21" s="63"/>
      <c r="L21" s="208">
        <v>0</v>
      </c>
      <c r="M21" s="208">
        <v>0</v>
      </c>
      <c r="N21" s="208">
        <v>10364.1</v>
      </c>
      <c r="O21" s="208">
        <v>146866.85</v>
      </c>
      <c r="P21" s="208">
        <v>0</v>
      </c>
      <c r="Q21" s="208">
        <v>885.9</v>
      </c>
      <c r="R21" s="208">
        <v>0</v>
      </c>
      <c r="S21" s="208">
        <v>0</v>
      </c>
      <c r="T21" s="208">
        <v>158116.85</v>
      </c>
    </row>
    <row r="22" spans="1:20">
      <c r="A22" s="65">
        <v>18</v>
      </c>
      <c r="B22" s="77" t="s">
        <v>214</v>
      </c>
      <c r="C22" s="78"/>
      <c r="D22" s="211">
        <v>0</v>
      </c>
      <c r="E22" s="211">
        <v>36.241999999999997</v>
      </c>
      <c r="F22" s="211">
        <v>2223.248</v>
      </c>
      <c r="G22" s="207">
        <v>0</v>
      </c>
      <c r="H22" s="207">
        <v>38.758000000000003</v>
      </c>
      <c r="I22" s="62">
        <v>0</v>
      </c>
      <c r="J22" s="63">
        <v>0</v>
      </c>
      <c r="K22" s="63"/>
      <c r="L22" s="208">
        <v>0</v>
      </c>
      <c r="M22" s="208">
        <v>0</v>
      </c>
      <c r="N22" s="208">
        <v>5436.3</v>
      </c>
      <c r="O22" s="208">
        <v>144511.12</v>
      </c>
      <c r="P22" s="208">
        <v>0</v>
      </c>
      <c r="Q22" s="208">
        <v>5813.7</v>
      </c>
      <c r="R22" s="208">
        <v>0</v>
      </c>
      <c r="S22" s="208">
        <v>0</v>
      </c>
      <c r="T22" s="208">
        <v>155761.12</v>
      </c>
    </row>
    <row r="23" spans="1:20">
      <c r="A23" s="65">
        <v>19</v>
      </c>
      <c r="B23" s="77" t="s">
        <v>215</v>
      </c>
      <c r="C23" s="78"/>
      <c r="D23" s="211">
        <v>0</v>
      </c>
      <c r="E23" s="211">
        <v>35.14</v>
      </c>
      <c r="F23" s="211">
        <v>2188.1080000000002</v>
      </c>
      <c r="G23" s="207">
        <v>0</v>
      </c>
      <c r="H23" s="207">
        <v>39.86</v>
      </c>
      <c r="I23" s="62">
        <v>0</v>
      </c>
      <c r="J23" s="63">
        <v>0</v>
      </c>
      <c r="K23" s="63"/>
      <c r="L23" s="208">
        <v>0</v>
      </c>
      <c r="M23" s="208">
        <v>0</v>
      </c>
      <c r="N23" s="208">
        <v>5271</v>
      </c>
      <c r="O23" s="208">
        <v>142227.01999999999</v>
      </c>
      <c r="P23" s="208">
        <v>0</v>
      </c>
      <c r="Q23" s="208">
        <v>5979</v>
      </c>
      <c r="R23" s="208">
        <v>0</v>
      </c>
      <c r="S23" s="208">
        <v>0</v>
      </c>
      <c r="T23" s="208">
        <v>153477.01999999999</v>
      </c>
    </row>
    <row r="24" spans="1:20">
      <c r="A24" s="65">
        <v>20</v>
      </c>
      <c r="B24" s="77" t="s">
        <v>216</v>
      </c>
      <c r="C24" s="78"/>
      <c r="D24" s="211">
        <v>0</v>
      </c>
      <c r="E24" s="211">
        <v>16.661999999999999</v>
      </c>
      <c r="F24" s="211">
        <v>2171.4459999999999</v>
      </c>
      <c r="G24" s="207">
        <v>0</v>
      </c>
      <c r="H24" s="207">
        <v>58.338000000000001</v>
      </c>
      <c r="I24" s="62">
        <v>0</v>
      </c>
      <c r="J24" s="63">
        <v>0</v>
      </c>
      <c r="K24" s="63"/>
      <c r="L24" s="208">
        <v>0</v>
      </c>
      <c r="M24" s="208">
        <v>0</v>
      </c>
      <c r="N24" s="208">
        <v>2499.3000000000002</v>
      </c>
      <c r="O24" s="208">
        <v>141143.99</v>
      </c>
      <c r="P24" s="208">
        <v>0</v>
      </c>
      <c r="Q24" s="208">
        <v>8750.7000000000007</v>
      </c>
      <c r="R24" s="208">
        <v>0</v>
      </c>
      <c r="S24" s="208">
        <v>0</v>
      </c>
      <c r="T24" s="208">
        <v>152393.99</v>
      </c>
    </row>
    <row r="25" spans="1:20">
      <c r="A25" s="65">
        <v>21</v>
      </c>
      <c r="B25" s="77" t="s">
        <v>217</v>
      </c>
      <c r="C25" s="78"/>
      <c r="D25" s="211">
        <v>0</v>
      </c>
      <c r="E25" s="211">
        <v>0</v>
      </c>
      <c r="F25" s="211">
        <v>2171.4459999999999</v>
      </c>
      <c r="G25" s="207">
        <v>0</v>
      </c>
      <c r="H25" s="207">
        <v>0</v>
      </c>
      <c r="I25" s="62">
        <v>0</v>
      </c>
      <c r="J25" s="63">
        <v>0</v>
      </c>
      <c r="K25" s="63"/>
      <c r="L25" s="208">
        <v>0</v>
      </c>
      <c r="M25" s="208">
        <v>0</v>
      </c>
      <c r="N25" s="208">
        <v>0</v>
      </c>
      <c r="O25" s="208">
        <v>141143.99</v>
      </c>
      <c r="P25" s="208">
        <v>0</v>
      </c>
      <c r="Q25" s="208">
        <v>0</v>
      </c>
      <c r="R25" s="208">
        <v>0</v>
      </c>
      <c r="S25" s="208">
        <v>0</v>
      </c>
      <c r="T25" s="208">
        <v>141143.99</v>
      </c>
    </row>
    <row r="26" spans="1:20">
      <c r="A26" s="65">
        <v>22</v>
      </c>
      <c r="B26" s="77" t="s">
        <v>218</v>
      </c>
      <c r="C26" s="78"/>
      <c r="D26" s="211">
        <v>0</v>
      </c>
      <c r="E26" s="211">
        <v>0</v>
      </c>
      <c r="F26" s="211">
        <v>2171.4459999999999</v>
      </c>
      <c r="G26" s="207">
        <v>0</v>
      </c>
      <c r="H26" s="207">
        <v>0</v>
      </c>
      <c r="I26" s="62">
        <v>0</v>
      </c>
      <c r="J26" s="63">
        <v>0</v>
      </c>
      <c r="K26" s="63"/>
      <c r="L26" s="208">
        <v>0</v>
      </c>
      <c r="M26" s="208">
        <v>0</v>
      </c>
      <c r="N26" s="208">
        <v>0</v>
      </c>
      <c r="O26" s="208">
        <v>141143.99</v>
      </c>
      <c r="P26" s="208">
        <v>0</v>
      </c>
      <c r="Q26" s="208">
        <v>0</v>
      </c>
      <c r="R26" s="208">
        <v>0</v>
      </c>
      <c r="S26" s="208">
        <v>0</v>
      </c>
      <c r="T26" s="208">
        <v>141143.99</v>
      </c>
    </row>
    <row r="27" spans="1:20">
      <c r="A27" s="65">
        <v>23</v>
      </c>
      <c r="B27" s="77" t="s">
        <v>219</v>
      </c>
      <c r="C27" s="78"/>
      <c r="D27" s="211">
        <v>0</v>
      </c>
      <c r="E27" s="211">
        <v>36.442</v>
      </c>
      <c r="F27" s="211">
        <v>2135.0039999999999</v>
      </c>
      <c r="G27" s="207">
        <v>0</v>
      </c>
      <c r="H27" s="207">
        <v>38.558</v>
      </c>
      <c r="I27" s="62">
        <v>0</v>
      </c>
      <c r="J27" s="63">
        <v>0</v>
      </c>
      <c r="K27" s="63"/>
      <c r="L27" s="208">
        <v>0</v>
      </c>
      <c r="M27" s="208">
        <v>0</v>
      </c>
      <c r="N27" s="208">
        <v>5466.3</v>
      </c>
      <c r="O27" s="208">
        <v>138775.26</v>
      </c>
      <c r="P27" s="208">
        <v>0</v>
      </c>
      <c r="Q27" s="208">
        <v>5783.7</v>
      </c>
      <c r="R27" s="208">
        <v>0</v>
      </c>
      <c r="S27" s="208">
        <v>0</v>
      </c>
      <c r="T27" s="208">
        <v>150025.26</v>
      </c>
    </row>
    <row r="28" spans="1:20">
      <c r="A28" s="65">
        <v>24</v>
      </c>
      <c r="B28" s="77" t="s">
        <v>220</v>
      </c>
      <c r="C28" s="78"/>
      <c r="D28" s="211">
        <v>0</v>
      </c>
      <c r="E28" s="211">
        <v>53.158999999999999</v>
      </c>
      <c r="F28" s="211">
        <v>2081.8449999999998</v>
      </c>
      <c r="G28" s="207">
        <v>0</v>
      </c>
      <c r="H28" s="207">
        <v>21.841000000000001</v>
      </c>
      <c r="I28" s="62">
        <v>0</v>
      </c>
      <c r="J28" s="63">
        <v>0</v>
      </c>
      <c r="K28" s="63"/>
      <c r="L28" s="208">
        <v>0</v>
      </c>
      <c r="M28" s="208">
        <v>0</v>
      </c>
      <c r="N28" s="208">
        <v>7973.85</v>
      </c>
      <c r="O28" s="208">
        <v>135319.93</v>
      </c>
      <c r="P28" s="208">
        <v>0</v>
      </c>
      <c r="Q28" s="208">
        <v>3276.15</v>
      </c>
      <c r="R28" s="208">
        <v>0</v>
      </c>
      <c r="S28" s="208">
        <v>0</v>
      </c>
      <c r="T28" s="208">
        <v>146569.93</v>
      </c>
    </row>
    <row r="29" spans="1:20">
      <c r="A29" s="65">
        <v>25</v>
      </c>
      <c r="B29" s="77" t="s">
        <v>221</v>
      </c>
      <c r="C29" s="78"/>
      <c r="D29" s="211">
        <v>0</v>
      </c>
      <c r="E29" s="211">
        <v>33.219000000000001</v>
      </c>
      <c r="F29" s="211">
        <v>2048.6260000000002</v>
      </c>
      <c r="G29" s="207">
        <v>0</v>
      </c>
      <c r="H29" s="207">
        <v>41.780999999999999</v>
      </c>
      <c r="I29" s="62">
        <v>0</v>
      </c>
      <c r="J29" s="63">
        <v>0</v>
      </c>
      <c r="K29" s="63"/>
      <c r="L29" s="208">
        <v>0</v>
      </c>
      <c r="M29" s="208">
        <v>0</v>
      </c>
      <c r="N29" s="208">
        <v>4982.8500000000004</v>
      </c>
      <c r="O29" s="208">
        <v>133160.69</v>
      </c>
      <c r="P29" s="208">
        <v>0</v>
      </c>
      <c r="Q29" s="208">
        <v>6267.15</v>
      </c>
      <c r="R29" s="208">
        <v>0</v>
      </c>
      <c r="S29" s="208">
        <v>0</v>
      </c>
      <c r="T29" s="208">
        <v>144410.69</v>
      </c>
    </row>
    <row r="30" spans="1:20">
      <c r="A30" s="65">
        <v>26</v>
      </c>
      <c r="B30" s="77" t="s">
        <v>222</v>
      </c>
      <c r="C30" s="78"/>
      <c r="D30" s="211">
        <v>0</v>
      </c>
      <c r="E30" s="211">
        <v>36.741999999999997</v>
      </c>
      <c r="F30" s="211">
        <v>2011.884</v>
      </c>
      <c r="G30" s="207">
        <v>0</v>
      </c>
      <c r="H30" s="207">
        <v>38.258000000000003</v>
      </c>
      <c r="I30" s="62">
        <v>0</v>
      </c>
      <c r="J30" s="63">
        <v>0</v>
      </c>
      <c r="K30" s="63"/>
      <c r="L30" s="208">
        <v>0</v>
      </c>
      <c r="M30" s="208">
        <v>0</v>
      </c>
      <c r="N30" s="208">
        <v>5511.3</v>
      </c>
      <c r="O30" s="208">
        <v>130772.46</v>
      </c>
      <c r="P30" s="208">
        <v>0</v>
      </c>
      <c r="Q30" s="208">
        <v>5738.7</v>
      </c>
      <c r="R30" s="208">
        <v>0</v>
      </c>
      <c r="S30" s="208">
        <v>0</v>
      </c>
      <c r="T30" s="208">
        <v>142022.46</v>
      </c>
    </row>
    <row r="31" spans="1:20">
      <c r="A31" s="65">
        <v>27</v>
      </c>
      <c r="B31" s="77" t="s">
        <v>223</v>
      </c>
      <c r="C31" s="78"/>
      <c r="D31" s="211">
        <v>0</v>
      </c>
      <c r="E31" s="211">
        <v>48.945999999999998</v>
      </c>
      <c r="F31" s="211">
        <v>1962.9380000000001</v>
      </c>
      <c r="G31" s="207">
        <v>0</v>
      </c>
      <c r="H31" s="207">
        <v>26.054000000000002</v>
      </c>
      <c r="I31" s="62">
        <v>0</v>
      </c>
      <c r="J31" s="63">
        <v>0</v>
      </c>
      <c r="K31" s="63"/>
      <c r="L31" s="208">
        <v>0</v>
      </c>
      <c r="M31" s="208">
        <v>0</v>
      </c>
      <c r="N31" s="208">
        <v>7341.9</v>
      </c>
      <c r="O31" s="208">
        <v>127590.97</v>
      </c>
      <c r="P31" s="208">
        <v>0</v>
      </c>
      <c r="Q31" s="208">
        <v>3908.1</v>
      </c>
      <c r="R31" s="208">
        <v>0</v>
      </c>
      <c r="S31" s="208">
        <v>0</v>
      </c>
      <c r="T31" s="208">
        <v>138840.97</v>
      </c>
    </row>
    <row r="32" spans="1:20">
      <c r="A32" s="65">
        <v>28</v>
      </c>
      <c r="B32" s="77" t="s">
        <v>224</v>
      </c>
      <c r="C32" s="78"/>
      <c r="D32" s="211">
        <v>0</v>
      </c>
      <c r="E32" s="211">
        <v>0</v>
      </c>
      <c r="F32" s="211">
        <v>1962.9380000000001</v>
      </c>
      <c r="G32" s="207">
        <v>0</v>
      </c>
      <c r="H32" s="207">
        <v>0</v>
      </c>
      <c r="I32" s="62">
        <v>0</v>
      </c>
      <c r="J32" s="63">
        <v>0</v>
      </c>
      <c r="K32" s="63"/>
      <c r="L32" s="208">
        <v>0</v>
      </c>
      <c r="M32" s="208">
        <v>0</v>
      </c>
      <c r="N32" s="208">
        <v>0</v>
      </c>
      <c r="O32" s="208">
        <v>127590.97</v>
      </c>
      <c r="P32" s="208">
        <v>0</v>
      </c>
      <c r="Q32" s="208">
        <v>0</v>
      </c>
      <c r="R32" s="208">
        <v>0</v>
      </c>
      <c r="S32" s="208">
        <v>0</v>
      </c>
      <c r="T32" s="208">
        <v>127590.97</v>
      </c>
    </row>
    <row r="33" spans="1:20">
      <c r="A33" s="65">
        <v>29</v>
      </c>
      <c r="B33" s="77" t="s">
        <v>225</v>
      </c>
      <c r="C33" s="78"/>
      <c r="D33" s="211">
        <v>0</v>
      </c>
      <c r="E33" s="211">
        <v>0</v>
      </c>
      <c r="F33" s="211">
        <v>1962.9380000000001</v>
      </c>
      <c r="G33" s="207">
        <v>0</v>
      </c>
      <c r="H33" s="207">
        <v>0</v>
      </c>
      <c r="I33" s="62">
        <v>0</v>
      </c>
      <c r="J33" s="63">
        <v>0</v>
      </c>
      <c r="K33" s="63"/>
      <c r="L33" s="208">
        <v>0</v>
      </c>
      <c r="M33" s="208">
        <v>0</v>
      </c>
      <c r="N33" s="208">
        <v>0</v>
      </c>
      <c r="O33" s="208">
        <v>127590.97</v>
      </c>
      <c r="P33" s="208">
        <v>0</v>
      </c>
      <c r="Q33" s="208">
        <v>0</v>
      </c>
      <c r="R33" s="208">
        <v>0</v>
      </c>
      <c r="S33" s="208">
        <v>0</v>
      </c>
      <c r="T33" s="208">
        <v>127590.97</v>
      </c>
    </row>
    <row r="34" spans="1:20">
      <c r="A34" s="65">
        <v>30</v>
      </c>
      <c r="B34" s="77" t="s">
        <v>226</v>
      </c>
      <c r="C34" s="78"/>
      <c r="D34" s="211">
        <v>0</v>
      </c>
      <c r="E34" s="211">
        <v>0</v>
      </c>
      <c r="F34" s="211">
        <v>1962.9380000000001</v>
      </c>
      <c r="G34" s="207">
        <v>0</v>
      </c>
      <c r="H34" s="207">
        <v>75</v>
      </c>
      <c r="I34" s="62">
        <v>0</v>
      </c>
      <c r="J34" s="63">
        <v>0</v>
      </c>
      <c r="K34" s="63"/>
      <c r="L34" s="208">
        <v>0</v>
      </c>
      <c r="M34" s="208">
        <v>0</v>
      </c>
      <c r="N34" s="208">
        <v>0</v>
      </c>
      <c r="O34" s="208">
        <v>127590.97</v>
      </c>
      <c r="P34" s="208">
        <v>0</v>
      </c>
      <c r="Q34" s="208">
        <v>11250</v>
      </c>
      <c r="R34" s="208">
        <v>0</v>
      </c>
      <c r="S34" s="208">
        <v>0</v>
      </c>
      <c r="T34" s="208">
        <v>138840.97</v>
      </c>
    </row>
    <row r="35" spans="1:20">
      <c r="A35" s="65">
        <v>31</v>
      </c>
      <c r="B35" s="77" t="s">
        <v>227</v>
      </c>
      <c r="C35" s="78"/>
      <c r="D35" s="211">
        <v>0</v>
      </c>
      <c r="E35" s="211">
        <v>0</v>
      </c>
      <c r="F35" s="211">
        <v>1962.9380000000001</v>
      </c>
      <c r="G35" s="207">
        <v>0</v>
      </c>
      <c r="H35" s="207">
        <v>75</v>
      </c>
      <c r="I35" s="62">
        <v>0</v>
      </c>
      <c r="J35" s="63">
        <v>0</v>
      </c>
      <c r="K35" s="63"/>
      <c r="L35" s="208">
        <v>0</v>
      </c>
      <c r="M35" s="208">
        <v>0</v>
      </c>
      <c r="N35" s="208">
        <v>0</v>
      </c>
      <c r="O35" s="208">
        <v>127590.97</v>
      </c>
      <c r="P35" s="208">
        <v>0</v>
      </c>
      <c r="Q35" s="208">
        <v>11250</v>
      </c>
      <c r="R35" s="208">
        <v>0</v>
      </c>
      <c r="S35" s="208">
        <v>0</v>
      </c>
      <c r="T35" s="208">
        <v>138840.97</v>
      </c>
    </row>
    <row r="36" spans="1:20">
      <c r="D36" s="70">
        <v>0</v>
      </c>
      <c r="E36" s="70">
        <v>433.29700000000003</v>
      </c>
      <c r="F36" s="70">
        <v>69549.34199999999</v>
      </c>
      <c r="G36" s="70">
        <v>0</v>
      </c>
      <c r="H36" s="70">
        <v>1141.703</v>
      </c>
      <c r="I36" s="70">
        <v>0</v>
      </c>
      <c r="J36" s="71">
        <v>0</v>
      </c>
      <c r="K36" s="71">
        <v>0</v>
      </c>
      <c r="L36" s="209">
        <v>0</v>
      </c>
      <c r="M36" s="209">
        <v>0</v>
      </c>
      <c r="N36" s="209">
        <v>64994.55</v>
      </c>
      <c r="O36" s="209">
        <v>4520707.2300000004</v>
      </c>
      <c r="P36" s="209">
        <v>0</v>
      </c>
      <c r="Q36" s="209">
        <v>171255.45</v>
      </c>
      <c r="R36" s="209">
        <v>0</v>
      </c>
      <c r="S36" s="209">
        <v>0</v>
      </c>
      <c r="T36" s="209">
        <v>4756957.2300000004</v>
      </c>
    </row>
    <row r="37" spans="1:20">
      <c r="R37" s="73"/>
      <c r="S37" s="73"/>
      <c r="T37" s="210">
        <v>5803487.8200000003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4BB1-B595-4FCC-9426-0E2A24E04FE6}">
  <sheetPr codeName="Лист57"/>
  <dimension ref="A1:A18"/>
  <sheetViews>
    <sheetView workbookViewId="0">
      <selection activeCell="D31" sqref="D31"/>
    </sheetView>
  </sheetViews>
  <sheetFormatPr defaultRowHeight="15"/>
  <cols>
    <col min="1" max="1" width="14.140625" style="47" customWidth="1"/>
    <col min="2" max="16384" width="9.140625" style="47"/>
  </cols>
  <sheetData>
    <row r="1" spans="1:1">
      <c r="A1" s="215">
        <v>46023</v>
      </c>
    </row>
    <row r="2" spans="1:1">
      <c r="A2" s="215">
        <v>46024</v>
      </c>
    </row>
    <row r="3" spans="1:1">
      <c r="A3" s="215">
        <v>46025</v>
      </c>
    </row>
    <row r="4" spans="1:1">
      <c r="A4" s="215">
        <v>46026</v>
      </c>
    </row>
    <row r="5" spans="1:1">
      <c r="A5" s="215">
        <v>46027</v>
      </c>
    </row>
    <row r="6" spans="1:1">
      <c r="A6" s="215">
        <v>46028</v>
      </c>
    </row>
    <row r="7" spans="1:1">
      <c r="A7" s="215">
        <v>46029</v>
      </c>
    </row>
    <row r="8" spans="1:1">
      <c r="A8" s="215">
        <v>46030</v>
      </c>
    </row>
    <row r="9" spans="1:1">
      <c r="A9" s="215">
        <v>46031</v>
      </c>
    </row>
    <row r="10" spans="1:1">
      <c r="A10" s="215">
        <v>46032</v>
      </c>
    </row>
    <row r="11" spans="1:1">
      <c r="A11" s="215">
        <v>46033</v>
      </c>
    </row>
    <row r="12" spans="1:1">
      <c r="A12" s="215">
        <v>46076</v>
      </c>
    </row>
    <row r="13" spans="1:1">
      <c r="A13" s="215">
        <v>46090</v>
      </c>
    </row>
    <row r="14" spans="1:1">
      <c r="A14" s="215">
        <v>46143</v>
      </c>
    </row>
    <row r="15" spans="1:1">
      <c r="A15" s="215">
        <v>46153</v>
      </c>
    </row>
    <row r="16" spans="1:1">
      <c r="A16" s="215">
        <v>46185</v>
      </c>
    </row>
    <row r="17" spans="1:1">
      <c r="A17" s="215">
        <v>46330</v>
      </c>
    </row>
    <row r="18" spans="1:1">
      <c r="A18" s="215">
        <v>46387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0273-D37A-44B5-952B-B60A9BAC9EF4}">
  <sheetPr codeName="Лист14"/>
  <dimension ref="A1:A29"/>
  <sheetViews>
    <sheetView workbookViewId="0">
      <selection sqref="A1:A18"/>
    </sheetView>
  </sheetViews>
  <sheetFormatPr defaultRowHeight="15"/>
  <cols>
    <col min="1" max="1" width="15" style="47" bestFit="1" customWidth="1"/>
    <col min="2" max="16384" width="9.140625" style="47"/>
  </cols>
  <sheetData>
    <row r="1" spans="1:1">
      <c r="A1" s="215">
        <v>46023</v>
      </c>
    </row>
    <row r="2" spans="1:1">
      <c r="A2" s="215">
        <v>46024</v>
      </c>
    </row>
    <row r="3" spans="1:1">
      <c r="A3" s="215">
        <v>46025</v>
      </c>
    </row>
    <row r="4" spans="1:1">
      <c r="A4" s="215">
        <v>46026</v>
      </c>
    </row>
    <row r="5" spans="1:1">
      <c r="A5" s="215">
        <v>46027</v>
      </c>
    </row>
    <row r="6" spans="1:1">
      <c r="A6" s="215">
        <v>46028</v>
      </c>
    </row>
    <row r="7" spans="1:1">
      <c r="A7" s="215">
        <v>46029</v>
      </c>
    </row>
    <row r="8" spans="1:1">
      <c r="A8" s="215">
        <v>46030</v>
      </c>
    </row>
    <row r="9" spans="1:1">
      <c r="A9" s="215">
        <v>46031</v>
      </c>
    </row>
    <row r="10" spans="1:1">
      <c r="A10" s="215">
        <v>46032</v>
      </c>
    </row>
    <row r="11" spans="1:1">
      <c r="A11" s="215">
        <v>46033</v>
      </c>
    </row>
    <row r="12" spans="1:1">
      <c r="A12" s="215">
        <v>46076</v>
      </c>
    </row>
    <row r="13" spans="1:1">
      <c r="A13" s="215">
        <v>46090</v>
      </c>
    </row>
    <row r="14" spans="1:1">
      <c r="A14" s="215">
        <v>46143</v>
      </c>
    </row>
    <row r="15" spans="1:1">
      <c r="A15" s="215">
        <v>46153</v>
      </c>
    </row>
    <row r="16" spans="1:1">
      <c r="A16" s="215">
        <v>46185</v>
      </c>
    </row>
    <row r="17" spans="1:1">
      <c r="A17" s="215">
        <v>46330</v>
      </c>
    </row>
    <row r="18" spans="1:1">
      <c r="A18" s="215">
        <v>46387</v>
      </c>
    </row>
    <row r="19" spans="1:1">
      <c r="A19" s="215"/>
    </row>
    <row r="20" spans="1:1">
      <c r="A20" s="215"/>
    </row>
    <row r="21" spans="1:1">
      <c r="A21" s="215"/>
    </row>
    <row r="22" spans="1:1">
      <c r="A22" s="215"/>
    </row>
    <row r="23" spans="1:1">
      <c r="A23" s="215"/>
    </row>
    <row r="24" spans="1:1">
      <c r="A24" s="215"/>
    </row>
    <row r="25" spans="1:1">
      <c r="A25" s="215"/>
    </row>
    <row r="26" spans="1:1">
      <c r="A26" s="215"/>
    </row>
    <row r="27" spans="1:1">
      <c r="A27" s="215"/>
    </row>
    <row r="28" spans="1:1">
      <c r="A28" s="215"/>
    </row>
    <row r="29" spans="1:1">
      <c r="A29" s="215"/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736C-4684-42A5-9FD9-80E0443A7EE5}">
  <sheetPr codeName="Лист13"/>
  <dimension ref="A3:F26"/>
  <sheetViews>
    <sheetView workbookViewId="0">
      <selection activeCell="A5" sqref="A5"/>
    </sheetView>
  </sheetViews>
  <sheetFormatPr defaultRowHeight="15"/>
  <cols>
    <col min="1" max="1" width="9.140625" style="47"/>
    <col min="2" max="2" width="33.28515625" style="47" customWidth="1"/>
    <col min="3" max="3" width="9.140625" style="47"/>
    <col min="4" max="4" width="11.85546875" style="47" customWidth="1"/>
    <col min="5" max="5" width="10.7109375" style="47" customWidth="1"/>
    <col min="6" max="6" width="16.28515625" style="47" customWidth="1"/>
    <col min="7" max="16384" width="9.140625" style="47"/>
  </cols>
  <sheetData>
    <row r="3" spans="1:6">
      <c r="A3" s="73" t="str">
        <f ca="1">"Акт  №    от  " &amp; TEXT(TODAY()-DAY(TODAY()), "ДД ММММ ГГГГ")</f>
        <v>Акт  №    от  31 Март 2026</v>
      </c>
    </row>
    <row r="4" spans="1:6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6">
      <c r="A5" s="73" t="s">
        <v>119</v>
      </c>
      <c r="B5" s="73"/>
      <c r="C5" s="73"/>
    </row>
    <row r="6" spans="1:6">
      <c r="A6" s="47" t="s">
        <v>120</v>
      </c>
    </row>
    <row r="7" spans="1:6">
      <c r="A7" s="47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82</v>
      </c>
    </row>
    <row r="10" spans="1:6">
      <c r="A10" s="124">
        <v>1</v>
      </c>
      <c r="B10" s="123" t="s">
        <v>121</v>
      </c>
      <c r="C10" s="124" t="s">
        <v>122</v>
      </c>
      <c r="D10" s="216">
        <f>'[1]РВ Березовая Пойма'!S2</f>
        <v>660</v>
      </c>
      <c r="E10" s="217">
        <v>150</v>
      </c>
      <c r="F10" s="217">
        <f>D10*E10</f>
        <v>99000</v>
      </c>
    </row>
    <row r="11" spans="1:6">
      <c r="A11" s="124">
        <v>2</v>
      </c>
      <c r="B11" s="123" t="s">
        <v>123</v>
      </c>
      <c r="C11" s="58" t="s">
        <v>122</v>
      </c>
      <c r="D11" s="216">
        <f>'[1]РВ Березовая Пойма'!R2</f>
        <v>658.02499999999998</v>
      </c>
      <c r="E11" s="217">
        <v>225</v>
      </c>
      <c r="F11" s="217">
        <f t="shared" ref="F11:F15" si="0">D11*E11</f>
        <v>148055.625</v>
      </c>
    </row>
    <row r="12" spans="1:6">
      <c r="A12" s="124">
        <v>3</v>
      </c>
      <c r="B12" s="123" t="s">
        <v>124</v>
      </c>
      <c r="C12" s="58" t="s">
        <v>122</v>
      </c>
      <c r="D12" s="216">
        <v>0</v>
      </c>
      <c r="E12" s="217">
        <v>225</v>
      </c>
      <c r="F12" s="217">
        <f t="shared" si="0"/>
        <v>0</v>
      </c>
    </row>
    <row r="13" spans="1:6">
      <c r="A13" s="124">
        <v>4</v>
      </c>
      <c r="B13" s="123" t="s">
        <v>125</v>
      </c>
      <c r="C13" s="58" t="s">
        <v>122</v>
      </c>
      <c r="D13" s="216">
        <f>'[1]РВ Березовая Пойма'!R3</f>
        <v>1262.9850000000001</v>
      </c>
      <c r="E13" s="217">
        <v>225</v>
      </c>
      <c r="F13" s="217">
        <f t="shared" si="0"/>
        <v>284171.625</v>
      </c>
    </row>
    <row r="14" spans="1:6">
      <c r="A14" s="124">
        <v>5</v>
      </c>
      <c r="B14" s="47" t="s">
        <v>126</v>
      </c>
      <c r="C14" s="58" t="s">
        <v>122</v>
      </c>
      <c r="D14" s="216">
        <f>'[1]РВ Березовая Пойма'!S3</f>
        <v>4066.2650000000003</v>
      </c>
      <c r="E14" s="217">
        <v>150</v>
      </c>
      <c r="F14" s="217">
        <f t="shared" si="0"/>
        <v>609939.75</v>
      </c>
    </row>
    <row r="15" spans="1:6">
      <c r="A15" s="124">
        <v>6</v>
      </c>
      <c r="B15" s="123" t="s">
        <v>127</v>
      </c>
      <c r="C15" s="58" t="s">
        <v>122</v>
      </c>
      <c r="D15" s="216">
        <f>'[1]РВ Березовая Пойма'!G37</f>
        <v>94235.52999999997</v>
      </c>
      <c r="E15" s="218">
        <v>15</v>
      </c>
      <c r="F15" s="217">
        <f t="shared" si="0"/>
        <v>1413532.9499999995</v>
      </c>
    </row>
    <row r="16" spans="1:6">
      <c r="A16" s="124"/>
      <c r="B16" s="123"/>
      <c r="C16" s="58"/>
      <c r="D16" s="216"/>
      <c r="E16" s="218"/>
      <c r="F16" s="217"/>
    </row>
    <row r="17" spans="1:6">
      <c r="A17" s="47" t="s">
        <v>83</v>
      </c>
      <c r="F17" s="217">
        <f>SUM(F10:F16)</f>
        <v>2554699.9499999993</v>
      </c>
    </row>
    <row r="18" spans="1:6">
      <c r="A18" s="47" t="s">
        <v>84</v>
      </c>
      <c r="F18" s="217">
        <f>SUM(F17)</f>
        <v>2554699.9499999993</v>
      </c>
    </row>
    <row r="19" spans="1:6">
      <c r="A19" s="47" t="s">
        <v>85</v>
      </c>
      <c r="F19" s="217">
        <f>SUM(F18)*1.22</f>
        <v>3116733.9389999988</v>
      </c>
    </row>
    <row r="20" spans="1:6">
      <c r="A20" s="47" t="s">
        <v>86</v>
      </c>
    </row>
    <row r="21" spans="1:6">
      <c r="A21" s="47" t="s">
        <v>87</v>
      </c>
    </row>
    <row r="24" spans="1:6">
      <c r="A24" s="47" t="s">
        <v>89</v>
      </c>
      <c r="D24" s="47" t="s">
        <v>130</v>
      </c>
    </row>
    <row r="26" spans="1:6">
      <c r="A26" s="47" t="s">
        <v>131</v>
      </c>
      <c r="D26" s="47" t="s">
        <v>93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C2E3-60BA-4431-89C2-3DCDD3D4659E}">
  <sheetPr codeName="Лист11"/>
  <dimension ref="A3:F26"/>
  <sheetViews>
    <sheetView workbookViewId="0">
      <selection activeCell="A5" sqref="A5"/>
    </sheetView>
  </sheetViews>
  <sheetFormatPr defaultRowHeight="15"/>
  <cols>
    <col min="1" max="1" width="9.140625" style="47"/>
    <col min="2" max="2" width="33.28515625" style="47" customWidth="1"/>
    <col min="3" max="3" width="9.140625" style="47"/>
    <col min="4" max="4" width="11.85546875" style="47" customWidth="1"/>
    <col min="5" max="5" width="10.7109375" style="47" customWidth="1"/>
    <col min="6" max="6" width="16.28515625" style="47" customWidth="1"/>
    <col min="7" max="16384" width="9.140625" style="47"/>
  </cols>
  <sheetData>
    <row r="3" spans="1:6">
      <c r="A3" s="73" t="str">
        <f ca="1">"Акт  №    от  " &amp; TEXT(TODAY()-DAY(TODAY()), "ДД ММММ ГГГГ")</f>
        <v>Акт  №    от  31 Март 2026</v>
      </c>
    </row>
    <row r="4" spans="1:6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6">
      <c r="A5" s="73" t="s">
        <v>119</v>
      </c>
      <c r="B5" s="73"/>
      <c r="C5" s="73"/>
    </row>
    <row r="6" spans="1:6">
      <c r="A6" s="47" t="s">
        <v>120</v>
      </c>
    </row>
    <row r="7" spans="1:6">
      <c r="A7" s="47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82</v>
      </c>
    </row>
    <row r="10" spans="1:6">
      <c r="A10" s="124">
        <v>1</v>
      </c>
      <c r="B10" s="123" t="s">
        <v>121</v>
      </c>
      <c r="C10" s="124" t="s">
        <v>122</v>
      </c>
      <c r="D10" s="216">
        <f>'[1]РВ Новикова-Прибоя'!S2</f>
        <v>0</v>
      </c>
      <c r="E10" s="217">
        <v>150</v>
      </c>
      <c r="F10" s="217">
        <f>D10*E10</f>
        <v>0</v>
      </c>
    </row>
    <row r="11" spans="1:6">
      <c r="A11" s="124">
        <v>2</v>
      </c>
      <c r="B11" s="123" t="s">
        <v>123</v>
      </c>
      <c r="C11" s="58" t="s">
        <v>122</v>
      </c>
      <c r="D11" s="216">
        <f>'[1]РВ Новикова-Прибоя'!R2</f>
        <v>0</v>
      </c>
      <c r="E11" s="217">
        <v>225</v>
      </c>
      <c r="F11" s="217">
        <f t="shared" ref="F11:F15" si="0">D11*E11</f>
        <v>0</v>
      </c>
    </row>
    <row r="12" spans="1:6">
      <c r="A12" s="124">
        <v>3</v>
      </c>
      <c r="B12" s="123" t="s">
        <v>124</v>
      </c>
      <c r="C12" s="58" t="s">
        <v>122</v>
      </c>
      <c r="D12" s="216">
        <v>0</v>
      </c>
      <c r="E12" s="217">
        <v>225</v>
      </c>
      <c r="F12" s="217">
        <f t="shared" si="0"/>
        <v>0</v>
      </c>
    </row>
    <row r="13" spans="1:6">
      <c r="A13" s="124">
        <v>4</v>
      </c>
      <c r="B13" s="123" t="s">
        <v>125</v>
      </c>
      <c r="C13" s="58" t="s">
        <v>122</v>
      </c>
      <c r="D13" s="216">
        <f>'[1]РВ Новикова-Прибоя'!R3</f>
        <v>48.33</v>
      </c>
      <c r="E13" s="217">
        <v>225</v>
      </c>
      <c r="F13" s="217">
        <f t="shared" si="0"/>
        <v>10874.25</v>
      </c>
    </row>
    <row r="14" spans="1:6">
      <c r="A14" s="124">
        <v>5</v>
      </c>
      <c r="B14" s="47" t="s">
        <v>126</v>
      </c>
      <c r="C14" s="58" t="s">
        <v>122</v>
      </c>
      <c r="D14" s="216">
        <f>'[1]РВ Новикова-Прибоя'!S3</f>
        <v>370.69500000000005</v>
      </c>
      <c r="E14" s="217">
        <v>150</v>
      </c>
      <c r="F14" s="217">
        <f t="shared" si="0"/>
        <v>55604.250000000007</v>
      </c>
    </row>
    <row r="15" spans="1:6">
      <c r="A15" s="124">
        <v>6</v>
      </c>
      <c r="B15" s="123" t="s">
        <v>127</v>
      </c>
      <c r="C15" s="58" t="s">
        <v>122</v>
      </c>
      <c r="D15" s="216">
        <f>'[1]РВ Новикова-Прибоя'!G37</f>
        <v>7000.6299999999965</v>
      </c>
      <c r="E15" s="218">
        <v>15</v>
      </c>
      <c r="F15" s="217">
        <f t="shared" si="0"/>
        <v>105009.44999999995</v>
      </c>
    </row>
    <row r="16" spans="1:6">
      <c r="A16" s="124"/>
      <c r="B16" s="123"/>
      <c r="C16" s="58"/>
      <c r="D16" s="216"/>
      <c r="E16" s="218"/>
      <c r="F16" s="217"/>
    </row>
    <row r="17" spans="1:6">
      <c r="A17" s="47" t="s">
        <v>83</v>
      </c>
      <c r="F17" s="217">
        <f>SUM(F10:F16)</f>
        <v>171487.94999999995</v>
      </c>
    </row>
    <row r="18" spans="1:6">
      <c r="A18" s="47" t="s">
        <v>84</v>
      </c>
      <c r="F18" s="217">
        <f>SUM(F17)</f>
        <v>171487.94999999995</v>
      </c>
    </row>
    <row r="19" spans="1:6">
      <c r="A19" s="47" t="s">
        <v>85</v>
      </c>
      <c r="F19" s="217">
        <f>SUM(F18)*1.22</f>
        <v>209215.29899999994</v>
      </c>
    </row>
    <row r="20" spans="1:6">
      <c r="A20" s="47" t="s">
        <v>86</v>
      </c>
    </row>
    <row r="21" spans="1:6">
      <c r="A21" s="47" t="s">
        <v>87</v>
      </c>
    </row>
    <row r="24" spans="1:6">
      <c r="A24" s="47" t="s">
        <v>89</v>
      </c>
      <c r="D24" s="47" t="s">
        <v>130</v>
      </c>
    </row>
    <row r="26" spans="1:6">
      <c r="A26" s="47" t="s">
        <v>131</v>
      </c>
      <c r="D26" s="47" t="s">
        <v>93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FB75-AC01-4D5C-8C15-16B6CFF60210}">
  <sheetPr codeName="Лист10"/>
  <dimension ref="A3:F27"/>
  <sheetViews>
    <sheetView workbookViewId="0">
      <selection activeCell="A5" sqref="A5"/>
    </sheetView>
  </sheetViews>
  <sheetFormatPr defaultRowHeight="15"/>
  <cols>
    <col min="1" max="1" width="9.140625" style="47"/>
    <col min="2" max="2" width="33.28515625" style="47" customWidth="1"/>
    <col min="3" max="3" width="9.140625" style="47"/>
    <col min="4" max="4" width="11.85546875" style="47" customWidth="1"/>
    <col min="5" max="5" width="10.7109375" style="47" customWidth="1"/>
    <col min="6" max="6" width="16.28515625" style="47" customWidth="1"/>
    <col min="7" max="16384" width="9.140625" style="47"/>
  </cols>
  <sheetData>
    <row r="3" spans="1:6">
      <c r="A3" s="73" t="str">
        <f ca="1">"Акт  №    от  " &amp; TEXT(TODAY()-DAY(TODAY()), "ДД ММММ ГГГГ")</f>
        <v>Акт  №    от  31 Март 2026</v>
      </c>
    </row>
    <row r="4" spans="1:6">
      <c r="A4" s="73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73"/>
      <c r="C4" s="73"/>
    </row>
    <row r="5" spans="1:6">
      <c r="A5" s="73" t="s">
        <v>119</v>
      </c>
      <c r="B5" s="73"/>
      <c r="C5" s="73"/>
    </row>
    <row r="6" spans="1:6">
      <c r="A6" s="47" t="s">
        <v>120</v>
      </c>
    </row>
    <row r="7" spans="1:6">
      <c r="A7" s="47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123" t="s">
        <v>0</v>
      </c>
      <c r="B9" s="123" t="s">
        <v>78</v>
      </c>
      <c r="C9" s="123" t="s">
        <v>79</v>
      </c>
      <c r="D9" s="123" t="s">
        <v>80</v>
      </c>
      <c r="E9" s="123" t="s">
        <v>81</v>
      </c>
      <c r="F9" s="123" t="s">
        <v>82</v>
      </c>
    </row>
    <row r="10" spans="1:6">
      <c r="A10" s="124">
        <v>1</v>
      </c>
      <c r="B10" s="123" t="s">
        <v>121</v>
      </c>
      <c r="C10" s="124" t="s">
        <v>122</v>
      </c>
      <c r="D10" s="216">
        <f>'[1]РВ Баумана'!S2</f>
        <v>0</v>
      </c>
      <c r="E10" s="217">
        <v>150</v>
      </c>
      <c r="F10" s="217">
        <f>D10*E10</f>
        <v>0</v>
      </c>
    </row>
    <row r="11" spans="1:6">
      <c r="A11" s="124">
        <v>2</v>
      </c>
      <c r="B11" s="123" t="s">
        <v>123</v>
      </c>
      <c r="C11" s="58" t="s">
        <v>122</v>
      </c>
      <c r="D11" s="216">
        <f>'[1]РВ Баумана'!R2</f>
        <v>0</v>
      </c>
      <c r="E11" s="217">
        <v>225</v>
      </c>
      <c r="F11" s="217">
        <f t="shared" ref="F11:F17" si="0">D11*E11</f>
        <v>0</v>
      </c>
    </row>
    <row r="12" spans="1:6">
      <c r="A12" s="124">
        <v>3</v>
      </c>
      <c r="B12" s="123" t="s">
        <v>124</v>
      </c>
      <c r="C12" s="58" t="s">
        <v>122</v>
      </c>
      <c r="D12" s="216">
        <v>0</v>
      </c>
      <c r="E12" s="217">
        <v>225</v>
      </c>
      <c r="F12" s="217">
        <f t="shared" si="0"/>
        <v>0</v>
      </c>
    </row>
    <row r="13" spans="1:6">
      <c r="A13" s="124">
        <v>4</v>
      </c>
      <c r="B13" s="123" t="s">
        <v>125</v>
      </c>
      <c r="C13" s="58" t="s">
        <v>122</v>
      </c>
      <c r="D13" s="216">
        <f>'[1]РВ Баумана'!R3</f>
        <v>232.32499999999999</v>
      </c>
      <c r="E13" s="217">
        <v>225</v>
      </c>
      <c r="F13" s="217">
        <f t="shared" si="0"/>
        <v>52273.125</v>
      </c>
    </row>
    <row r="14" spans="1:6">
      <c r="A14" s="124">
        <v>5</v>
      </c>
      <c r="B14" s="47" t="s">
        <v>126</v>
      </c>
      <c r="C14" s="58" t="s">
        <v>122</v>
      </c>
      <c r="D14" s="216">
        <f>'[1]РВ Баумана'!S3</f>
        <v>367.95</v>
      </c>
      <c r="E14" s="217">
        <v>150</v>
      </c>
      <c r="F14" s="217">
        <f t="shared" si="0"/>
        <v>55192.5</v>
      </c>
    </row>
    <row r="15" spans="1:6">
      <c r="A15" s="124">
        <v>6</v>
      </c>
      <c r="B15" s="123" t="s">
        <v>127</v>
      </c>
      <c r="C15" s="58" t="s">
        <v>122</v>
      </c>
      <c r="D15" s="216">
        <f>'[1]РВ Баумана'!G37</f>
        <v>6847.4499999999953</v>
      </c>
      <c r="E15" s="218">
        <v>15</v>
      </c>
      <c r="F15" s="217">
        <f t="shared" si="0"/>
        <v>102711.74999999993</v>
      </c>
    </row>
    <row r="16" spans="1:6">
      <c r="A16" s="124">
        <v>8</v>
      </c>
      <c r="B16" s="123" t="s">
        <v>128</v>
      </c>
      <c r="C16" s="58" t="s">
        <v>122</v>
      </c>
      <c r="D16" s="216">
        <f>[1]Резерв!G37</f>
        <v>139916.39000000001</v>
      </c>
      <c r="E16" s="218">
        <v>15</v>
      </c>
      <c r="F16" s="217">
        <f t="shared" si="0"/>
        <v>2098745.85</v>
      </c>
    </row>
    <row r="17" spans="1:6">
      <c r="A17" s="124">
        <v>9</v>
      </c>
      <c r="B17" s="123" t="s">
        <v>129</v>
      </c>
      <c r="C17" s="58" t="s">
        <v>122</v>
      </c>
      <c r="D17" s="216">
        <v>0</v>
      </c>
      <c r="E17" s="218">
        <v>150</v>
      </c>
      <c r="F17" s="217">
        <f t="shared" si="0"/>
        <v>0</v>
      </c>
    </row>
    <row r="18" spans="1:6">
      <c r="A18" s="47" t="s">
        <v>83</v>
      </c>
      <c r="F18" s="217">
        <f>SUM(F10:F17)</f>
        <v>2308923.2250000001</v>
      </c>
    </row>
    <row r="19" spans="1:6">
      <c r="A19" s="47" t="s">
        <v>84</v>
      </c>
      <c r="F19" s="217">
        <f>F18</f>
        <v>2308923.2250000001</v>
      </c>
    </row>
    <row r="20" spans="1:6">
      <c r="A20" s="47" t="s">
        <v>85</v>
      </c>
      <c r="F20" s="217">
        <f>F19*1.22</f>
        <v>2816886.3344999999</v>
      </c>
    </row>
    <row r="21" spans="1:6">
      <c r="A21" s="47" t="s">
        <v>86</v>
      </c>
    </row>
    <row r="22" spans="1:6">
      <c r="A22" s="47" t="s">
        <v>87</v>
      </c>
    </row>
    <row r="25" spans="1:6">
      <c r="A25" s="47" t="s">
        <v>89</v>
      </c>
      <c r="D25" s="47" t="s">
        <v>130</v>
      </c>
    </row>
    <row r="27" spans="1:6">
      <c r="A27" s="47" t="s">
        <v>131</v>
      </c>
      <c r="D27" s="47" t="s">
        <v>93</v>
      </c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7685-0E16-47C0-9D85-5FEA99BCD604}">
  <sheetPr codeName="Лист7"/>
  <dimension ref="A1:S40"/>
  <sheetViews>
    <sheetView workbookViewId="0">
      <selection activeCell="M6" sqref="M6"/>
    </sheetView>
  </sheetViews>
  <sheetFormatPr defaultRowHeight="15"/>
  <cols>
    <col min="1" max="2" width="9.140625" style="47"/>
    <col min="3" max="3" width="9.85546875" style="47" bestFit="1" customWidth="1"/>
    <col min="4" max="6" width="9.140625" style="47"/>
    <col min="7" max="7" width="10.5703125" style="47" bestFit="1" customWidth="1"/>
    <col min="8" max="8" width="9.140625" style="47"/>
    <col min="9" max="9" width="12.7109375" style="47" customWidth="1"/>
    <col min="10" max="10" width="13.140625" style="47" bestFit="1" customWidth="1"/>
    <col min="11" max="12" width="9.28515625" style="47" bestFit="1" customWidth="1"/>
    <col min="13" max="13" width="13.85546875" style="47" customWidth="1"/>
    <col min="14" max="14" width="9.28515625" style="47" bestFit="1" customWidth="1"/>
    <col min="15" max="15" width="16" style="47" customWidth="1"/>
    <col min="16" max="16" width="9.140625" style="47"/>
    <col min="17" max="17" width="18.28515625" style="47" customWidth="1"/>
    <col min="18" max="16384" width="9.140625" style="47"/>
  </cols>
  <sheetData>
    <row r="1" spans="1:19">
      <c r="M1" s="135"/>
      <c r="Q1" s="123"/>
      <c r="R1" s="123" t="s">
        <v>108</v>
      </c>
      <c r="S1" s="123" t="s">
        <v>109</v>
      </c>
    </row>
    <row r="2" spans="1:19">
      <c r="M2" s="135"/>
      <c r="Q2" s="123" t="s">
        <v>110</v>
      </c>
      <c r="R2" s="123">
        <f>SUMIF($P$6:$P$36,R$1,$C6:$C36)</f>
        <v>0</v>
      </c>
      <c r="S2" s="123">
        <f>SUMIF($P$6:$P$36,S$1,$C6:$C36)</f>
        <v>0</v>
      </c>
    </row>
    <row r="3" spans="1:19">
      <c r="A3" s="73" t="str">
        <f>"Отчет по хранению  товара  РВ " &amp; TEXT(A6,"ММММ ") &amp; YEAR(A6) &amp; " Окская Мешки"</f>
        <v>Отчет по хранению  товара  РВ Ноябрь 2024 Окская Мешки</v>
      </c>
      <c r="G3" s="135"/>
      <c r="M3" s="135"/>
      <c r="Q3" s="123" t="s">
        <v>98</v>
      </c>
      <c r="R3" s="123">
        <f>SUMIF($P$6:$P$36,R$1,$D6:$D36)</f>
        <v>0</v>
      </c>
      <c r="S3" s="123">
        <f>SUMIF($P$6:$P$36,S$1,$D6:$D36)</f>
        <v>0</v>
      </c>
    </row>
    <row r="4" spans="1:19">
      <c r="A4" s="50" t="s">
        <v>1</v>
      </c>
      <c r="B4" s="51"/>
      <c r="C4" s="49" t="s">
        <v>111</v>
      </c>
      <c r="D4" s="49" t="s">
        <v>112</v>
      </c>
      <c r="E4" s="49" t="s">
        <v>113</v>
      </c>
      <c r="F4" s="49" t="s">
        <v>114</v>
      </c>
      <c r="G4" s="149" t="s">
        <v>4</v>
      </c>
      <c r="H4" s="49" t="s">
        <v>7</v>
      </c>
      <c r="I4" s="49" t="s">
        <v>11</v>
      </c>
      <c r="J4" s="49" t="s">
        <v>12</v>
      </c>
      <c r="K4" s="49" t="s">
        <v>115</v>
      </c>
      <c r="L4" s="49" t="s">
        <v>116</v>
      </c>
      <c r="M4" s="136" t="s">
        <v>13</v>
      </c>
      <c r="N4" s="49" t="s">
        <v>16</v>
      </c>
      <c r="O4" s="49" t="s">
        <v>18</v>
      </c>
    </row>
    <row r="5" spans="1:19" ht="30">
      <c r="A5" s="54"/>
      <c r="B5" s="55"/>
      <c r="C5" s="53"/>
      <c r="D5" s="53"/>
      <c r="E5" s="53"/>
      <c r="F5" s="53"/>
      <c r="G5" s="150" t="s">
        <v>117</v>
      </c>
      <c r="H5" s="53"/>
      <c r="I5" s="53"/>
      <c r="J5" s="53"/>
      <c r="K5" s="53"/>
      <c r="L5" s="53"/>
      <c r="M5" s="137"/>
      <c r="N5" s="53"/>
      <c r="O5" s="53"/>
    </row>
    <row r="6" spans="1:19">
      <c r="A6" s="146">
        <v>45597</v>
      </c>
      <c r="B6" s="147"/>
      <c r="C6" s="148">
        <f>IF(A6="",0,[3]TDSheet!D7)</f>
        <v>0</v>
      </c>
      <c r="D6" s="138">
        <f>IF(A6="",0,[3]TDSheet!F7)</f>
        <v>0</v>
      </c>
      <c r="E6" s="138"/>
      <c r="F6" s="139"/>
      <c r="G6" s="151">
        <f>[3]TDSheet!$I$7</f>
        <v>0</v>
      </c>
      <c r="H6" s="152"/>
      <c r="I6" s="140">
        <f t="shared" ref="I6" si="0">IF(P6="Выходной",SUM(C6*129.94)*1.5,SUM(C6*129.94))</f>
        <v>0</v>
      </c>
      <c r="J6" s="140">
        <f t="shared" ref="J6:J36" si="1">IF(P6="Выходной",SUM(D6*129.94)*1.5,SUM(D6*129.94))</f>
        <v>0</v>
      </c>
      <c r="K6" s="140">
        <f>IF(OR(WEEKDAY(A6)=1,WEEKDAY(A6)=7,NOT(ISERROR(MATCH(A6,[1]Праздники!A:A,0)))),SUM(E6*162.5)*1.5,SUM(E6*162.5))</f>
        <v>0</v>
      </c>
      <c r="L6" s="140">
        <f>IF(OR(WEEKDAY(A6)=1,WEEKDAY(A6)=7,NOT(ISERROR(MATCH(A6,[1]Праздники!A:A,0)))),SUM(F6*162.5)*1.5,SUM(F6*162.5))</f>
        <v>0</v>
      </c>
      <c r="M6" s="140">
        <f>SUM(G6*13.32)</f>
        <v>0</v>
      </c>
      <c r="N6" s="140">
        <f>SUM(H6)*750</f>
        <v>0</v>
      </c>
      <c r="O6" s="140">
        <f>SUM(I6:N6)</f>
        <v>0</v>
      </c>
      <c r="P6" s="47" t="str">
        <f>IF(OR(WEEKDAY(A6)=1,WEEKDAY(A6)=7,NOT(ISERROR(MATCH(A6,[1]Праздники!A:A,0)))),"Выходной","Рабочий")</f>
        <v>Рабочий</v>
      </c>
    </row>
    <row r="7" spans="1:19">
      <c r="A7" s="146">
        <v>45598</v>
      </c>
      <c r="B7" s="147"/>
      <c r="C7" s="148">
        <f>IF(A7="",0,[3]TDSheet!D8)</f>
        <v>0</v>
      </c>
      <c r="D7" s="138">
        <f>IF(A7="",0,[3]TDSheet!F8)</f>
        <v>0</v>
      </c>
      <c r="E7" s="138"/>
      <c r="F7" s="139"/>
      <c r="G7" s="151">
        <f>IF(A7 ="",0,G6+C7+E7-D6-F6)</f>
        <v>0</v>
      </c>
      <c r="H7" s="152"/>
      <c r="I7" s="140">
        <f t="shared" ref="I7:I36" si="2">IF(P7="Выходной",SUM(C7*129.94)*1.5,SUM(C7*129.94))</f>
        <v>0</v>
      </c>
      <c r="J7" s="140">
        <f t="shared" si="1"/>
        <v>0</v>
      </c>
      <c r="K7" s="140">
        <f>IF(OR(WEEKDAY(A7)=1,WEEKDAY(A7)=7,NOT(ISERROR(MATCH(A7,[1]Праздники!A:A,0)))),SUM(E7*162.5)*1.5,SUM(E7*162.5))</f>
        <v>0</v>
      </c>
      <c r="L7" s="140">
        <f>IF(OR(WEEKDAY(A7)=1,WEEKDAY(A7)=7,NOT(ISERROR(MATCH(A7,[1]Праздники!A:A,0)))),SUM(F7*162.5)*1.5,SUM(F7*162.5))</f>
        <v>0</v>
      </c>
      <c r="M7" s="140">
        <f t="shared" ref="M7:M36" si="3">SUM(G7*13.32)</f>
        <v>0</v>
      </c>
      <c r="N7" s="140">
        <f t="shared" ref="N7:N36" si="4">SUM(H7)*750</f>
        <v>0</v>
      </c>
      <c r="O7" s="140">
        <f t="shared" ref="O7:O36" si="5">SUM(I7:N7)</f>
        <v>0</v>
      </c>
      <c r="P7" s="47" t="str">
        <f>IF(OR(WEEKDAY(A7)=1,WEEKDAY(A7)=7,NOT(ISERROR(MATCH(A7,[1]Праздники!A:A,0)))),"Выходной","Рабочий")</f>
        <v>Выходной</v>
      </c>
    </row>
    <row r="8" spans="1:19">
      <c r="A8" s="146">
        <v>45599</v>
      </c>
      <c r="B8" s="147"/>
      <c r="C8" s="148">
        <f>IF(A8="",0,[3]TDSheet!D9)</f>
        <v>0</v>
      </c>
      <c r="D8" s="138">
        <f>IF(A8="",0,[3]TDSheet!F9)</f>
        <v>0</v>
      </c>
      <c r="E8" s="138"/>
      <c r="F8" s="139"/>
      <c r="G8" s="151">
        <f t="shared" ref="G8:G35" si="6">IF(A8 ="",0,G7+C8+E8-D7-F7)</f>
        <v>0</v>
      </c>
      <c r="H8" s="152"/>
      <c r="I8" s="140">
        <f t="shared" si="2"/>
        <v>0</v>
      </c>
      <c r="J8" s="140">
        <f t="shared" si="1"/>
        <v>0</v>
      </c>
      <c r="K8" s="140">
        <f>IF(OR(WEEKDAY(A8)=1,WEEKDAY(A8)=7,NOT(ISERROR(MATCH(A8,[1]Праздники!A:A,0)))),SUM(E8*162.5)*1.5,SUM(E8*162.5))</f>
        <v>0</v>
      </c>
      <c r="L8" s="140">
        <f>IF(OR(WEEKDAY(A8)=1,WEEKDAY(A8)=7,NOT(ISERROR(MATCH(A8,[1]Праздники!A:A,0)))),SUM(F8*162.5)*1.5,SUM(F8*162.5))</f>
        <v>0</v>
      </c>
      <c r="M8" s="140">
        <f t="shared" si="3"/>
        <v>0</v>
      </c>
      <c r="N8" s="140">
        <f t="shared" si="4"/>
        <v>0</v>
      </c>
      <c r="O8" s="140">
        <f t="shared" si="5"/>
        <v>0</v>
      </c>
      <c r="P8" s="47" t="str">
        <f>IF(OR(WEEKDAY(A8)=1,WEEKDAY(A8)=7,NOT(ISERROR(MATCH(A8,[1]Праздники!A:A,0)))),"Выходной","Рабочий")</f>
        <v>Выходной</v>
      </c>
    </row>
    <row r="9" spans="1:19">
      <c r="A9" s="146">
        <v>45600</v>
      </c>
      <c r="B9" s="147"/>
      <c r="C9" s="148">
        <f>IF(A9="",0,[3]TDSheet!D10)</f>
        <v>0</v>
      </c>
      <c r="D9" s="138">
        <f>IF(A9="",0,[3]TDSheet!F10)</f>
        <v>0</v>
      </c>
      <c r="E9" s="138"/>
      <c r="F9" s="139"/>
      <c r="G9" s="151">
        <f t="shared" si="6"/>
        <v>0</v>
      </c>
      <c r="H9" s="152"/>
      <c r="I9" s="140">
        <f t="shared" si="2"/>
        <v>0</v>
      </c>
      <c r="J9" s="140">
        <f t="shared" si="1"/>
        <v>0</v>
      </c>
      <c r="K9" s="140">
        <f>IF(OR(WEEKDAY(A9)=1,WEEKDAY(A9)=7,NOT(ISERROR(MATCH(A9,[1]Праздники!A:A,0)))),SUM(E9*162.5)*1.5,SUM(E9*162.5))</f>
        <v>0</v>
      </c>
      <c r="L9" s="140">
        <f>IF(OR(WEEKDAY(A9)=1,WEEKDAY(A9)=7,NOT(ISERROR(MATCH(A9,[1]Праздники!A:A,0)))),SUM(F9*162.5)*1.5,SUM(F9*162.5))</f>
        <v>0</v>
      </c>
      <c r="M9" s="140">
        <f t="shared" si="3"/>
        <v>0</v>
      </c>
      <c r="N9" s="140">
        <f t="shared" si="4"/>
        <v>0</v>
      </c>
      <c r="O9" s="140">
        <f t="shared" si="5"/>
        <v>0</v>
      </c>
      <c r="P9" s="47" t="str">
        <f>IF(OR(WEEKDAY(A9)=1,WEEKDAY(A9)=7,NOT(ISERROR(MATCH(A9,[1]Праздники!A:A,0)))),"Выходной","Рабочий")</f>
        <v>Рабочий</v>
      </c>
    </row>
    <row r="10" spans="1:19">
      <c r="A10" s="146">
        <v>45601</v>
      </c>
      <c r="B10" s="147"/>
      <c r="C10" s="148">
        <f>IF(A10="",0,[3]TDSheet!D11)</f>
        <v>0</v>
      </c>
      <c r="D10" s="138">
        <f>IF(A10="",0,[3]TDSheet!F11)</f>
        <v>0</v>
      </c>
      <c r="E10" s="138"/>
      <c r="F10" s="139"/>
      <c r="G10" s="151">
        <f t="shared" si="6"/>
        <v>0</v>
      </c>
      <c r="H10" s="152"/>
      <c r="I10" s="140">
        <f t="shared" si="2"/>
        <v>0</v>
      </c>
      <c r="J10" s="140">
        <f t="shared" si="1"/>
        <v>0</v>
      </c>
      <c r="K10" s="140">
        <f>IF(OR(WEEKDAY(A10)=1,WEEKDAY(A10)=7,NOT(ISERROR(MATCH(A10,[1]Праздники!A:A,0)))),SUM(E10*162.5)*1.5,SUM(E10*162.5))</f>
        <v>0</v>
      </c>
      <c r="L10" s="140">
        <f>IF(OR(WEEKDAY(A10)=1,WEEKDAY(A10)=7,NOT(ISERROR(MATCH(A10,[1]Праздники!A:A,0)))),SUM(F10*162.5)*1.5,SUM(F10*162.5))</f>
        <v>0</v>
      </c>
      <c r="M10" s="140">
        <f t="shared" si="3"/>
        <v>0</v>
      </c>
      <c r="N10" s="140">
        <f t="shared" si="4"/>
        <v>0</v>
      </c>
      <c r="O10" s="140">
        <f t="shared" si="5"/>
        <v>0</v>
      </c>
      <c r="P10" s="47" t="str">
        <f>IF(OR(WEEKDAY(A10)=1,WEEKDAY(A10)=7,NOT(ISERROR(MATCH(A10,[1]Праздники!A:A,0)))),"Выходной","Рабочий")</f>
        <v>Рабочий</v>
      </c>
    </row>
    <row r="11" spans="1:19">
      <c r="A11" s="146">
        <v>45602</v>
      </c>
      <c r="B11" s="147"/>
      <c r="C11" s="148">
        <f>IF(A11="",0,[3]TDSheet!D12)</f>
        <v>0</v>
      </c>
      <c r="D11" s="138">
        <f>IF(A11="",0,[3]TDSheet!F12)</f>
        <v>0</v>
      </c>
      <c r="E11" s="138"/>
      <c r="F11" s="139"/>
      <c r="G11" s="151">
        <f t="shared" si="6"/>
        <v>0</v>
      </c>
      <c r="H11" s="152"/>
      <c r="I11" s="140">
        <f t="shared" si="2"/>
        <v>0</v>
      </c>
      <c r="J11" s="140">
        <f t="shared" si="1"/>
        <v>0</v>
      </c>
      <c r="K11" s="140">
        <f>IF(OR(WEEKDAY(A11)=1,WEEKDAY(A11)=7,NOT(ISERROR(MATCH(A11,[1]Праздники!A:A,0)))),SUM(E11*162.5)*1.5,SUM(E11*162.5))</f>
        <v>0</v>
      </c>
      <c r="L11" s="140">
        <f>IF(OR(WEEKDAY(A11)=1,WEEKDAY(A11)=7,NOT(ISERROR(MATCH(A11,[1]Праздники!A:A,0)))),SUM(F11*162.5)*1.5,SUM(F11*162.5))</f>
        <v>0</v>
      </c>
      <c r="M11" s="140">
        <f t="shared" si="3"/>
        <v>0</v>
      </c>
      <c r="N11" s="140">
        <f t="shared" si="4"/>
        <v>0</v>
      </c>
      <c r="O11" s="140">
        <f t="shared" si="5"/>
        <v>0</v>
      </c>
      <c r="P11" s="47" t="str">
        <f>IF(OR(WEEKDAY(A11)=1,WEEKDAY(A11)=7,NOT(ISERROR(MATCH(A11,[1]Праздники!A:A,0)))),"Выходной","Рабочий")</f>
        <v>Рабочий</v>
      </c>
    </row>
    <row r="12" spans="1:19">
      <c r="A12" s="146">
        <v>45603</v>
      </c>
      <c r="B12" s="147"/>
      <c r="C12" s="148">
        <f>IF(A12="",0,[3]TDSheet!D13)</f>
        <v>0</v>
      </c>
      <c r="D12" s="138">
        <f>IF(A12="",0,[3]TDSheet!F13)</f>
        <v>0</v>
      </c>
      <c r="E12" s="138"/>
      <c r="F12" s="139"/>
      <c r="G12" s="151">
        <f t="shared" si="6"/>
        <v>0</v>
      </c>
      <c r="H12" s="152"/>
      <c r="I12" s="140">
        <f t="shared" si="2"/>
        <v>0</v>
      </c>
      <c r="J12" s="140">
        <f t="shared" si="1"/>
        <v>0</v>
      </c>
      <c r="K12" s="140">
        <f>IF(OR(WEEKDAY(A12)=1,WEEKDAY(A12)=7,NOT(ISERROR(MATCH(A12,[1]Праздники!A:A,0)))),SUM(E12*162.5)*1.5,SUM(E12*162.5))</f>
        <v>0</v>
      </c>
      <c r="L12" s="140">
        <f>IF(OR(WEEKDAY(A12)=1,WEEKDAY(A12)=7,NOT(ISERROR(MATCH(A12,[1]Праздники!A:A,0)))),SUM(F12*162.5)*1.5,SUM(F12*162.5))</f>
        <v>0</v>
      </c>
      <c r="M12" s="140">
        <f t="shared" si="3"/>
        <v>0</v>
      </c>
      <c r="N12" s="140">
        <f t="shared" si="4"/>
        <v>0</v>
      </c>
      <c r="O12" s="140">
        <f t="shared" si="5"/>
        <v>0</v>
      </c>
      <c r="P12" s="47" t="str">
        <f>IF(OR(WEEKDAY(A12)=1,WEEKDAY(A12)=7,NOT(ISERROR(MATCH(A12,[1]Праздники!A:A,0)))),"Выходной","Рабочий")</f>
        <v>Рабочий</v>
      </c>
    </row>
    <row r="13" spans="1:19">
      <c r="A13" s="146">
        <v>45604</v>
      </c>
      <c r="B13" s="147"/>
      <c r="C13" s="148">
        <f>IF(A13="",0,[3]TDSheet!D14)</f>
        <v>0</v>
      </c>
      <c r="D13" s="138">
        <f>IF(A13="",0,[3]TDSheet!F14)</f>
        <v>0</v>
      </c>
      <c r="E13" s="138"/>
      <c r="F13" s="138"/>
      <c r="G13" s="151">
        <f t="shared" si="6"/>
        <v>0</v>
      </c>
      <c r="H13" s="152"/>
      <c r="I13" s="140">
        <f t="shared" si="2"/>
        <v>0</v>
      </c>
      <c r="J13" s="140">
        <f t="shared" si="1"/>
        <v>0</v>
      </c>
      <c r="K13" s="140">
        <f>IF(OR(WEEKDAY(A13)=1,WEEKDAY(A13)=7,NOT(ISERROR(MATCH(A13,[1]Праздники!A:A,0)))),SUM(E13*162.5)*1.5,SUM(E13*162.5))</f>
        <v>0</v>
      </c>
      <c r="L13" s="140">
        <f>IF(OR(WEEKDAY(A13)=1,WEEKDAY(A13)=7,NOT(ISERROR(MATCH(A13,[1]Праздники!A:A,0)))),SUM(F13*162.5)*1.5,SUM(F13*162.5))</f>
        <v>0</v>
      </c>
      <c r="M13" s="140">
        <f t="shared" si="3"/>
        <v>0</v>
      </c>
      <c r="N13" s="140">
        <f t="shared" si="4"/>
        <v>0</v>
      </c>
      <c r="O13" s="140">
        <f t="shared" si="5"/>
        <v>0</v>
      </c>
      <c r="P13" s="47" t="str">
        <f>IF(OR(WEEKDAY(A13)=1,WEEKDAY(A13)=7,NOT(ISERROR(MATCH(A13,[1]Праздники!A:A,0)))),"Выходной","Рабочий")</f>
        <v>Рабочий</v>
      </c>
    </row>
    <row r="14" spans="1:19">
      <c r="A14" s="146">
        <v>45605</v>
      </c>
      <c r="B14" s="147"/>
      <c r="C14" s="148">
        <f>IF(A14="",0,[3]TDSheet!D15)</f>
        <v>0</v>
      </c>
      <c r="D14" s="138">
        <f>IF(A14="",0,[3]TDSheet!F15)</f>
        <v>0</v>
      </c>
      <c r="E14" s="138"/>
      <c r="F14" s="138"/>
      <c r="G14" s="151">
        <f t="shared" si="6"/>
        <v>0</v>
      </c>
      <c r="H14" s="152"/>
      <c r="I14" s="140">
        <f t="shared" si="2"/>
        <v>0</v>
      </c>
      <c r="J14" s="140">
        <f t="shared" si="1"/>
        <v>0</v>
      </c>
      <c r="K14" s="140">
        <f>IF(OR(WEEKDAY(A14)=1,WEEKDAY(A14)=7,NOT(ISERROR(MATCH(A14,[1]Праздники!A:A,0)))),SUM(E14*162.5)*1.5,SUM(E14*162.5))</f>
        <v>0</v>
      </c>
      <c r="L14" s="140">
        <f>IF(OR(WEEKDAY(A14)=1,WEEKDAY(A14)=7,NOT(ISERROR(MATCH(A14,[1]Праздники!A:A,0)))),SUM(F14*162.5)*1.5,SUM(F14*162.5))</f>
        <v>0</v>
      </c>
      <c r="M14" s="140">
        <f t="shared" si="3"/>
        <v>0</v>
      </c>
      <c r="N14" s="140">
        <f t="shared" si="4"/>
        <v>0</v>
      </c>
      <c r="O14" s="140">
        <f t="shared" si="5"/>
        <v>0</v>
      </c>
      <c r="P14" s="47" t="str">
        <f>IF(OR(WEEKDAY(A14)=1,WEEKDAY(A14)=7,NOT(ISERROR(MATCH(A14,[1]Праздники!A:A,0)))),"Выходной","Рабочий")</f>
        <v>Выходной</v>
      </c>
    </row>
    <row r="15" spans="1:19">
      <c r="A15" s="146">
        <v>45606</v>
      </c>
      <c r="B15" s="147"/>
      <c r="C15" s="148">
        <f>IF(A15="",0,[3]TDSheet!D16)</f>
        <v>0</v>
      </c>
      <c r="D15" s="138">
        <f>IF(A15="",0,[3]TDSheet!F16)</f>
        <v>0</v>
      </c>
      <c r="E15" s="138"/>
      <c r="F15" s="139"/>
      <c r="G15" s="151">
        <f t="shared" si="6"/>
        <v>0</v>
      </c>
      <c r="H15" s="152"/>
      <c r="I15" s="140">
        <f t="shared" si="2"/>
        <v>0</v>
      </c>
      <c r="J15" s="140">
        <f t="shared" si="1"/>
        <v>0</v>
      </c>
      <c r="K15" s="140">
        <f>IF(OR(WEEKDAY(A15)=1,WEEKDAY(A15)=7,NOT(ISERROR(MATCH(A15,[1]Праздники!A:A,0)))),SUM(E15*162.5)*1.5,SUM(E15*162.5))</f>
        <v>0</v>
      </c>
      <c r="L15" s="140">
        <f>IF(OR(WEEKDAY(A15)=1,WEEKDAY(A15)=7,NOT(ISERROR(MATCH(A15,[1]Праздники!A:A,0)))),SUM(F15*162.5)*1.5,SUM(F15*162.5))</f>
        <v>0</v>
      </c>
      <c r="M15" s="140">
        <f t="shared" si="3"/>
        <v>0</v>
      </c>
      <c r="N15" s="140">
        <f t="shared" si="4"/>
        <v>0</v>
      </c>
      <c r="O15" s="140">
        <f t="shared" si="5"/>
        <v>0</v>
      </c>
      <c r="P15" s="47" t="str">
        <f>IF(OR(WEEKDAY(A15)=1,WEEKDAY(A15)=7,NOT(ISERROR(MATCH(A15,[1]Праздники!A:A,0)))),"Выходной","Рабочий")</f>
        <v>Выходной</v>
      </c>
    </row>
    <row r="16" spans="1:19">
      <c r="A16" s="146">
        <v>45607</v>
      </c>
      <c r="B16" s="147"/>
      <c r="C16" s="148">
        <f>IF(A16="",0,[3]TDSheet!D17)</f>
        <v>0</v>
      </c>
      <c r="D16" s="138">
        <f>IF(A16="",0,[3]TDSheet!F17)</f>
        <v>0</v>
      </c>
      <c r="E16" s="138"/>
      <c r="F16" s="139"/>
      <c r="G16" s="151">
        <f t="shared" si="6"/>
        <v>0</v>
      </c>
      <c r="H16" s="152"/>
      <c r="I16" s="140">
        <f t="shared" si="2"/>
        <v>0</v>
      </c>
      <c r="J16" s="140">
        <f t="shared" si="1"/>
        <v>0</v>
      </c>
      <c r="K16" s="140">
        <f>IF(OR(WEEKDAY(A16)=1,WEEKDAY(A16)=7,NOT(ISERROR(MATCH(A16,[1]Праздники!A:A,0)))),SUM(E16*162.5)*1.5,SUM(E16*162.5))</f>
        <v>0</v>
      </c>
      <c r="L16" s="140">
        <f>IF(OR(WEEKDAY(A16)=1,WEEKDAY(A16)=7,NOT(ISERROR(MATCH(A16,[1]Праздники!A:A,0)))),SUM(F16*162.5)*1.5,SUM(F16*162.5))</f>
        <v>0</v>
      </c>
      <c r="M16" s="140">
        <f t="shared" si="3"/>
        <v>0</v>
      </c>
      <c r="N16" s="140">
        <f t="shared" si="4"/>
        <v>0</v>
      </c>
      <c r="O16" s="140">
        <f t="shared" si="5"/>
        <v>0</v>
      </c>
      <c r="P16" s="47" t="str">
        <f>IF(OR(WEEKDAY(A16)=1,WEEKDAY(A16)=7,NOT(ISERROR(MATCH(A16,[1]Праздники!A:A,0)))),"Выходной","Рабочий")</f>
        <v>Рабочий</v>
      </c>
    </row>
    <row r="17" spans="1:16">
      <c r="A17" s="146">
        <v>45608</v>
      </c>
      <c r="B17" s="147"/>
      <c r="C17" s="148">
        <f>IF(A17="",0,[3]TDSheet!D18)</f>
        <v>0</v>
      </c>
      <c r="D17" s="138">
        <f>IF(A17="",0,[3]TDSheet!F18)</f>
        <v>0</v>
      </c>
      <c r="E17" s="138"/>
      <c r="F17" s="139"/>
      <c r="G17" s="151">
        <f t="shared" si="6"/>
        <v>0</v>
      </c>
      <c r="H17" s="152"/>
      <c r="I17" s="140">
        <f t="shared" si="2"/>
        <v>0</v>
      </c>
      <c r="J17" s="140">
        <f t="shared" si="1"/>
        <v>0</v>
      </c>
      <c r="K17" s="140">
        <f>IF(OR(WEEKDAY(A17)=1,WEEKDAY(A17)=7,NOT(ISERROR(MATCH(A17,[1]Праздники!A:A,0)))),SUM(E17*162.5)*1.5,SUM(E17*162.5))</f>
        <v>0</v>
      </c>
      <c r="L17" s="140">
        <f>IF(OR(WEEKDAY(A17)=1,WEEKDAY(A17)=7,NOT(ISERROR(MATCH(A17,[1]Праздники!A:A,0)))),SUM(F17*162.5)*1.5,SUM(F17*162.5))</f>
        <v>0</v>
      </c>
      <c r="M17" s="140">
        <f t="shared" si="3"/>
        <v>0</v>
      </c>
      <c r="N17" s="140">
        <f t="shared" si="4"/>
        <v>0</v>
      </c>
      <c r="O17" s="140">
        <f t="shared" si="5"/>
        <v>0</v>
      </c>
      <c r="P17" s="47" t="str">
        <f>IF(OR(WEEKDAY(A17)=1,WEEKDAY(A17)=7,NOT(ISERROR(MATCH(A17,[1]Праздники!A:A,0)))),"Выходной","Рабочий")</f>
        <v>Рабочий</v>
      </c>
    </row>
    <row r="18" spans="1:16">
      <c r="A18" s="146">
        <v>45609</v>
      </c>
      <c r="B18" s="147"/>
      <c r="C18" s="148">
        <f>IF(A18="",0,[3]TDSheet!D19)</f>
        <v>0</v>
      </c>
      <c r="D18" s="138">
        <f>IF(A18="",0,[3]TDSheet!F19)</f>
        <v>0</v>
      </c>
      <c r="E18" s="138"/>
      <c r="F18" s="139"/>
      <c r="G18" s="151">
        <f t="shared" si="6"/>
        <v>0</v>
      </c>
      <c r="H18" s="152"/>
      <c r="I18" s="140">
        <f t="shared" si="2"/>
        <v>0</v>
      </c>
      <c r="J18" s="140">
        <f t="shared" si="1"/>
        <v>0</v>
      </c>
      <c r="K18" s="140">
        <f>IF(OR(WEEKDAY(A18)=1,WEEKDAY(A18)=7,NOT(ISERROR(MATCH(A18,[1]Праздники!A:A,0)))),SUM(E18*162.5)*1.5,SUM(E18*162.5))</f>
        <v>0</v>
      </c>
      <c r="L18" s="140">
        <f>IF(OR(WEEKDAY(A18)=1,WEEKDAY(A18)=7,NOT(ISERROR(MATCH(A18,[1]Праздники!A:A,0)))),SUM(F18*162.5)*1.5,SUM(F18*162.5))</f>
        <v>0</v>
      </c>
      <c r="M18" s="140">
        <f t="shared" si="3"/>
        <v>0</v>
      </c>
      <c r="N18" s="140">
        <f t="shared" si="4"/>
        <v>0</v>
      </c>
      <c r="O18" s="140">
        <f t="shared" si="5"/>
        <v>0</v>
      </c>
      <c r="P18" s="47" t="str">
        <f>IF(OR(WEEKDAY(A18)=1,WEEKDAY(A18)=7,NOT(ISERROR(MATCH(A18,[1]Праздники!A:A,0)))),"Выходной","Рабочий")</f>
        <v>Рабочий</v>
      </c>
    </row>
    <row r="19" spans="1:16">
      <c r="A19" s="146">
        <v>45610</v>
      </c>
      <c r="B19" s="147"/>
      <c r="C19" s="148">
        <f>IF(A19="",0,[3]TDSheet!D20)</f>
        <v>0</v>
      </c>
      <c r="D19" s="138">
        <f>IF(A19="",0,[3]TDSheet!F20)</f>
        <v>0</v>
      </c>
      <c r="E19" s="138"/>
      <c r="F19" s="139"/>
      <c r="G19" s="151">
        <f t="shared" si="6"/>
        <v>0</v>
      </c>
      <c r="H19" s="152"/>
      <c r="I19" s="140">
        <f t="shared" si="2"/>
        <v>0</v>
      </c>
      <c r="J19" s="140">
        <f t="shared" si="1"/>
        <v>0</v>
      </c>
      <c r="K19" s="140">
        <f>IF(OR(WEEKDAY(A19)=1,WEEKDAY(A19)=7,NOT(ISERROR(MATCH(A19,[1]Праздники!A:A,0)))),SUM(E19*162.5)*1.5,SUM(E19*162.5))</f>
        <v>0</v>
      </c>
      <c r="L19" s="140">
        <f>IF(OR(WEEKDAY(A19)=1,WEEKDAY(A19)=7,NOT(ISERROR(MATCH(A19,[1]Праздники!A:A,0)))),SUM(F19*162.5)*1.5,SUM(F19*162.5))</f>
        <v>0</v>
      </c>
      <c r="M19" s="140">
        <f t="shared" si="3"/>
        <v>0</v>
      </c>
      <c r="N19" s="140">
        <f t="shared" si="4"/>
        <v>0</v>
      </c>
      <c r="O19" s="140">
        <f t="shared" si="5"/>
        <v>0</v>
      </c>
      <c r="P19" s="47" t="str">
        <f>IF(OR(WEEKDAY(A19)=1,WEEKDAY(A19)=7,NOT(ISERROR(MATCH(A19,[1]Праздники!A:A,0)))),"Выходной","Рабочий")</f>
        <v>Рабочий</v>
      </c>
    </row>
    <row r="20" spans="1:16">
      <c r="A20" s="146">
        <v>45611</v>
      </c>
      <c r="B20" s="147"/>
      <c r="C20" s="148">
        <f>IF(A20="",0,[3]TDSheet!D21)</f>
        <v>0</v>
      </c>
      <c r="D20" s="138">
        <f>IF(A20="",0,[3]TDSheet!F21)</f>
        <v>0</v>
      </c>
      <c r="E20" s="138"/>
      <c r="F20" s="139"/>
      <c r="G20" s="151">
        <f t="shared" si="6"/>
        <v>0</v>
      </c>
      <c r="H20" s="152"/>
      <c r="I20" s="140">
        <f t="shared" si="2"/>
        <v>0</v>
      </c>
      <c r="J20" s="140">
        <f t="shared" si="1"/>
        <v>0</v>
      </c>
      <c r="K20" s="140">
        <f>IF(OR(WEEKDAY(A20)=1,WEEKDAY(A20)=7,NOT(ISERROR(MATCH(A20,[1]Праздники!A:A,0)))),SUM(E20*162.5)*1.5,SUM(E20*162.5))</f>
        <v>0</v>
      </c>
      <c r="L20" s="140">
        <f>IF(OR(WEEKDAY(A20)=1,WEEKDAY(A20)=7,NOT(ISERROR(MATCH(A20,[1]Праздники!A:A,0)))),SUM(F20*162.5)*1.5,SUM(F20*162.5))</f>
        <v>0</v>
      </c>
      <c r="M20" s="140">
        <f t="shared" si="3"/>
        <v>0</v>
      </c>
      <c r="N20" s="140">
        <f t="shared" si="4"/>
        <v>0</v>
      </c>
      <c r="O20" s="140">
        <f t="shared" si="5"/>
        <v>0</v>
      </c>
      <c r="P20" s="47" t="str">
        <f>IF(OR(WEEKDAY(A20)=1,WEEKDAY(A20)=7,NOT(ISERROR(MATCH(A20,[1]Праздники!A:A,0)))),"Выходной","Рабочий")</f>
        <v>Рабочий</v>
      </c>
    </row>
    <row r="21" spans="1:16">
      <c r="A21" s="146">
        <v>45612</v>
      </c>
      <c r="B21" s="147"/>
      <c r="C21" s="148">
        <f>IF(A21="",0,[3]TDSheet!D22)</f>
        <v>0</v>
      </c>
      <c r="D21" s="138">
        <f>IF(A21="",0,[3]TDSheet!F22)</f>
        <v>0</v>
      </c>
      <c r="E21" s="138"/>
      <c r="F21" s="139"/>
      <c r="G21" s="151">
        <f t="shared" si="6"/>
        <v>0</v>
      </c>
      <c r="H21" s="152"/>
      <c r="I21" s="140">
        <f t="shared" si="2"/>
        <v>0</v>
      </c>
      <c r="J21" s="140">
        <f t="shared" si="1"/>
        <v>0</v>
      </c>
      <c r="K21" s="140">
        <f>IF(OR(WEEKDAY(A21)=1,WEEKDAY(A21)=7,NOT(ISERROR(MATCH(A21,[1]Праздники!A:A,0)))),SUM(E21*162.5)*1.5,SUM(E21*162.5))</f>
        <v>0</v>
      </c>
      <c r="L21" s="140">
        <f>IF(OR(WEEKDAY(A21)=1,WEEKDAY(A21)=7,NOT(ISERROR(MATCH(A21,[1]Праздники!A:A,0)))),SUM(F21*162.5)*1.5,SUM(F21*162.5))</f>
        <v>0</v>
      </c>
      <c r="M21" s="140">
        <f t="shared" si="3"/>
        <v>0</v>
      </c>
      <c r="N21" s="140">
        <f>SUM(H21)*750</f>
        <v>0</v>
      </c>
      <c r="O21" s="140">
        <f t="shared" si="5"/>
        <v>0</v>
      </c>
      <c r="P21" s="47" t="str">
        <f>IF(OR(WEEKDAY(A21)=1,WEEKDAY(A21)=7,NOT(ISERROR(MATCH(A21,[1]Праздники!A:A,0)))),"Выходной","Рабочий")</f>
        <v>Выходной</v>
      </c>
    </row>
    <row r="22" spans="1:16">
      <c r="A22" s="146">
        <v>45613</v>
      </c>
      <c r="B22" s="147"/>
      <c r="C22" s="148">
        <f>IF(A22="",0,[3]TDSheet!D23)</f>
        <v>0</v>
      </c>
      <c r="D22" s="138">
        <f>IF(A22="",0,[3]TDSheet!F23)</f>
        <v>0</v>
      </c>
      <c r="E22" s="138"/>
      <c r="F22" s="139"/>
      <c r="G22" s="151">
        <f t="shared" si="6"/>
        <v>0</v>
      </c>
      <c r="H22" s="152"/>
      <c r="I22" s="140">
        <f t="shared" si="2"/>
        <v>0</v>
      </c>
      <c r="J22" s="140">
        <f t="shared" si="1"/>
        <v>0</v>
      </c>
      <c r="K22" s="140">
        <f>IF(OR(WEEKDAY(A22)=1,WEEKDAY(A22)=7,NOT(ISERROR(MATCH(A22,[1]Праздники!A:A,0)))),SUM(E22*162.5)*1.5,SUM(E22*162.5))</f>
        <v>0</v>
      </c>
      <c r="L22" s="140">
        <f>IF(OR(WEEKDAY(A22)=1,WEEKDAY(A22)=7,NOT(ISERROR(MATCH(A22,[1]Праздники!A:A,0)))),SUM(F22*162.5)*1.5,SUM(F22*162.5))</f>
        <v>0</v>
      </c>
      <c r="M22" s="140">
        <f t="shared" si="3"/>
        <v>0</v>
      </c>
      <c r="N22" s="140">
        <f t="shared" si="4"/>
        <v>0</v>
      </c>
      <c r="O22" s="140">
        <f t="shared" si="5"/>
        <v>0</v>
      </c>
      <c r="P22" s="47" t="str">
        <f>IF(OR(WEEKDAY(A22)=1,WEEKDAY(A22)=7,NOT(ISERROR(MATCH(A22,[1]Праздники!A:A,0)))),"Выходной","Рабочий")</f>
        <v>Выходной</v>
      </c>
    </row>
    <row r="23" spans="1:16">
      <c r="A23" s="146">
        <v>45614</v>
      </c>
      <c r="B23" s="147"/>
      <c r="C23" s="148">
        <f>IF(A23="",0,[3]TDSheet!D24)</f>
        <v>0</v>
      </c>
      <c r="D23" s="138">
        <f>IF(A23="",0,[3]TDSheet!F24)</f>
        <v>0</v>
      </c>
      <c r="E23" s="138"/>
      <c r="F23" s="139"/>
      <c r="G23" s="151">
        <f t="shared" si="6"/>
        <v>0</v>
      </c>
      <c r="H23" s="152"/>
      <c r="I23" s="140">
        <f t="shared" si="2"/>
        <v>0</v>
      </c>
      <c r="J23" s="140">
        <f t="shared" si="1"/>
        <v>0</v>
      </c>
      <c r="K23" s="140">
        <f>IF(OR(WEEKDAY(A23)=1,WEEKDAY(A23)=7,NOT(ISERROR(MATCH(A23,[1]Праздники!A:A,0)))),SUM(E23*162.5)*1.5,SUM(E23*162.5))</f>
        <v>0</v>
      </c>
      <c r="L23" s="140">
        <f>IF(OR(WEEKDAY(A23)=1,WEEKDAY(A23)=7,NOT(ISERROR(MATCH(A23,[1]Праздники!A:A,0)))),SUM(F23*162.5)*1.5,SUM(F23*162.5))</f>
        <v>0</v>
      </c>
      <c r="M23" s="140">
        <f t="shared" si="3"/>
        <v>0</v>
      </c>
      <c r="N23" s="140">
        <f t="shared" si="4"/>
        <v>0</v>
      </c>
      <c r="O23" s="140">
        <f t="shared" si="5"/>
        <v>0</v>
      </c>
      <c r="P23" s="47" t="str">
        <f>IF(OR(WEEKDAY(A23)=1,WEEKDAY(A23)=7,NOT(ISERROR(MATCH(A23,[1]Праздники!A:A,0)))),"Выходной","Рабочий")</f>
        <v>Рабочий</v>
      </c>
    </row>
    <row r="24" spans="1:16">
      <c r="A24" s="146">
        <v>45615</v>
      </c>
      <c r="B24" s="147"/>
      <c r="C24" s="148">
        <f>IF(A24="",0,[3]TDSheet!D25)</f>
        <v>0</v>
      </c>
      <c r="D24" s="138">
        <f>IF(A24="",0,[3]TDSheet!F25)</f>
        <v>0</v>
      </c>
      <c r="E24" s="138"/>
      <c r="F24" s="139"/>
      <c r="G24" s="151">
        <f t="shared" si="6"/>
        <v>0</v>
      </c>
      <c r="H24" s="152"/>
      <c r="I24" s="140">
        <f t="shared" si="2"/>
        <v>0</v>
      </c>
      <c r="J24" s="140">
        <f t="shared" si="1"/>
        <v>0</v>
      </c>
      <c r="K24" s="140">
        <f>IF(OR(WEEKDAY(A24)=1,WEEKDAY(A24)=7,NOT(ISERROR(MATCH(A24,[1]Праздники!A:A,0)))),SUM(E24*162.5)*1.5,SUM(E24*162.5))</f>
        <v>0</v>
      </c>
      <c r="L24" s="140">
        <f>IF(OR(WEEKDAY(A24)=1,WEEKDAY(A24)=7,NOT(ISERROR(MATCH(A24,[1]Праздники!A:A,0)))),SUM(F24*162.5)*1.5,SUM(F24*162.5))</f>
        <v>0</v>
      </c>
      <c r="M24" s="140">
        <f t="shared" si="3"/>
        <v>0</v>
      </c>
      <c r="N24" s="140">
        <f t="shared" si="4"/>
        <v>0</v>
      </c>
      <c r="O24" s="140">
        <f t="shared" si="5"/>
        <v>0</v>
      </c>
      <c r="P24" s="47" t="str">
        <f>IF(OR(WEEKDAY(A24)=1,WEEKDAY(A24)=7,NOT(ISERROR(MATCH(A24,[1]Праздники!A:A,0)))),"Выходной","Рабочий")</f>
        <v>Рабочий</v>
      </c>
    </row>
    <row r="25" spans="1:16">
      <c r="A25" s="146">
        <v>45616</v>
      </c>
      <c r="B25" s="147"/>
      <c r="C25" s="148">
        <f>IF(A25="",0,[3]TDSheet!D26)</f>
        <v>0</v>
      </c>
      <c r="D25" s="138">
        <f>IF(A25="",0,[3]TDSheet!F26)</f>
        <v>0</v>
      </c>
      <c r="E25" s="138"/>
      <c r="F25" s="139"/>
      <c r="G25" s="151">
        <f t="shared" si="6"/>
        <v>0</v>
      </c>
      <c r="H25" s="152"/>
      <c r="I25" s="140">
        <f t="shared" si="2"/>
        <v>0</v>
      </c>
      <c r="J25" s="140">
        <f t="shared" si="1"/>
        <v>0</v>
      </c>
      <c r="K25" s="140">
        <f>IF(OR(WEEKDAY(A25)=1,WEEKDAY(A25)=7,NOT(ISERROR(MATCH(A25,[1]Праздники!A:A,0)))),SUM(E25*162.5)*1.5,SUM(E25*162.5))</f>
        <v>0</v>
      </c>
      <c r="L25" s="140">
        <f>IF(OR(WEEKDAY(A25)=1,WEEKDAY(A25)=7,NOT(ISERROR(MATCH(A25,[1]Праздники!A:A,0)))),SUM(F25*162.5)*1.5,SUM(F25*162.5))</f>
        <v>0</v>
      </c>
      <c r="M25" s="140">
        <f t="shared" si="3"/>
        <v>0</v>
      </c>
      <c r="N25" s="140">
        <f t="shared" si="4"/>
        <v>0</v>
      </c>
      <c r="O25" s="140">
        <f t="shared" si="5"/>
        <v>0</v>
      </c>
      <c r="P25" s="47" t="str">
        <f>IF(OR(WEEKDAY(A25)=1,WEEKDAY(A25)=7,NOT(ISERROR(MATCH(A25,[1]Праздники!A:A,0)))),"Выходной","Рабочий")</f>
        <v>Рабочий</v>
      </c>
    </row>
    <row r="26" spans="1:16">
      <c r="A26" s="146">
        <v>45617</v>
      </c>
      <c r="B26" s="147"/>
      <c r="C26" s="148">
        <f>IF(A26="",0,[3]TDSheet!D27)</f>
        <v>0</v>
      </c>
      <c r="D26" s="138">
        <f>IF(A26="",0,[3]TDSheet!F27)</f>
        <v>0</v>
      </c>
      <c r="E26" s="153"/>
      <c r="F26" s="139"/>
      <c r="G26" s="151">
        <f t="shared" si="6"/>
        <v>0</v>
      </c>
      <c r="H26" s="152"/>
      <c r="I26" s="140">
        <f t="shared" si="2"/>
        <v>0</v>
      </c>
      <c r="J26" s="140">
        <f t="shared" si="1"/>
        <v>0</v>
      </c>
      <c r="K26" s="140">
        <f>IF(OR(WEEKDAY(A26)=1,WEEKDAY(A26)=7,NOT(ISERROR(MATCH(A26,[1]Праздники!A:A,0)))),SUM(E26*162.5)*1.5,SUM(E26*162.5))</f>
        <v>0</v>
      </c>
      <c r="L26" s="140">
        <f>IF(OR(WEEKDAY(A26)=1,WEEKDAY(A26)=7,NOT(ISERROR(MATCH(A26,[1]Праздники!A:A,0)))),SUM(F26*162.5)*1.5,SUM(F26*162.5))</f>
        <v>0</v>
      </c>
      <c r="M26" s="140">
        <f t="shared" si="3"/>
        <v>0</v>
      </c>
      <c r="N26" s="140">
        <f t="shared" si="4"/>
        <v>0</v>
      </c>
      <c r="O26" s="140">
        <f t="shared" si="5"/>
        <v>0</v>
      </c>
      <c r="P26" s="47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146">
        <v>45618</v>
      </c>
      <c r="B27" s="147"/>
      <c r="C27" s="148">
        <f>IF(A27="",0,[3]TDSheet!D28)</f>
        <v>0</v>
      </c>
      <c r="D27" s="138">
        <f>IF(A27="",0,[3]TDSheet!F28)</f>
        <v>0</v>
      </c>
      <c r="E27" s="138"/>
      <c r="F27" s="138"/>
      <c r="G27" s="151">
        <f t="shared" si="6"/>
        <v>0</v>
      </c>
      <c r="H27" s="152"/>
      <c r="I27" s="140">
        <f t="shared" si="2"/>
        <v>0</v>
      </c>
      <c r="J27" s="140">
        <f t="shared" si="1"/>
        <v>0</v>
      </c>
      <c r="K27" s="140">
        <f>IF(OR(WEEKDAY(A27)=1,WEEKDAY(A27)=7,NOT(ISERROR(MATCH(A27,[1]Праздники!A:A,0)))),SUM(E27*162.5)*1.5,SUM(E27*162.5))</f>
        <v>0</v>
      </c>
      <c r="L27" s="140">
        <f>IF(OR(WEEKDAY(A27)=1,WEEKDAY(A27)=7,NOT(ISERROR(MATCH(A27,[1]Праздники!A:A,0)))),SUM(F27*162.5)*1.5,SUM(F27*162.5))</f>
        <v>0</v>
      </c>
      <c r="M27" s="140">
        <f t="shared" si="3"/>
        <v>0</v>
      </c>
      <c r="N27" s="140">
        <f t="shared" si="4"/>
        <v>0</v>
      </c>
      <c r="O27" s="140">
        <f t="shared" si="5"/>
        <v>0</v>
      </c>
      <c r="P27" s="47" t="str">
        <f>IF(OR(WEEKDAY(A27)=1,WEEKDAY(A27)=7,NOT(ISERROR(MATCH(A27,[1]Праздники!A:A,0)))),"Выходной","Рабочий")</f>
        <v>Рабочий</v>
      </c>
    </row>
    <row r="28" spans="1:16">
      <c r="A28" s="146">
        <v>45619</v>
      </c>
      <c r="B28" s="147"/>
      <c r="C28" s="148">
        <f>IF(A28="",0,[3]TDSheet!D29)</f>
        <v>0</v>
      </c>
      <c r="D28" s="138">
        <f>IF(A28="",0,[3]TDSheet!F29)</f>
        <v>0</v>
      </c>
      <c r="E28" s="138"/>
      <c r="F28" s="139"/>
      <c r="G28" s="151">
        <f t="shared" si="6"/>
        <v>0</v>
      </c>
      <c r="H28" s="152"/>
      <c r="I28" s="140">
        <f t="shared" si="2"/>
        <v>0</v>
      </c>
      <c r="J28" s="140">
        <f t="shared" si="1"/>
        <v>0</v>
      </c>
      <c r="K28" s="140">
        <f>IF(OR(WEEKDAY(A28)=1,WEEKDAY(A28)=7,NOT(ISERROR(MATCH(A28,[1]Праздники!A:A,0)))),SUM(E28*162.5)*1.5,SUM(E28*162.5))</f>
        <v>0</v>
      </c>
      <c r="L28" s="140">
        <f>IF(OR(WEEKDAY(A28)=1,WEEKDAY(A28)=7,NOT(ISERROR(MATCH(A28,[1]Праздники!A:A,0)))),SUM(F28*162.5)*1.5,SUM(F28*162.5))</f>
        <v>0</v>
      </c>
      <c r="M28" s="140">
        <f t="shared" si="3"/>
        <v>0</v>
      </c>
      <c r="N28" s="140">
        <f t="shared" si="4"/>
        <v>0</v>
      </c>
      <c r="O28" s="140">
        <f t="shared" si="5"/>
        <v>0</v>
      </c>
      <c r="P28" s="47" t="str">
        <f>IF(OR(WEEKDAY(A28)=1,WEEKDAY(A28)=7,NOT(ISERROR(MATCH(A28,[1]Праздники!A:A,0)))),"Выходной","Рабочий")</f>
        <v>Выходной</v>
      </c>
    </row>
    <row r="29" spans="1:16">
      <c r="A29" s="146">
        <v>45620</v>
      </c>
      <c r="B29" s="147"/>
      <c r="C29" s="148">
        <f>IF(A29="",0,[3]TDSheet!D30)</f>
        <v>0</v>
      </c>
      <c r="D29" s="138">
        <f>IF(A29="",0,[3]TDSheet!F30)</f>
        <v>0</v>
      </c>
      <c r="E29" s="138"/>
      <c r="F29" s="139"/>
      <c r="G29" s="151">
        <f t="shared" si="6"/>
        <v>0</v>
      </c>
      <c r="H29" s="152"/>
      <c r="I29" s="140">
        <f t="shared" si="2"/>
        <v>0</v>
      </c>
      <c r="J29" s="140">
        <f t="shared" si="1"/>
        <v>0</v>
      </c>
      <c r="K29" s="140">
        <f>IF(OR(WEEKDAY(A29)=1,WEEKDAY(A29)=7,NOT(ISERROR(MATCH(A29,[1]Праздники!A:A,0)))),SUM(E29*162.5)*1.5,SUM(E29*162.5))</f>
        <v>0</v>
      </c>
      <c r="L29" s="140">
        <f>IF(OR(WEEKDAY(A29)=1,WEEKDAY(A29)=7,NOT(ISERROR(MATCH(A29,[1]Праздники!A:A,0)))),SUM(F29*162.5)*1.5,SUM(F29*162.5))</f>
        <v>0</v>
      </c>
      <c r="M29" s="140">
        <f t="shared" si="3"/>
        <v>0</v>
      </c>
      <c r="N29" s="140">
        <f t="shared" si="4"/>
        <v>0</v>
      </c>
      <c r="O29" s="140">
        <f t="shared" si="5"/>
        <v>0</v>
      </c>
      <c r="P29" s="47" t="str">
        <f>IF(OR(WEEKDAY(A29)=1,WEEKDAY(A29)=7,NOT(ISERROR(MATCH(A29,[1]Праздники!A:A,0)))),"Выходной","Рабочий")</f>
        <v>Выходной</v>
      </c>
    </row>
    <row r="30" spans="1:16">
      <c r="A30" s="146">
        <v>45621</v>
      </c>
      <c r="B30" s="147"/>
      <c r="C30" s="148">
        <f>IF(A30="",0,[3]TDSheet!D31)</f>
        <v>0</v>
      </c>
      <c r="D30" s="138">
        <f>IF(A30="",0,[3]TDSheet!F31)</f>
        <v>0</v>
      </c>
      <c r="E30" s="138"/>
      <c r="F30" s="139"/>
      <c r="G30" s="151">
        <f t="shared" si="6"/>
        <v>0</v>
      </c>
      <c r="H30" s="152"/>
      <c r="I30" s="140">
        <f t="shared" si="2"/>
        <v>0</v>
      </c>
      <c r="J30" s="140">
        <f t="shared" si="1"/>
        <v>0</v>
      </c>
      <c r="K30" s="140">
        <f>IF(OR(WEEKDAY(A30)=1,WEEKDAY(A30)=7,NOT(ISERROR(MATCH(A30,[1]Праздники!A:A,0)))),SUM(E30*162.5)*1.5,SUM(E30*162.5))</f>
        <v>0</v>
      </c>
      <c r="L30" s="140">
        <f>IF(OR(WEEKDAY(A30)=1,WEEKDAY(A30)=7,NOT(ISERROR(MATCH(A30,[1]Праздники!A:A,0)))),SUM(F30*162.5)*1.5,SUM(F30*162.5))</f>
        <v>0</v>
      </c>
      <c r="M30" s="140">
        <f t="shared" si="3"/>
        <v>0</v>
      </c>
      <c r="N30" s="140">
        <f t="shared" si="4"/>
        <v>0</v>
      </c>
      <c r="O30" s="140">
        <f t="shared" si="5"/>
        <v>0</v>
      </c>
      <c r="P30" s="47" t="str">
        <f>IF(OR(WEEKDAY(A30)=1,WEEKDAY(A30)=7,NOT(ISERROR(MATCH(A30,[1]Праздники!A:A,0)))),"Выходной","Рабочий")</f>
        <v>Рабочий</v>
      </c>
    </row>
    <row r="31" spans="1:16">
      <c r="A31" s="146">
        <v>45622</v>
      </c>
      <c r="B31" s="147"/>
      <c r="C31" s="148">
        <f>IF(A31="",0,[3]TDSheet!D32)</f>
        <v>0</v>
      </c>
      <c r="D31" s="138">
        <f>IF(A31="",0,[3]TDSheet!F32)</f>
        <v>0</v>
      </c>
      <c r="E31" s="138"/>
      <c r="F31" s="139"/>
      <c r="G31" s="151">
        <f t="shared" si="6"/>
        <v>0</v>
      </c>
      <c r="H31" s="152"/>
      <c r="I31" s="140">
        <f t="shared" si="2"/>
        <v>0</v>
      </c>
      <c r="J31" s="140">
        <f t="shared" si="1"/>
        <v>0</v>
      </c>
      <c r="K31" s="140">
        <f>IF(OR(WEEKDAY(A31)=1,WEEKDAY(A31)=7,NOT(ISERROR(MATCH(A31,[1]Праздники!A:A,0)))),SUM(E31*162.5)*1.5,SUM(E31*162.5))</f>
        <v>0</v>
      </c>
      <c r="L31" s="140">
        <f>IF(OR(WEEKDAY(A31)=1,WEEKDAY(A31)=7,NOT(ISERROR(MATCH(A31,[1]Праздники!A:A,0)))),SUM(F31*162.5)*1.5,SUM(F31*162.5))</f>
        <v>0</v>
      </c>
      <c r="M31" s="140">
        <f t="shared" si="3"/>
        <v>0</v>
      </c>
      <c r="N31" s="140">
        <f t="shared" si="4"/>
        <v>0</v>
      </c>
      <c r="O31" s="140">
        <f t="shared" si="5"/>
        <v>0</v>
      </c>
      <c r="P31" s="47" t="str">
        <f>IF(OR(WEEKDAY(A31)=1,WEEKDAY(A31)=7,NOT(ISERROR(MATCH(A31,[1]Праздники!A:A,0)))),"Выходной","Рабочий")</f>
        <v>Рабочий</v>
      </c>
    </row>
    <row r="32" spans="1:16">
      <c r="A32" s="146">
        <v>45623</v>
      </c>
      <c r="B32" s="147"/>
      <c r="C32" s="148">
        <f>IF(A32="",0,[3]TDSheet!D33)</f>
        <v>0</v>
      </c>
      <c r="D32" s="138">
        <f>IF(A32="",0,[3]TDSheet!F33)</f>
        <v>0</v>
      </c>
      <c r="E32" s="138"/>
      <c r="F32" s="139"/>
      <c r="G32" s="151">
        <f t="shared" si="6"/>
        <v>0</v>
      </c>
      <c r="H32" s="152"/>
      <c r="I32" s="140">
        <f t="shared" si="2"/>
        <v>0</v>
      </c>
      <c r="J32" s="140">
        <f t="shared" si="1"/>
        <v>0</v>
      </c>
      <c r="K32" s="140">
        <f>IF(OR(WEEKDAY(A32)=1,WEEKDAY(A32)=7,NOT(ISERROR(MATCH(A32,[1]Праздники!A:A,0)))),SUM(E32*162.5)*1.5,SUM(E32*162.5))</f>
        <v>0</v>
      </c>
      <c r="L32" s="140">
        <f>IF(OR(WEEKDAY(A32)=1,WEEKDAY(A32)=7,NOT(ISERROR(MATCH(A32,[1]Праздники!A:A,0)))),SUM(F32*162.5)*1.5,SUM(F32*162.5))</f>
        <v>0</v>
      </c>
      <c r="M32" s="140">
        <f t="shared" si="3"/>
        <v>0</v>
      </c>
      <c r="N32" s="140">
        <f t="shared" si="4"/>
        <v>0</v>
      </c>
      <c r="O32" s="140">
        <f t="shared" si="5"/>
        <v>0</v>
      </c>
      <c r="P32" s="47" t="str">
        <f>IF(OR(WEEKDAY(A32)=1,WEEKDAY(A32)=7,NOT(ISERROR(MATCH(A32,[1]Праздники!A:A,0)))),"Выходной","Рабочий")</f>
        <v>Рабочий</v>
      </c>
    </row>
    <row r="33" spans="1:17">
      <c r="A33" s="146">
        <v>45624</v>
      </c>
      <c r="B33" s="147"/>
      <c r="C33" s="148">
        <f>IF(A33="",0,[3]TDSheet!D34)</f>
        <v>0</v>
      </c>
      <c r="D33" s="138">
        <f>IF(A33="",0,[3]TDSheet!F34)</f>
        <v>0</v>
      </c>
      <c r="E33" s="138"/>
      <c r="F33" s="139"/>
      <c r="G33" s="151">
        <f t="shared" si="6"/>
        <v>0</v>
      </c>
      <c r="H33" s="152"/>
      <c r="I33" s="140">
        <f t="shared" si="2"/>
        <v>0</v>
      </c>
      <c r="J33" s="140">
        <f t="shared" si="1"/>
        <v>0</v>
      </c>
      <c r="K33" s="140">
        <f>IF(OR(WEEKDAY(A33)=1,WEEKDAY(A33)=7,NOT(ISERROR(MATCH(A33,[1]Праздники!A:A,0)))),SUM(E33*162.5)*1.5,SUM(E33*162.5))</f>
        <v>0</v>
      </c>
      <c r="L33" s="140">
        <f>IF(OR(WEEKDAY(A33)=1,WEEKDAY(A33)=7,NOT(ISERROR(MATCH(A33,[1]Праздники!A:A,0)))),SUM(F33*162.5)*1.5,SUM(F33*162.5))</f>
        <v>0</v>
      </c>
      <c r="M33" s="140">
        <f t="shared" si="3"/>
        <v>0</v>
      </c>
      <c r="N33" s="140">
        <f t="shared" si="4"/>
        <v>0</v>
      </c>
      <c r="O33" s="140">
        <f t="shared" si="5"/>
        <v>0</v>
      </c>
      <c r="P33" s="47" t="str">
        <f>IF(OR(WEEKDAY(A33)=1,WEEKDAY(A33)=7,NOT(ISERROR(MATCH(A33,[1]Праздники!A:A,0)))),"Выходной","Рабочий")</f>
        <v>Рабочий</v>
      </c>
    </row>
    <row r="34" spans="1:17">
      <c r="A34" s="146">
        <v>45625</v>
      </c>
      <c r="B34" s="147"/>
      <c r="C34" s="148">
        <f>IF(A34="",0,[3]TDSheet!D35)</f>
        <v>0</v>
      </c>
      <c r="D34" s="138">
        <f>IF(A34="",0,[3]TDSheet!F35)</f>
        <v>0</v>
      </c>
      <c r="E34" s="138"/>
      <c r="F34" s="139"/>
      <c r="G34" s="151">
        <f t="shared" si="6"/>
        <v>0</v>
      </c>
      <c r="H34" s="152"/>
      <c r="I34" s="140">
        <f t="shared" si="2"/>
        <v>0</v>
      </c>
      <c r="J34" s="140">
        <f t="shared" si="1"/>
        <v>0</v>
      </c>
      <c r="K34" s="140">
        <f>IF(OR(WEEKDAY(A34)=1,WEEKDAY(A34)=7,NOT(ISERROR(MATCH(A34,[1]Праздники!A:A,0)))),SUM(E34*162.5)*1.5,SUM(E34*162.5))</f>
        <v>0</v>
      </c>
      <c r="L34" s="140">
        <f>IF(OR(WEEKDAY(A34)=1,WEEKDAY(A34)=7,NOT(ISERROR(MATCH(A34,[1]Праздники!A:A,0)))),SUM(F34*162.5)*1.5,SUM(F34*162.5))</f>
        <v>0</v>
      </c>
      <c r="M34" s="140">
        <f t="shared" si="3"/>
        <v>0</v>
      </c>
      <c r="N34" s="140">
        <f t="shared" si="4"/>
        <v>0</v>
      </c>
      <c r="O34" s="140">
        <f t="shared" si="5"/>
        <v>0</v>
      </c>
      <c r="P34" s="47" t="str">
        <f>IF(OR(WEEKDAY(A34)=1,WEEKDAY(A34)=7,NOT(ISERROR(MATCH(A34,[1]Праздники!A:A,0)))),"Выходной","Рабочий")</f>
        <v>Рабочий</v>
      </c>
    </row>
    <row r="35" spans="1:17">
      <c r="A35" s="146">
        <v>45626</v>
      </c>
      <c r="B35" s="147"/>
      <c r="C35" s="148">
        <f>IF(A35="",0,[3]TDSheet!D36)</f>
        <v>0</v>
      </c>
      <c r="D35" s="138">
        <f>IF(A35="",0,[3]TDSheet!F36)</f>
        <v>0</v>
      </c>
      <c r="E35" s="151"/>
      <c r="F35" s="139"/>
      <c r="G35" s="151">
        <f t="shared" si="6"/>
        <v>0</v>
      </c>
      <c r="H35" s="152"/>
      <c r="I35" s="140">
        <f t="shared" si="2"/>
        <v>0</v>
      </c>
      <c r="J35" s="140">
        <f t="shared" si="1"/>
        <v>0</v>
      </c>
      <c r="K35" s="140">
        <f>IF(OR(WEEKDAY(A35)=1,WEEKDAY(A35)=7,NOT(ISERROR(MATCH(A35,[1]Праздники!A:A,0)))),SUM(E35*162.5)*1.5,SUM(E35*162.5))</f>
        <v>0</v>
      </c>
      <c r="L35" s="140">
        <f>IF(OR(WEEKDAY(A35)=1,WEEKDAY(A35)=7,NOT(ISERROR(MATCH(A35,[1]Праздники!A:A,0)))),SUM(F35*162.5)*1.5,SUM(F35*162.5))</f>
        <v>0</v>
      </c>
      <c r="M35" s="140">
        <f t="shared" si="3"/>
        <v>0</v>
      </c>
      <c r="N35" s="140">
        <f t="shared" si="4"/>
        <v>0</v>
      </c>
      <c r="O35" s="140">
        <f t="shared" si="5"/>
        <v>0</v>
      </c>
      <c r="P35" s="47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146"/>
      <c r="B36" s="147"/>
      <c r="C36" s="148"/>
      <c r="D36" s="138"/>
      <c r="E36" s="219"/>
      <c r="F36" s="220"/>
      <c r="G36" s="151"/>
      <c r="H36" s="221"/>
      <c r="I36" s="140">
        <f t="shared" si="2"/>
        <v>0</v>
      </c>
      <c r="J36" s="140">
        <f t="shared" si="1"/>
        <v>0</v>
      </c>
      <c r="K36" s="140">
        <f>IF(OR(WEEKDAY(A36)=1,WEEKDAY(A36)=7,NOT(ISERROR(MATCH(A36,[1]Праздники!A:A,0)))),SUM(E36*162.5)*1.5,SUM(E36*162.5))</f>
        <v>0</v>
      </c>
      <c r="L36" s="140">
        <f>IF(OR(WEEKDAY(A36)=1,WEEKDAY(A36)=7,NOT(ISERROR(MATCH(A36,[1]Праздники!A:A,0)))),SUM(F36*162.5)*1.5,SUM(F36*162.5))</f>
        <v>0</v>
      </c>
      <c r="M36" s="140">
        <f t="shared" si="3"/>
        <v>0</v>
      </c>
      <c r="N36" s="140">
        <f t="shared" si="4"/>
        <v>0</v>
      </c>
      <c r="O36" s="140">
        <f t="shared" si="5"/>
        <v>0</v>
      </c>
      <c r="P36" s="47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141">
        <f>SUM(C6:C36)</f>
        <v>0</v>
      </c>
      <c r="D37" s="141">
        <f t="shared" ref="D37:O37" si="7">SUM(D6:D36)</f>
        <v>0</v>
      </c>
      <c r="E37" s="141">
        <f t="shared" si="7"/>
        <v>0</v>
      </c>
      <c r="F37" s="141">
        <f t="shared" si="7"/>
        <v>0</v>
      </c>
      <c r="G37" s="141">
        <f t="shared" si="7"/>
        <v>0</v>
      </c>
      <c r="H37" s="154">
        <f t="shared" si="7"/>
        <v>0</v>
      </c>
      <c r="I37" s="142">
        <f t="shared" si="7"/>
        <v>0</v>
      </c>
      <c r="J37" s="142">
        <f t="shared" si="7"/>
        <v>0</v>
      </c>
      <c r="K37" s="142">
        <f t="shared" si="7"/>
        <v>0</v>
      </c>
      <c r="L37" s="142">
        <f t="shared" si="7"/>
        <v>0</v>
      </c>
      <c r="M37" s="142">
        <f t="shared" si="7"/>
        <v>0</v>
      </c>
      <c r="N37" s="142">
        <f t="shared" si="7"/>
        <v>0</v>
      </c>
      <c r="O37" s="143">
        <f t="shared" si="7"/>
        <v>0</v>
      </c>
    </row>
    <row r="38" spans="1:17" ht="15.75" thickBot="1">
      <c r="G38" s="135"/>
      <c r="L38" s="68"/>
      <c r="M38" s="135"/>
      <c r="N38" s="154" t="s">
        <v>118</v>
      </c>
      <c r="O38" s="144">
        <f>O37*1.2</f>
        <v>0</v>
      </c>
      <c r="Q38" s="145"/>
    </row>
    <row r="39" spans="1:17">
      <c r="G39" s="135"/>
      <c r="M39" s="135"/>
    </row>
    <row r="40" spans="1:17">
      <c r="G40" s="135"/>
      <c r="M40" s="135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E4:E5"/>
    <mergeCell ref="F4:F5"/>
    <mergeCell ref="H4:H5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D874-2852-4629-8F87-660AED388E81}">
  <sheetPr codeName="Лист12"/>
  <dimension ref="A1:P40"/>
  <sheetViews>
    <sheetView workbookViewId="0">
      <selection activeCell="G37" sqref="G37"/>
    </sheetView>
  </sheetViews>
  <sheetFormatPr defaultRowHeight="15"/>
  <cols>
    <col min="1" max="2" width="9.140625" style="47"/>
    <col min="3" max="3" width="11.140625" style="47" customWidth="1"/>
    <col min="4" max="4" width="10.42578125" style="47" customWidth="1"/>
    <col min="5" max="5" width="11.140625" style="47" customWidth="1"/>
    <col min="6" max="6" width="11.28515625" style="47" customWidth="1"/>
    <col min="7" max="7" width="9.7109375" style="47" customWidth="1"/>
    <col min="8" max="8" width="16.42578125" style="47" customWidth="1"/>
    <col min="9" max="9" width="18" style="47" customWidth="1"/>
    <col min="10" max="11" width="16.42578125" style="47" customWidth="1"/>
    <col min="12" max="12" width="16" style="47" customWidth="1"/>
    <col min="13" max="13" width="9.140625" style="47"/>
    <col min="14" max="14" width="18.28515625" style="47" customWidth="1"/>
    <col min="15" max="16384" width="9.140625" style="47"/>
  </cols>
  <sheetData>
    <row r="1" spans="1:16">
      <c r="H1" s="135"/>
      <c r="I1" s="135"/>
      <c r="J1" s="135"/>
      <c r="K1" s="135"/>
      <c r="N1" s="123"/>
      <c r="O1" s="123"/>
      <c r="P1" s="123"/>
    </row>
    <row r="2" spans="1:16">
      <c r="H2" s="135"/>
      <c r="I2" s="135"/>
      <c r="J2" s="135"/>
      <c r="K2" s="135"/>
      <c r="N2" s="123"/>
      <c r="O2" s="123"/>
      <c r="P2" s="123"/>
    </row>
    <row r="3" spans="1:16">
      <c r="A3" s="73" t="str">
        <f>"Отчет по хранению  товара  РВ " &amp; TEXT(A6,"ММММ ") &amp; YEAR(A6)</f>
        <v>Отчет по хранению  товара  РВ Май 2025</v>
      </c>
      <c r="C3" s="135"/>
      <c r="H3" s="135"/>
      <c r="I3" s="135"/>
      <c r="J3" s="135"/>
      <c r="K3" s="135"/>
      <c r="N3" s="123"/>
      <c r="O3" s="123"/>
      <c r="P3" s="123"/>
    </row>
    <row r="4" spans="1:16">
      <c r="A4" s="50" t="s">
        <v>1</v>
      </c>
      <c r="B4" s="51"/>
      <c r="C4" s="136" t="s">
        <v>4</v>
      </c>
      <c r="D4" s="49" t="s">
        <v>96</v>
      </c>
      <c r="E4" s="49" t="s">
        <v>97</v>
      </c>
      <c r="F4" s="49" t="s">
        <v>98</v>
      </c>
      <c r="G4" s="49" t="s">
        <v>99</v>
      </c>
      <c r="H4" s="136" t="s">
        <v>13</v>
      </c>
      <c r="I4" s="136" t="s">
        <v>100</v>
      </c>
      <c r="J4" s="136" t="s">
        <v>101</v>
      </c>
      <c r="K4" s="136" t="s">
        <v>102</v>
      </c>
      <c r="L4" s="49" t="s">
        <v>18</v>
      </c>
    </row>
    <row r="5" spans="1:16">
      <c r="A5" s="54"/>
      <c r="B5" s="55"/>
      <c r="C5" s="137"/>
      <c r="D5" s="53"/>
      <c r="E5" s="53"/>
      <c r="F5" s="53"/>
      <c r="G5" s="53"/>
      <c r="H5" s="137"/>
      <c r="I5" s="137"/>
      <c r="J5" s="137"/>
      <c r="K5" s="137"/>
      <c r="L5" s="53"/>
    </row>
    <row r="6" spans="1:16">
      <c r="A6" s="146">
        <v>45778</v>
      </c>
      <c r="B6" s="147"/>
      <c r="C6" s="151" t="e">
        <f>'[1]РВ Баумана'!G6+#REF!+'[1]РВ Березовая Пойма'!G6+#REF!+'[1]РВ Новикова-Прибоя'!G6+#REF!</f>
        <v>#REF!</v>
      </c>
      <c r="D6" s="152" t="e">
        <f>IF(C6 &lt; 8000,8000-C6,0)</f>
        <v>#REF!</v>
      </c>
      <c r="E6" s="152" t="e">
        <f>'[1]РВ Баумана'!C6+#REF!+'[1]РВ Березовая Пойма'!C6+#REF!+'[1]РВ Новикова-Прибоя'!C6+#REF!</f>
        <v>#REF!</v>
      </c>
      <c r="F6" s="152" t="e">
        <f>'[1]РВ Баумана'!D6+#REF!+'[1]РВ Березовая Пойма'!D6+#REF!+'[1]РВ Новикова-Прибоя'!D6+#REF!</f>
        <v>#REF!</v>
      </c>
      <c r="G6" s="152" t="e">
        <f>IF(E6+F6 &lt; 300,300-E6-F6,0)</f>
        <v>#REF!</v>
      </c>
      <c r="H6" s="140" t="e">
        <f>C6*15</f>
        <v>#REF!</v>
      </c>
      <c r="I6" s="140" t="e">
        <f>D6*15</f>
        <v>#REF!</v>
      </c>
      <c r="J6" s="140" t="e">
        <f>IF(M6="Выходной",(E6+G6)*150*1.5,(E6+G6)*150)</f>
        <v>#REF!</v>
      </c>
      <c r="K6" s="140" t="e">
        <f>IF(M6="Выходной",F6*150,F6*150)</f>
        <v>#REF!</v>
      </c>
      <c r="L6" s="140" t="e">
        <f>SUM(H6:K6)</f>
        <v>#REF!</v>
      </c>
      <c r="M6" s="47" t="str">
        <f>IF(OR(WEEKDAY(A6)=1,WEEKDAY(A6)=7,NOT(ISERROR(MATCH(A6,[1]Праздники!A:A,0)))),"Выходной","Рабочий")</f>
        <v>Рабочий</v>
      </c>
    </row>
    <row r="7" spans="1:16">
      <c r="A7" s="146">
        <v>45779</v>
      </c>
      <c r="B7" s="147"/>
      <c r="C7" s="151" t="e">
        <f>'[1]РВ Баумана'!G7+#REF!+'[1]РВ Березовая Пойма'!G7+#REF!+'[1]РВ Новикова-Прибоя'!G7+#REF!</f>
        <v>#REF!</v>
      </c>
      <c r="D7" s="152" t="e">
        <f t="shared" ref="D7:D36" si="0">IF(C7 &lt; 8000,8000-C7,0)</f>
        <v>#REF!</v>
      </c>
      <c r="E7" s="152" t="e">
        <f>'[1]РВ Баумана'!C7+#REF!+'[1]РВ Березовая Пойма'!C7+#REF!+'[1]РВ Новикова-Прибоя'!C7+#REF!</f>
        <v>#REF!</v>
      </c>
      <c r="F7" s="152" t="e">
        <f>'[1]РВ Баумана'!D7+#REF!+'[1]РВ Березовая Пойма'!D7+#REF!+'[1]РВ Новикова-Прибоя'!D7+#REF!</f>
        <v>#REF!</v>
      </c>
      <c r="G7" s="152" t="e">
        <f t="shared" ref="G7:G36" si="1">IF(E7+F7 &lt; 300,300-E7-F7,0)</f>
        <v>#REF!</v>
      </c>
      <c r="H7" s="140" t="e">
        <f t="shared" ref="H7:I36" si="2">C7*15</f>
        <v>#REF!</v>
      </c>
      <c r="I7" s="140" t="e">
        <f t="shared" si="2"/>
        <v>#REF!</v>
      </c>
      <c r="J7" s="140" t="e">
        <f t="shared" ref="J7:J36" si="3">IF(M7="Выходной",(E7+G7+F7)*150*1.5,(E7+G7+F7)*150)</f>
        <v>#REF!</v>
      </c>
      <c r="K7" s="140" t="e">
        <f t="shared" ref="K7:K36" si="4">IF(M7="Выходной",F7*150,F7*150)</f>
        <v>#REF!</v>
      </c>
      <c r="L7" s="140" t="e">
        <f t="shared" ref="L7:L36" si="5">SUM(H7:K7)</f>
        <v>#REF!</v>
      </c>
      <c r="M7" s="47" t="str">
        <f>IF(OR(WEEKDAY(A7)=1,WEEKDAY(A7)=7,NOT(ISERROR(MATCH(A7,[1]Праздники!A:A,0)))),"Выходной","Рабочий")</f>
        <v>Рабочий</v>
      </c>
    </row>
    <row r="8" spans="1:16">
      <c r="A8" s="146">
        <v>45780</v>
      </c>
      <c r="B8" s="147"/>
      <c r="C8" s="151" t="e">
        <f>'[1]РВ Баумана'!G8+#REF!+'[1]РВ Березовая Пойма'!G8+#REF!+'[1]РВ Новикова-Прибоя'!G8+#REF!</f>
        <v>#REF!</v>
      </c>
      <c r="D8" s="152" t="e">
        <f t="shared" si="0"/>
        <v>#REF!</v>
      </c>
      <c r="E8" s="152" t="e">
        <f>'[1]РВ Баумана'!C8+#REF!+'[1]РВ Березовая Пойма'!C8+#REF!+'[1]РВ Новикова-Прибоя'!C8+#REF!</f>
        <v>#REF!</v>
      </c>
      <c r="F8" s="152" t="e">
        <f>'[1]РВ Баумана'!D8+#REF!+'[1]РВ Березовая Пойма'!D8+#REF!+'[1]РВ Новикова-Прибоя'!D8+#REF!</f>
        <v>#REF!</v>
      </c>
      <c r="G8" s="152" t="e">
        <f t="shared" si="1"/>
        <v>#REF!</v>
      </c>
      <c r="H8" s="140" t="e">
        <f t="shared" si="2"/>
        <v>#REF!</v>
      </c>
      <c r="I8" s="140" t="e">
        <f t="shared" si="2"/>
        <v>#REF!</v>
      </c>
      <c r="J8" s="140" t="e">
        <f t="shared" si="3"/>
        <v>#REF!</v>
      </c>
      <c r="K8" s="140" t="e">
        <f t="shared" si="4"/>
        <v>#REF!</v>
      </c>
      <c r="L8" s="140" t="e">
        <f t="shared" si="5"/>
        <v>#REF!</v>
      </c>
      <c r="M8" s="47" t="str">
        <f>IF(OR(WEEKDAY(A8)=1,WEEKDAY(A8)=7,NOT(ISERROR(MATCH(A8,[1]Праздники!A:A,0)))),"Выходной","Рабочий")</f>
        <v>Выходной</v>
      </c>
    </row>
    <row r="9" spans="1:16">
      <c r="A9" s="146">
        <v>45781</v>
      </c>
      <c r="B9" s="147"/>
      <c r="C9" s="151" t="e">
        <f>'[1]РВ Баумана'!G9+#REF!+'[1]РВ Березовая Пойма'!G9+#REF!+'[1]РВ Новикова-Прибоя'!G9+#REF!</f>
        <v>#REF!</v>
      </c>
      <c r="D9" s="152" t="e">
        <f t="shared" si="0"/>
        <v>#REF!</v>
      </c>
      <c r="E9" s="152" t="e">
        <f>'[1]РВ Баумана'!C9+#REF!+'[1]РВ Березовая Пойма'!C9+#REF!+'[1]РВ Новикова-Прибоя'!C9+#REF!</f>
        <v>#REF!</v>
      </c>
      <c r="F9" s="152" t="e">
        <f>'[1]РВ Баумана'!D9+#REF!+'[1]РВ Березовая Пойма'!D9+#REF!+'[1]РВ Новикова-Прибоя'!D9+#REF!</f>
        <v>#REF!</v>
      </c>
      <c r="G9" s="152" t="e">
        <f t="shared" si="1"/>
        <v>#REF!</v>
      </c>
      <c r="H9" s="140" t="e">
        <f t="shared" si="2"/>
        <v>#REF!</v>
      </c>
      <c r="I9" s="140" t="e">
        <f t="shared" si="2"/>
        <v>#REF!</v>
      </c>
      <c r="J9" s="140" t="e">
        <f t="shared" si="3"/>
        <v>#REF!</v>
      </c>
      <c r="K9" s="140" t="e">
        <f t="shared" si="4"/>
        <v>#REF!</v>
      </c>
      <c r="L9" s="140" t="e">
        <f t="shared" si="5"/>
        <v>#REF!</v>
      </c>
      <c r="M9" s="47" t="str">
        <f>IF(OR(WEEKDAY(A9)=1,WEEKDAY(A9)=7,NOT(ISERROR(MATCH(A9,[1]Праздники!A:A,0)))),"Выходной","Рабочий")</f>
        <v>Выходной</v>
      </c>
    </row>
    <row r="10" spans="1:16">
      <c r="A10" s="146">
        <v>45782</v>
      </c>
      <c r="B10" s="147"/>
      <c r="C10" s="151" t="e">
        <f>'[1]РВ Баумана'!G10+#REF!+'[1]РВ Березовая Пойма'!G10+#REF!+'[1]РВ Новикова-Прибоя'!G10+#REF!</f>
        <v>#REF!</v>
      </c>
      <c r="D10" s="152" t="e">
        <f t="shared" si="0"/>
        <v>#REF!</v>
      </c>
      <c r="E10" s="152" t="e">
        <f>'[1]РВ Баумана'!C10+#REF!+'[1]РВ Березовая Пойма'!C10+#REF!+'[1]РВ Новикова-Прибоя'!C10+#REF!</f>
        <v>#REF!</v>
      </c>
      <c r="F10" s="152" t="e">
        <f>'[1]РВ Баумана'!D10+#REF!+'[1]РВ Березовая Пойма'!D10+#REF!+'[1]РВ Новикова-Прибоя'!D10+#REF!</f>
        <v>#REF!</v>
      </c>
      <c r="G10" s="152" t="e">
        <f t="shared" si="1"/>
        <v>#REF!</v>
      </c>
      <c r="H10" s="140" t="e">
        <f t="shared" si="2"/>
        <v>#REF!</v>
      </c>
      <c r="I10" s="140" t="e">
        <f t="shared" si="2"/>
        <v>#REF!</v>
      </c>
      <c r="J10" s="140" t="e">
        <f t="shared" si="3"/>
        <v>#REF!</v>
      </c>
      <c r="K10" s="140" t="e">
        <f t="shared" si="4"/>
        <v>#REF!</v>
      </c>
      <c r="L10" s="140" t="e">
        <f t="shared" si="5"/>
        <v>#REF!</v>
      </c>
      <c r="M10" s="47" t="str">
        <f>IF(OR(WEEKDAY(A10)=1,WEEKDAY(A10)=7,NOT(ISERROR(MATCH(A10,[1]Праздники!A:A,0)))),"Выходной","Рабочий")</f>
        <v>Рабочий</v>
      </c>
    </row>
    <row r="11" spans="1:16">
      <c r="A11" s="146">
        <v>45783</v>
      </c>
      <c r="B11" s="147"/>
      <c r="C11" s="151" t="e">
        <f>'[1]РВ Баумана'!G11+#REF!+'[1]РВ Березовая Пойма'!G11+#REF!+'[1]РВ Новикова-Прибоя'!G11+#REF!</f>
        <v>#REF!</v>
      </c>
      <c r="D11" s="152" t="e">
        <f t="shared" si="0"/>
        <v>#REF!</v>
      </c>
      <c r="E11" s="152" t="e">
        <f>'[1]РВ Баумана'!C11+#REF!+'[1]РВ Березовая Пойма'!C11+#REF!+'[1]РВ Новикова-Прибоя'!C11+#REF!</f>
        <v>#REF!</v>
      </c>
      <c r="F11" s="152" t="e">
        <f>'[1]РВ Баумана'!D11+#REF!+'[1]РВ Березовая Пойма'!D11+#REF!+'[1]РВ Новикова-Прибоя'!D11+#REF!</f>
        <v>#REF!</v>
      </c>
      <c r="G11" s="152" t="e">
        <f t="shared" si="1"/>
        <v>#REF!</v>
      </c>
      <c r="H11" s="140" t="e">
        <f t="shared" si="2"/>
        <v>#REF!</v>
      </c>
      <c r="I11" s="140" t="e">
        <f t="shared" si="2"/>
        <v>#REF!</v>
      </c>
      <c r="J11" s="140" t="e">
        <f t="shared" si="3"/>
        <v>#REF!</v>
      </c>
      <c r="K11" s="140" t="e">
        <f t="shared" si="4"/>
        <v>#REF!</v>
      </c>
      <c r="L11" s="140" t="e">
        <f t="shared" si="5"/>
        <v>#REF!</v>
      </c>
      <c r="M11" s="47" t="str">
        <f>IF(OR(WEEKDAY(A11)=1,WEEKDAY(A11)=7,NOT(ISERROR(MATCH(A11,[1]Праздники!A:A,0)))),"Выходной","Рабочий")</f>
        <v>Рабочий</v>
      </c>
    </row>
    <row r="12" spans="1:16">
      <c r="A12" s="146">
        <v>45784</v>
      </c>
      <c r="B12" s="147"/>
      <c r="C12" s="151" t="e">
        <f>'[1]РВ Баумана'!G12+#REF!+'[1]РВ Березовая Пойма'!G12+#REF!+'[1]РВ Новикова-Прибоя'!G12+#REF!</f>
        <v>#REF!</v>
      </c>
      <c r="D12" s="152" t="e">
        <f t="shared" si="0"/>
        <v>#REF!</v>
      </c>
      <c r="E12" s="152" t="e">
        <f>'[1]РВ Баумана'!C12+#REF!+'[1]РВ Березовая Пойма'!C12+#REF!+'[1]РВ Новикова-Прибоя'!C12+#REF!</f>
        <v>#REF!</v>
      </c>
      <c r="F12" s="152" t="e">
        <f>'[1]РВ Баумана'!D12+#REF!+'[1]РВ Березовая Пойма'!D12+#REF!+'[1]РВ Новикова-Прибоя'!D12+#REF!</f>
        <v>#REF!</v>
      </c>
      <c r="G12" s="152" t="e">
        <f t="shared" si="1"/>
        <v>#REF!</v>
      </c>
      <c r="H12" s="140" t="e">
        <f t="shared" si="2"/>
        <v>#REF!</v>
      </c>
      <c r="I12" s="140" t="e">
        <f t="shared" si="2"/>
        <v>#REF!</v>
      </c>
      <c r="J12" s="140" t="e">
        <f t="shared" si="3"/>
        <v>#REF!</v>
      </c>
      <c r="K12" s="140" t="e">
        <f t="shared" si="4"/>
        <v>#REF!</v>
      </c>
      <c r="L12" s="140" t="e">
        <f t="shared" si="5"/>
        <v>#REF!</v>
      </c>
      <c r="M12" s="47" t="str">
        <f>IF(OR(WEEKDAY(A12)=1,WEEKDAY(A12)=7,NOT(ISERROR(MATCH(A12,[1]Праздники!A:A,0)))),"Выходной","Рабочий")</f>
        <v>Рабочий</v>
      </c>
    </row>
    <row r="13" spans="1:16">
      <c r="A13" s="146">
        <v>45785</v>
      </c>
      <c r="B13" s="147"/>
      <c r="C13" s="151" t="e">
        <f>'[1]РВ Баумана'!G13+#REF!+'[1]РВ Березовая Пойма'!G13+#REF!+'[1]РВ Новикова-Прибоя'!G13+#REF!</f>
        <v>#REF!</v>
      </c>
      <c r="D13" s="152" t="e">
        <f t="shared" si="0"/>
        <v>#REF!</v>
      </c>
      <c r="E13" s="152" t="e">
        <f>'[1]РВ Баумана'!C13+#REF!+'[1]РВ Березовая Пойма'!C13+#REF!+'[1]РВ Новикова-Прибоя'!C13+#REF!</f>
        <v>#REF!</v>
      </c>
      <c r="F13" s="152" t="e">
        <f>'[1]РВ Баумана'!D13+#REF!+'[1]РВ Березовая Пойма'!D13+#REF!+'[1]РВ Новикова-Прибоя'!D13+#REF!</f>
        <v>#REF!</v>
      </c>
      <c r="G13" s="152" t="e">
        <f t="shared" si="1"/>
        <v>#REF!</v>
      </c>
      <c r="H13" s="140" t="e">
        <f t="shared" si="2"/>
        <v>#REF!</v>
      </c>
      <c r="I13" s="140" t="e">
        <f t="shared" si="2"/>
        <v>#REF!</v>
      </c>
      <c r="J13" s="140" t="e">
        <f t="shared" si="3"/>
        <v>#REF!</v>
      </c>
      <c r="K13" s="140" t="e">
        <f t="shared" si="4"/>
        <v>#REF!</v>
      </c>
      <c r="L13" s="140" t="e">
        <f t="shared" si="5"/>
        <v>#REF!</v>
      </c>
      <c r="M13" s="47" t="str">
        <f>IF(OR(WEEKDAY(A13)=1,WEEKDAY(A13)=7,NOT(ISERROR(MATCH(A13,[1]Праздники!A:A,0)))),"Выходной","Рабочий")</f>
        <v>Рабочий</v>
      </c>
    </row>
    <row r="14" spans="1:16">
      <c r="A14" s="146">
        <v>45786</v>
      </c>
      <c r="B14" s="147"/>
      <c r="C14" s="151" t="e">
        <f>'[1]РВ Баумана'!G14+#REF!+'[1]РВ Березовая Пойма'!G14+#REF!+'[1]РВ Новикова-Прибоя'!G14+#REF!</f>
        <v>#REF!</v>
      </c>
      <c r="D14" s="152" t="e">
        <f t="shared" si="0"/>
        <v>#REF!</v>
      </c>
      <c r="E14" s="152" t="e">
        <f>'[1]РВ Баумана'!C14+#REF!+'[1]РВ Березовая Пойма'!C14+#REF!+'[1]РВ Новикова-Прибоя'!C14+#REF!</f>
        <v>#REF!</v>
      </c>
      <c r="F14" s="152" t="e">
        <f>'[1]РВ Баумана'!D14+#REF!+'[1]РВ Березовая Пойма'!D14+#REF!+'[1]РВ Новикова-Прибоя'!D14+#REF!</f>
        <v>#REF!</v>
      </c>
      <c r="G14" s="152" t="e">
        <f t="shared" si="1"/>
        <v>#REF!</v>
      </c>
      <c r="H14" s="140" t="e">
        <f t="shared" si="2"/>
        <v>#REF!</v>
      </c>
      <c r="I14" s="140" t="e">
        <f t="shared" si="2"/>
        <v>#REF!</v>
      </c>
      <c r="J14" s="140" t="e">
        <f t="shared" si="3"/>
        <v>#REF!</v>
      </c>
      <c r="K14" s="140" t="e">
        <f t="shared" si="4"/>
        <v>#REF!</v>
      </c>
      <c r="L14" s="140" t="e">
        <f t="shared" si="5"/>
        <v>#REF!</v>
      </c>
      <c r="M14" s="47" t="str">
        <f>IF(OR(WEEKDAY(A14)=1,WEEKDAY(A14)=7,NOT(ISERROR(MATCH(A14,[1]Праздники!A:A,0)))),"Выходной","Рабочий")</f>
        <v>Рабочий</v>
      </c>
    </row>
    <row r="15" spans="1:16">
      <c r="A15" s="146">
        <v>45787</v>
      </c>
      <c r="B15" s="147"/>
      <c r="C15" s="151" t="e">
        <f>'[1]РВ Баумана'!G15+#REF!+'[1]РВ Березовая Пойма'!G15+#REF!+'[1]РВ Новикова-Прибоя'!G15+#REF!</f>
        <v>#REF!</v>
      </c>
      <c r="D15" s="152" t="e">
        <f t="shared" si="0"/>
        <v>#REF!</v>
      </c>
      <c r="E15" s="152" t="e">
        <f>'[1]РВ Баумана'!C15+#REF!+'[1]РВ Березовая Пойма'!C15+#REF!+'[1]РВ Новикова-Прибоя'!C15+#REF!</f>
        <v>#REF!</v>
      </c>
      <c r="F15" s="152" t="e">
        <f>'[1]РВ Баумана'!D15+#REF!+'[1]РВ Березовая Пойма'!D15+#REF!+'[1]РВ Новикова-Прибоя'!D15+#REF!</f>
        <v>#REF!</v>
      </c>
      <c r="G15" s="152" t="e">
        <f t="shared" si="1"/>
        <v>#REF!</v>
      </c>
      <c r="H15" s="140" t="e">
        <f t="shared" si="2"/>
        <v>#REF!</v>
      </c>
      <c r="I15" s="140" t="e">
        <f t="shared" si="2"/>
        <v>#REF!</v>
      </c>
      <c r="J15" s="140" t="e">
        <f t="shared" si="3"/>
        <v>#REF!</v>
      </c>
      <c r="K15" s="140" t="e">
        <f t="shared" si="4"/>
        <v>#REF!</v>
      </c>
      <c r="L15" s="140" t="e">
        <f t="shared" si="5"/>
        <v>#REF!</v>
      </c>
      <c r="M15" s="47" t="str">
        <f>IF(OR(WEEKDAY(A15)=1,WEEKDAY(A15)=7,NOT(ISERROR(MATCH(A15,[1]Праздники!A:A,0)))),"Выходной","Рабочий")</f>
        <v>Выходной</v>
      </c>
    </row>
    <row r="16" spans="1:16">
      <c r="A16" s="146">
        <v>45788</v>
      </c>
      <c r="B16" s="147"/>
      <c r="C16" s="151" t="e">
        <f>'[1]РВ Баумана'!G16+#REF!+'[1]РВ Березовая Пойма'!G16+#REF!+'[1]РВ Новикова-Прибоя'!G16+#REF!</f>
        <v>#REF!</v>
      </c>
      <c r="D16" s="152" t="e">
        <f t="shared" si="0"/>
        <v>#REF!</v>
      </c>
      <c r="E16" s="152" t="e">
        <f>'[1]РВ Баумана'!C16+#REF!+'[1]РВ Березовая Пойма'!C16+#REF!+'[1]РВ Новикова-Прибоя'!C16+#REF!</f>
        <v>#REF!</v>
      </c>
      <c r="F16" s="152" t="e">
        <f>'[1]РВ Баумана'!D16+#REF!+'[1]РВ Березовая Пойма'!D16+#REF!+'[1]РВ Новикова-Прибоя'!D16+#REF!</f>
        <v>#REF!</v>
      </c>
      <c r="G16" s="152" t="e">
        <f t="shared" si="1"/>
        <v>#REF!</v>
      </c>
      <c r="H16" s="140" t="e">
        <f t="shared" si="2"/>
        <v>#REF!</v>
      </c>
      <c r="I16" s="140" t="e">
        <f t="shared" si="2"/>
        <v>#REF!</v>
      </c>
      <c r="J16" s="140" t="e">
        <f t="shared" si="3"/>
        <v>#REF!</v>
      </c>
      <c r="K16" s="140" t="e">
        <f t="shared" si="4"/>
        <v>#REF!</v>
      </c>
      <c r="L16" s="140" t="e">
        <f t="shared" si="5"/>
        <v>#REF!</v>
      </c>
      <c r="M16" s="47" t="str">
        <f>IF(OR(WEEKDAY(A16)=1,WEEKDAY(A16)=7,NOT(ISERROR(MATCH(A16,[1]Праздники!A:A,0)))),"Выходной","Рабочий")</f>
        <v>Выходной</v>
      </c>
    </row>
    <row r="17" spans="1:13">
      <c r="A17" s="146">
        <v>45789</v>
      </c>
      <c r="B17" s="147"/>
      <c r="C17" s="151" t="e">
        <f>'[1]РВ Баумана'!G17+#REF!+'[1]РВ Березовая Пойма'!G17+#REF!+'[1]РВ Новикова-Прибоя'!G17+#REF!</f>
        <v>#REF!</v>
      </c>
      <c r="D17" s="152" t="e">
        <f t="shared" si="0"/>
        <v>#REF!</v>
      </c>
      <c r="E17" s="152" t="e">
        <f>'[1]РВ Баумана'!C17+#REF!+'[1]РВ Березовая Пойма'!C17+#REF!+'[1]РВ Новикова-Прибоя'!C17+#REF!</f>
        <v>#REF!</v>
      </c>
      <c r="F17" s="152" t="e">
        <f>'[1]РВ Баумана'!D17+#REF!+'[1]РВ Березовая Пойма'!D17+#REF!+'[1]РВ Новикова-Прибоя'!D17+#REF!</f>
        <v>#REF!</v>
      </c>
      <c r="G17" s="152" t="e">
        <f t="shared" si="1"/>
        <v>#REF!</v>
      </c>
      <c r="H17" s="140" t="e">
        <f t="shared" si="2"/>
        <v>#REF!</v>
      </c>
      <c r="I17" s="140" t="e">
        <f t="shared" si="2"/>
        <v>#REF!</v>
      </c>
      <c r="J17" s="140" t="e">
        <f t="shared" si="3"/>
        <v>#REF!</v>
      </c>
      <c r="K17" s="140" t="e">
        <f t="shared" si="4"/>
        <v>#REF!</v>
      </c>
      <c r="L17" s="140" t="e">
        <f t="shared" si="5"/>
        <v>#REF!</v>
      </c>
      <c r="M17" s="47" t="str">
        <f>IF(OR(WEEKDAY(A17)=1,WEEKDAY(A17)=7,NOT(ISERROR(MATCH(A17,[1]Праздники!A:A,0)))),"Выходной","Рабочий")</f>
        <v>Рабочий</v>
      </c>
    </row>
    <row r="18" spans="1:13">
      <c r="A18" s="146">
        <v>45790</v>
      </c>
      <c r="B18" s="147"/>
      <c r="C18" s="151" t="e">
        <f>'[1]РВ Баумана'!G18+#REF!+'[1]РВ Березовая Пойма'!G18+#REF!+'[1]РВ Новикова-Прибоя'!G18+#REF!</f>
        <v>#REF!</v>
      </c>
      <c r="D18" s="152" t="e">
        <f t="shared" si="0"/>
        <v>#REF!</v>
      </c>
      <c r="E18" s="152" t="e">
        <f>'[1]РВ Баумана'!C18+#REF!+'[1]РВ Березовая Пойма'!C18+#REF!+'[1]РВ Новикова-Прибоя'!C18+#REF!</f>
        <v>#REF!</v>
      </c>
      <c r="F18" s="152" t="e">
        <f>'[1]РВ Баумана'!D18+#REF!+'[1]РВ Березовая Пойма'!D18+#REF!+'[1]РВ Новикова-Прибоя'!D18+#REF!</f>
        <v>#REF!</v>
      </c>
      <c r="G18" s="152" t="e">
        <f t="shared" si="1"/>
        <v>#REF!</v>
      </c>
      <c r="H18" s="140" t="e">
        <f t="shared" si="2"/>
        <v>#REF!</v>
      </c>
      <c r="I18" s="140" t="e">
        <f t="shared" si="2"/>
        <v>#REF!</v>
      </c>
      <c r="J18" s="140" t="e">
        <f t="shared" si="3"/>
        <v>#REF!</v>
      </c>
      <c r="K18" s="140" t="e">
        <f t="shared" si="4"/>
        <v>#REF!</v>
      </c>
      <c r="L18" s="140" t="e">
        <f t="shared" si="5"/>
        <v>#REF!</v>
      </c>
      <c r="M18" s="47" t="str">
        <f>IF(OR(WEEKDAY(A18)=1,WEEKDAY(A18)=7,NOT(ISERROR(MATCH(A18,[1]Праздники!A:A,0)))),"Выходной","Рабочий")</f>
        <v>Рабочий</v>
      </c>
    </row>
    <row r="19" spans="1:13">
      <c r="A19" s="146">
        <v>45791</v>
      </c>
      <c r="B19" s="147"/>
      <c r="C19" s="151" t="e">
        <f>'[1]РВ Баумана'!G19+#REF!+'[1]РВ Березовая Пойма'!G19+#REF!+'[1]РВ Новикова-Прибоя'!G19+#REF!</f>
        <v>#REF!</v>
      </c>
      <c r="D19" s="152" t="e">
        <f t="shared" si="0"/>
        <v>#REF!</v>
      </c>
      <c r="E19" s="152" t="e">
        <f>'[1]РВ Баумана'!C19+#REF!+'[1]РВ Березовая Пойма'!C19+#REF!+'[1]РВ Новикова-Прибоя'!C19+#REF!</f>
        <v>#REF!</v>
      </c>
      <c r="F19" s="152" t="e">
        <f>'[1]РВ Баумана'!D19+#REF!+'[1]РВ Березовая Пойма'!D19+#REF!+'[1]РВ Новикова-Прибоя'!D19+#REF!</f>
        <v>#REF!</v>
      </c>
      <c r="G19" s="152" t="e">
        <f t="shared" si="1"/>
        <v>#REF!</v>
      </c>
      <c r="H19" s="140" t="e">
        <f t="shared" si="2"/>
        <v>#REF!</v>
      </c>
      <c r="I19" s="140" t="e">
        <f t="shared" si="2"/>
        <v>#REF!</v>
      </c>
      <c r="J19" s="140" t="e">
        <f t="shared" si="3"/>
        <v>#REF!</v>
      </c>
      <c r="K19" s="140" t="e">
        <f t="shared" si="4"/>
        <v>#REF!</v>
      </c>
      <c r="L19" s="140" t="e">
        <f t="shared" si="5"/>
        <v>#REF!</v>
      </c>
      <c r="M19" s="47" t="str">
        <f>IF(OR(WEEKDAY(A19)=1,WEEKDAY(A19)=7,NOT(ISERROR(MATCH(A19,[1]Праздники!A:A,0)))),"Выходной","Рабочий")</f>
        <v>Рабочий</v>
      </c>
    </row>
    <row r="20" spans="1:13">
      <c r="A20" s="146">
        <v>45792</v>
      </c>
      <c r="B20" s="147"/>
      <c r="C20" s="151" t="e">
        <f>'[1]РВ Баумана'!G20+#REF!+'[1]РВ Березовая Пойма'!G20+#REF!+'[1]РВ Новикова-Прибоя'!G20+#REF!</f>
        <v>#REF!</v>
      </c>
      <c r="D20" s="152" t="e">
        <f t="shared" si="0"/>
        <v>#REF!</v>
      </c>
      <c r="E20" s="152" t="e">
        <f>'[1]РВ Баумана'!C20+#REF!+'[1]РВ Березовая Пойма'!C20+#REF!+'[1]РВ Новикова-Прибоя'!C20+#REF!</f>
        <v>#REF!</v>
      </c>
      <c r="F20" s="152" t="e">
        <f>'[1]РВ Баумана'!D20+#REF!+'[1]РВ Березовая Пойма'!D20+#REF!+'[1]РВ Новикова-Прибоя'!D20+#REF!</f>
        <v>#REF!</v>
      </c>
      <c r="G20" s="152" t="e">
        <f t="shared" si="1"/>
        <v>#REF!</v>
      </c>
      <c r="H20" s="140" t="e">
        <f t="shared" si="2"/>
        <v>#REF!</v>
      </c>
      <c r="I20" s="140" t="e">
        <f t="shared" si="2"/>
        <v>#REF!</v>
      </c>
      <c r="J20" s="140" t="e">
        <f t="shared" si="3"/>
        <v>#REF!</v>
      </c>
      <c r="K20" s="140" t="e">
        <f t="shared" si="4"/>
        <v>#REF!</v>
      </c>
      <c r="L20" s="140" t="e">
        <f t="shared" si="5"/>
        <v>#REF!</v>
      </c>
      <c r="M20" s="47" t="str">
        <f>IF(OR(WEEKDAY(A20)=1,WEEKDAY(A20)=7,NOT(ISERROR(MATCH(A20,[1]Праздники!A:A,0)))),"Выходной","Рабочий")</f>
        <v>Рабочий</v>
      </c>
    </row>
    <row r="21" spans="1:13">
      <c r="A21" s="146">
        <v>45793</v>
      </c>
      <c r="B21" s="147"/>
      <c r="C21" s="151" t="e">
        <f>'[1]РВ Баумана'!G21+#REF!+'[1]РВ Березовая Пойма'!G21+#REF!+'[1]РВ Новикова-Прибоя'!G21+#REF!</f>
        <v>#REF!</v>
      </c>
      <c r="D21" s="152" t="e">
        <f t="shared" si="0"/>
        <v>#REF!</v>
      </c>
      <c r="E21" s="152" t="e">
        <f>'[1]РВ Баумана'!C21+#REF!+'[1]РВ Березовая Пойма'!C21+#REF!+'[1]РВ Новикова-Прибоя'!C21+#REF!</f>
        <v>#REF!</v>
      </c>
      <c r="F21" s="152" t="e">
        <f>'[1]РВ Баумана'!D21+#REF!+'[1]РВ Березовая Пойма'!D21+#REF!+'[1]РВ Новикова-Прибоя'!D21+#REF!</f>
        <v>#REF!</v>
      </c>
      <c r="G21" s="152" t="e">
        <f t="shared" si="1"/>
        <v>#REF!</v>
      </c>
      <c r="H21" s="140" t="e">
        <f t="shared" si="2"/>
        <v>#REF!</v>
      </c>
      <c r="I21" s="140" t="e">
        <f t="shared" si="2"/>
        <v>#REF!</v>
      </c>
      <c r="J21" s="140" t="e">
        <f t="shared" si="3"/>
        <v>#REF!</v>
      </c>
      <c r="K21" s="140" t="e">
        <f t="shared" si="4"/>
        <v>#REF!</v>
      </c>
      <c r="L21" s="140" t="e">
        <f t="shared" si="5"/>
        <v>#REF!</v>
      </c>
      <c r="M21" s="47" t="str">
        <f>IF(OR(WEEKDAY(A21)=1,WEEKDAY(A21)=7,NOT(ISERROR(MATCH(A21,[1]Праздники!A:A,0)))),"Выходной","Рабочий")</f>
        <v>Рабочий</v>
      </c>
    </row>
    <row r="22" spans="1:13">
      <c r="A22" s="146">
        <v>45794</v>
      </c>
      <c r="B22" s="147"/>
      <c r="C22" s="151" t="e">
        <f>'[1]РВ Баумана'!G22+#REF!+'[1]РВ Березовая Пойма'!G22+#REF!+'[1]РВ Новикова-Прибоя'!G22+#REF!</f>
        <v>#REF!</v>
      </c>
      <c r="D22" s="152" t="e">
        <f t="shared" si="0"/>
        <v>#REF!</v>
      </c>
      <c r="E22" s="152" t="e">
        <f>'[1]РВ Баумана'!C22+#REF!+'[1]РВ Березовая Пойма'!C22+#REF!+'[1]РВ Новикова-Прибоя'!C22+#REF!</f>
        <v>#REF!</v>
      </c>
      <c r="F22" s="152" t="e">
        <f>'[1]РВ Баумана'!D22+#REF!+'[1]РВ Березовая Пойма'!D22+#REF!+'[1]РВ Новикова-Прибоя'!D22+#REF!</f>
        <v>#REF!</v>
      </c>
      <c r="G22" s="152" t="e">
        <f t="shared" si="1"/>
        <v>#REF!</v>
      </c>
      <c r="H22" s="140" t="e">
        <f t="shared" si="2"/>
        <v>#REF!</v>
      </c>
      <c r="I22" s="140" t="e">
        <f t="shared" si="2"/>
        <v>#REF!</v>
      </c>
      <c r="J22" s="140" t="e">
        <f t="shared" si="3"/>
        <v>#REF!</v>
      </c>
      <c r="K22" s="140" t="e">
        <f t="shared" si="4"/>
        <v>#REF!</v>
      </c>
      <c r="L22" s="140" t="e">
        <f t="shared" si="5"/>
        <v>#REF!</v>
      </c>
      <c r="M22" s="47" t="str">
        <f>IF(OR(WEEKDAY(A22)=1,WEEKDAY(A22)=7,NOT(ISERROR(MATCH(A22,[1]Праздники!A:A,0)))),"Выходной","Рабочий")</f>
        <v>Выходной</v>
      </c>
    </row>
    <row r="23" spans="1:13">
      <c r="A23" s="146">
        <v>45795</v>
      </c>
      <c r="B23" s="147"/>
      <c r="C23" s="151" t="e">
        <f>'[1]РВ Баумана'!G23+#REF!+'[1]РВ Березовая Пойма'!G23+#REF!+'[1]РВ Новикова-Прибоя'!G23+#REF!</f>
        <v>#REF!</v>
      </c>
      <c r="D23" s="152" t="e">
        <f t="shared" si="0"/>
        <v>#REF!</v>
      </c>
      <c r="E23" s="152" t="e">
        <f>'[1]РВ Баумана'!C23+#REF!+'[1]РВ Березовая Пойма'!C23+#REF!+'[1]РВ Новикова-Прибоя'!C23+#REF!</f>
        <v>#REF!</v>
      </c>
      <c r="F23" s="152" t="e">
        <f>'[1]РВ Баумана'!D23+#REF!+'[1]РВ Березовая Пойма'!D23+#REF!+'[1]РВ Новикова-Прибоя'!D23+#REF!</f>
        <v>#REF!</v>
      </c>
      <c r="G23" s="152" t="e">
        <f t="shared" si="1"/>
        <v>#REF!</v>
      </c>
      <c r="H23" s="140" t="e">
        <f t="shared" si="2"/>
        <v>#REF!</v>
      </c>
      <c r="I23" s="140" t="e">
        <f t="shared" si="2"/>
        <v>#REF!</v>
      </c>
      <c r="J23" s="140" t="e">
        <f t="shared" si="3"/>
        <v>#REF!</v>
      </c>
      <c r="K23" s="140" t="e">
        <f t="shared" si="4"/>
        <v>#REF!</v>
      </c>
      <c r="L23" s="140" t="e">
        <f t="shared" si="5"/>
        <v>#REF!</v>
      </c>
      <c r="M23" s="47" t="str">
        <f>IF(OR(WEEKDAY(A23)=1,WEEKDAY(A23)=7,NOT(ISERROR(MATCH(A23,[1]Праздники!A:A,0)))),"Выходной","Рабочий")</f>
        <v>Выходной</v>
      </c>
    </row>
    <row r="24" spans="1:13">
      <c r="A24" s="146">
        <v>45796</v>
      </c>
      <c r="B24" s="147"/>
      <c r="C24" s="151" t="e">
        <f>'[1]РВ Баумана'!G24+#REF!+'[1]РВ Березовая Пойма'!G24+#REF!+'[1]РВ Новикова-Прибоя'!G24+#REF!</f>
        <v>#REF!</v>
      </c>
      <c r="D24" s="152" t="e">
        <f t="shared" si="0"/>
        <v>#REF!</v>
      </c>
      <c r="E24" s="152" t="e">
        <f>'[1]РВ Баумана'!C24+#REF!+'[1]РВ Березовая Пойма'!C24+#REF!+'[1]РВ Новикова-Прибоя'!C24+#REF!</f>
        <v>#REF!</v>
      </c>
      <c r="F24" s="152" t="e">
        <f>'[1]РВ Баумана'!D24+#REF!+'[1]РВ Березовая Пойма'!D24+#REF!+'[1]РВ Новикова-Прибоя'!D24+#REF!</f>
        <v>#REF!</v>
      </c>
      <c r="G24" s="152" t="e">
        <f t="shared" si="1"/>
        <v>#REF!</v>
      </c>
      <c r="H24" s="140" t="e">
        <f t="shared" si="2"/>
        <v>#REF!</v>
      </c>
      <c r="I24" s="140" t="e">
        <f t="shared" si="2"/>
        <v>#REF!</v>
      </c>
      <c r="J24" s="140" t="e">
        <f t="shared" si="3"/>
        <v>#REF!</v>
      </c>
      <c r="K24" s="140" t="e">
        <f t="shared" si="4"/>
        <v>#REF!</v>
      </c>
      <c r="L24" s="140" t="e">
        <f t="shared" si="5"/>
        <v>#REF!</v>
      </c>
      <c r="M24" s="47" t="str">
        <f>IF(OR(WEEKDAY(A24)=1,WEEKDAY(A24)=7,NOT(ISERROR(MATCH(A24,[1]Праздники!A:A,0)))),"Выходной","Рабочий")</f>
        <v>Рабочий</v>
      </c>
    </row>
    <row r="25" spans="1:13">
      <c r="A25" s="146">
        <v>45797</v>
      </c>
      <c r="B25" s="147"/>
      <c r="C25" s="151" t="e">
        <f>'[1]РВ Баумана'!G25+#REF!+'[1]РВ Березовая Пойма'!G25+#REF!+'[1]РВ Новикова-Прибоя'!G25+#REF!</f>
        <v>#REF!</v>
      </c>
      <c r="D25" s="152" t="e">
        <f t="shared" si="0"/>
        <v>#REF!</v>
      </c>
      <c r="E25" s="152" t="e">
        <f>'[1]РВ Баумана'!C25+#REF!+'[1]РВ Березовая Пойма'!C25+#REF!+'[1]РВ Новикова-Прибоя'!C25+#REF!</f>
        <v>#REF!</v>
      </c>
      <c r="F25" s="152" t="e">
        <f>'[1]РВ Баумана'!D25+#REF!+'[1]РВ Березовая Пойма'!D25+#REF!+'[1]РВ Новикова-Прибоя'!D25+#REF!</f>
        <v>#REF!</v>
      </c>
      <c r="G25" s="152" t="e">
        <f t="shared" si="1"/>
        <v>#REF!</v>
      </c>
      <c r="H25" s="140" t="e">
        <f t="shared" si="2"/>
        <v>#REF!</v>
      </c>
      <c r="I25" s="140" t="e">
        <f t="shared" si="2"/>
        <v>#REF!</v>
      </c>
      <c r="J25" s="140" t="e">
        <f t="shared" si="3"/>
        <v>#REF!</v>
      </c>
      <c r="K25" s="140" t="e">
        <f t="shared" si="4"/>
        <v>#REF!</v>
      </c>
      <c r="L25" s="140" t="e">
        <f t="shared" si="5"/>
        <v>#REF!</v>
      </c>
      <c r="M25" s="47" t="str">
        <f>IF(OR(WEEKDAY(A25)=1,WEEKDAY(A25)=7,NOT(ISERROR(MATCH(A25,[1]Праздники!A:A,0)))),"Выходной","Рабочий")</f>
        <v>Рабочий</v>
      </c>
    </row>
    <row r="26" spans="1:13">
      <c r="A26" s="146">
        <v>45798</v>
      </c>
      <c r="B26" s="147"/>
      <c r="C26" s="151" t="e">
        <f>'[1]РВ Баумана'!G26+#REF!+'[1]РВ Березовая Пойма'!G26+#REF!+'[1]РВ Новикова-Прибоя'!G26+#REF!</f>
        <v>#REF!</v>
      </c>
      <c r="D26" s="152" t="e">
        <f t="shared" si="0"/>
        <v>#REF!</v>
      </c>
      <c r="E26" s="152" t="e">
        <f>'[1]РВ Баумана'!C26+#REF!+'[1]РВ Березовая Пойма'!C26+#REF!+'[1]РВ Новикова-Прибоя'!C26+#REF!</f>
        <v>#REF!</v>
      </c>
      <c r="F26" s="152" t="e">
        <f>'[1]РВ Баумана'!D26+#REF!+'[1]РВ Березовая Пойма'!D26+#REF!+'[1]РВ Новикова-Прибоя'!D26+#REF!</f>
        <v>#REF!</v>
      </c>
      <c r="G26" s="152" t="e">
        <f t="shared" si="1"/>
        <v>#REF!</v>
      </c>
      <c r="H26" s="140" t="e">
        <f t="shared" si="2"/>
        <v>#REF!</v>
      </c>
      <c r="I26" s="140" t="e">
        <f t="shared" si="2"/>
        <v>#REF!</v>
      </c>
      <c r="J26" s="140" t="e">
        <f t="shared" si="3"/>
        <v>#REF!</v>
      </c>
      <c r="K26" s="140" t="e">
        <f t="shared" si="4"/>
        <v>#REF!</v>
      </c>
      <c r="L26" s="140" t="e">
        <f t="shared" si="5"/>
        <v>#REF!</v>
      </c>
      <c r="M26" s="47" t="str">
        <f>IF(OR(WEEKDAY(A26)=1,WEEKDAY(A26)=7,NOT(ISERROR(MATCH(A26,[1]Праздники!A:A,0)))),"Выходной","Рабочий")</f>
        <v>Рабочий</v>
      </c>
    </row>
    <row r="27" spans="1:13" ht="15" customHeight="1">
      <c r="A27" s="146">
        <v>45799</v>
      </c>
      <c r="B27" s="147"/>
      <c r="C27" s="151" t="e">
        <f>'[1]РВ Баумана'!G27+#REF!+'[1]РВ Березовая Пойма'!G27+#REF!+'[1]РВ Новикова-Прибоя'!G27+#REF!</f>
        <v>#REF!</v>
      </c>
      <c r="D27" s="152" t="e">
        <f t="shared" si="0"/>
        <v>#REF!</v>
      </c>
      <c r="E27" s="152" t="e">
        <f>'[1]РВ Баумана'!C27+#REF!+'[1]РВ Березовая Пойма'!C27+#REF!+'[1]РВ Новикова-Прибоя'!C27+#REF!</f>
        <v>#REF!</v>
      </c>
      <c r="F27" s="152" t="e">
        <f>'[1]РВ Баумана'!D27+#REF!+'[1]РВ Березовая Пойма'!D27+#REF!+'[1]РВ Новикова-Прибоя'!D27+#REF!</f>
        <v>#REF!</v>
      </c>
      <c r="G27" s="152" t="e">
        <f t="shared" si="1"/>
        <v>#REF!</v>
      </c>
      <c r="H27" s="140" t="e">
        <f t="shared" si="2"/>
        <v>#REF!</v>
      </c>
      <c r="I27" s="140" t="e">
        <f t="shared" si="2"/>
        <v>#REF!</v>
      </c>
      <c r="J27" s="140" t="e">
        <f t="shared" si="3"/>
        <v>#REF!</v>
      </c>
      <c r="K27" s="140" t="e">
        <f t="shared" si="4"/>
        <v>#REF!</v>
      </c>
      <c r="L27" s="140" t="e">
        <f t="shared" si="5"/>
        <v>#REF!</v>
      </c>
      <c r="M27" s="47" t="str">
        <f>IF(OR(WEEKDAY(A27)=1,WEEKDAY(A27)=7,NOT(ISERROR(MATCH(A27,[1]Праздники!A:A,0)))),"Выходной","Рабочий")</f>
        <v>Рабочий</v>
      </c>
    </row>
    <row r="28" spans="1:13">
      <c r="A28" s="146">
        <v>45800</v>
      </c>
      <c r="B28" s="147"/>
      <c r="C28" s="151" t="e">
        <f>'[1]РВ Баумана'!G28+#REF!+'[1]РВ Березовая Пойма'!G28+#REF!+'[1]РВ Новикова-Прибоя'!G28+#REF!</f>
        <v>#REF!</v>
      </c>
      <c r="D28" s="152" t="e">
        <f t="shared" si="0"/>
        <v>#REF!</v>
      </c>
      <c r="E28" s="152" t="e">
        <f>'[1]РВ Баумана'!C28+#REF!+'[1]РВ Березовая Пойма'!C28+#REF!+'[1]РВ Новикова-Прибоя'!C28+#REF!</f>
        <v>#REF!</v>
      </c>
      <c r="F28" s="152" t="e">
        <f>'[1]РВ Баумана'!D28+#REF!+'[1]РВ Березовая Пойма'!D28+#REF!+'[1]РВ Новикова-Прибоя'!D28+#REF!</f>
        <v>#REF!</v>
      </c>
      <c r="G28" s="152" t="e">
        <f t="shared" si="1"/>
        <v>#REF!</v>
      </c>
      <c r="H28" s="140" t="e">
        <f t="shared" si="2"/>
        <v>#REF!</v>
      </c>
      <c r="I28" s="140" t="e">
        <f t="shared" si="2"/>
        <v>#REF!</v>
      </c>
      <c r="J28" s="140" t="e">
        <f t="shared" si="3"/>
        <v>#REF!</v>
      </c>
      <c r="K28" s="140" t="e">
        <f t="shared" si="4"/>
        <v>#REF!</v>
      </c>
      <c r="L28" s="140" t="e">
        <f t="shared" si="5"/>
        <v>#REF!</v>
      </c>
      <c r="M28" s="47" t="str">
        <f>IF(OR(WEEKDAY(A28)=1,WEEKDAY(A28)=7,NOT(ISERROR(MATCH(A28,[1]Праздники!A:A,0)))),"Выходной","Рабочий")</f>
        <v>Рабочий</v>
      </c>
    </row>
    <row r="29" spans="1:13">
      <c r="A29" s="146">
        <v>45801</v>
      </c>
      <c r="B29" s="147"/>
      <c r="C29" s="151" t="e">
        <f>'[1]РВ Баумана'!G29+#REF!+'[1]РВ Березовая Пойма'!G29+#REF!+'[1]РВ Новикова-Прибоя'!G29+#REF!</f>
        <v>#REF!</v>
      </c>
      <c r="D29" s="152" t="e">
        <f t="shared" si="0"/>
        <v>#REF!</v>
      </c>
      <c r="E29" s="152" t="e">
        <f>'[1]РВ Баумана'!C29+#REF!+'[1]РВ Березовая Пойма'!C29+#REF!+'[1]РВ Новикова-Прибоя'!C29+#REF!</f>
        <v>#REF!</v>
      </c>
      <c r="F29" s="152" t="e">
        <f>'[1]РВ Баумана'!D29+#REF!+'[1]РВ Березовая Пойма'!D29+#REF!+'[1]РВ Новикова-Прибоя'!D29+#REF!</f>
        <v>#REF!</v>
      </c>
      <c r="G29" s="152" t="e">
        <f t="shared" si="1"/>
        <v>#REF!</v>
      </c>
      <c r="H29" s="140" t="e">
        <f t="shared" si="2"/>
        <v>#REF!</v>
      </c>
      <c r="I29" s="140" t="e">
        <f t="shared" si="2"/>
        <v>#REF!</v>
      </c>
      <c r="J29" s="140" t="e">
        <f t="shared" si="3"/>
        <v>#REF!</v>
      </c>
      <c r="K29" s="140" t="e">
        <f t="shared" si="4"/>
        <v>#REF!</v>
      </c>
      <c r="L29" s="140" t="e">
        <f t="shared" si="5"/>
        <v>#REF!</v>
      </c>
      <c r="M29" s="47" t="str">
        <f>IF(OR(WEEKDAY(A29)=1,WEEKDAY(A29)=7,NOT(ISERROR(MATCH(A29,[1]Праздники!A:A,0)))),"Выходной","Рабочий")</f>
        <v>Выходной</v>
      </c>
    </row>
    <row r="30" spans="1:13">
      <c r="A30" s="146">
        <v>45802</v>
      </c>
      <c r="B30" s="147"/>
      <c r="C30" s="151" t="e">
        <f>'[1]РВ Баумана'!G30+#REF!+'[1]РВ Березовая Пойма'!G30+#REF!+'[1]РВ Новикова-Прибоя'!G30+#REF!</f>
        <v>#REF!</v>
      </c>
      <c r="D30" s="152" t="e">
        <f t="shared" si="0"/>
        <v>#REF!</v>
      </c>
      <c r="E30" s="152" t="e">
        <f>'[1]РВ Баумана'!C30+#REF!+'[1]РВ Березовая Пойма'!C30+#REF!+'[1]РВ Новикова-Прибоя'!C30+#REF!</f>
        <v>#REF!</v>
      </c>
      <c r="F30" s="152" t="e">
        <f>'[1]РВ Баумана'!D30+#REF!+'[1]РВ Березовая Пойма'!D30+#REF!+'[1]РВ Новикова-Прибоя'!D30+#REF!</f>
        <v>#REF!</v>
      </c>
      <c r="G30" s="152" t="e">
        <f t="shared" si="1"/>
        <v>#REF!</v>
      </c>
      <c r="H30" s="140" t="e">
        <f t="shared" si="2"/>
        <v>#REF!</v>
      </c>
      <c r="I30" s="140" t="e">
        <f t="shared" si="2"/>
        <v>#REF!</v>
      </c>
      <c r="J30" s="140" t="e">
        <f t="shared" si="3"/>
        <v>#REF!</v>
      </c>
      <c r="K30" s="140" t="e">
        <f t="shared" si="4"/>
        <v>#REF!</v>
      </c>
      <c r="L30" s="140" t="e">
        <f t="shared" si="5"/>
        <v>#REF!</v>
      </c>
      <c r="M30" s="47" t="str">
        <f>IF(OR(WEEKDAY(A30)=1,WEEKDAY(A30)=7,NOT(ISERROR(MATCH(A30,[1]Праздники!A:A,0)))),"Выходной","Рабочий")</f>
        <v>Выходной</v>
      </c>
    </row>
    <row r="31" spans="1:13">
      <c r="A31" s="146">
        <v>45803</v>
      </c>
      <c r="B31" s="147"/>
      <c r="C31" s="151" t="e">
        <f>'[1]РВ Баумана'!G31+#REF!+'[1]РВ Березовая Пойма'!G31+#REF!+'[1]РВ Новикова-Прибоя'!G31+#REF!</f>
        <v>#REF!</v>
      </c>
      <c r="D31" s="152" t="e">
        <f t="shared" si="0"/>
        <v>#REF!</v>
      </c>
      <c r="E31" s="152" t="e">
        <f>'[1]РВ Баумана'!C31+#REF!+'[1]РВ Березовая Пойма'!C31+#REF!+'[1]РВ Новикова-Прибоя'!C31+#REF!</f>
        <v>#REF!</v>
      </c>
      <c r="F31" s="152" t="e">
        <f>'[1]РВ Баумана'!D31+#REF!+'[1]РВ Березовая Пойма'!D31+#REF!+'[1]РВ Новикова-Прибоя'!D31+#REF!</f>
        <v>#REF!</v>
      </c>
      <c r="G31" s="152" t="e">
        <f t="shared" si="1"/>
        <v>#REF!</v>
      </c>
      <c r="H31" s="140" t="e">
        <f t="shared" si="2"/>
        <v>#REF!</v>
      </c>
      <c r="I31" s="140" t="e">
        <f t="shared" si="2"/>
        <v>#REF!</v>
      </c>
      <c r="J31" s="140" t="e">
        <f t="shared" si="3"/>
        <v>#REF!</v>
      </c>
      <c r="K31" s="140" t="e">
        <f t="shared" si="4"/>
        <v>#REF!</v>
      </c>
      <c r="L31" s="140" t="e">
        <f t="shared" si="5"/>
        <v>#REF!</v>
      </c>
      <c r="M31" s="47" t="str">
        <f>IF(OR(WEEKDAY(A31)=1,WEEKDAY(A31)=7,NOT(ISERROR(MATCH(A31,[1]Праздники!A:A,0)))),"Выходной","Рабочий")</f>
        <v>Рабочий</v>
      </c>
    </row>
    <row r="32" spans="1:13">
      <c r="A32" s="146">
        <v>45804</v>
      </c>
      <c r="B32" s="147"/>
      <c r="C32" s="151" t="e">
        <f>'[1]РВ Баумана'!G32+#REF!+'[1]РВ Березовая Пойма'!G32+#REF!+'[1]РВ Новикова-Прибоя'!G32+#REF!</f>
        <v>#REF!</v>
      </c>
      <c r="D32" s="152" t="e">
        <f t="shared" si="0"/>
        <v>#REF!</v>
      </c>
      <c r="E32" s="152" t="e">
        <f>'[1]РВ Баумана'!C32+#REF!+'[1]РВ Березовая Пойма'!C32+#REF!+'[1]РВ Новикова-Прибоя'!C32+#REF!</f>
        <v>#REF!</v>
      </c>
      <c r="F32" s="152" t="e">
        <f>'[1]РВ Баумана'!D32+#REF!+'[1]РВ Березовая Пойма'!D32+#REF!+'[1]РВ Новикова-Прибоя'!D32+#REF!</f>
        <v>#REF!</v>
      </c>
      <c r="G32" s="152" t="e">
        <f t="shared" si="1"/>
        <v>#REF!</v>
      </c>
      <c r="H32" s="140" t="e">
        <f t="shared" si="2"/>
        <v>#REF!</v>
      </c>
      <c r="I32" s="140" t="e">
        <f t="shared" si="2"/>
        <v>#REF!</v>
      </c>
      <c r="J32" s="140" t="e">
        <f t="shared" si="3"/>
        <v>#REF!</v>
      </c>
      <c r="K32" s="140" t="e">
        <f t="shared" si="4"/>
        <v>#REF!</v>
      </c>
      <c r="L32" s="140" t="e">
        <f t="shared" si="5"/>
        <v>#REF!</v>
      </c>
      <c r="M32" s="47" t="str">
        <f>IF(OR(WEEKDAY(A32)=1,WEEKDAY(A32)=7,NOT(ISERROR(MATCH(A32,[1]Праздники!A:A,0)))),"Выходной","Рабочий")</f>
        <v>Рабочий</v>
      </c>
    </row>
    <row r="33" spans="1:14">
      <c r="A33" s="146">
        <v>45805</v>
      </c>
      <c r="B33" s="147"/>
      <c r="C33" s="151" t="e">
        <f>'[1]РВ Баумана'!G33+#REF!+'[1]РВ Березовая Пойма'!G33+#REF!+'[1]РВ Новикова-Прибоя'!G33+#REF!</f>
        <v>#REF!</v>
      </c>
      <c r="D33" s="152" t="e">
        <f t="shared" si="0"/>
        <v>#REF!</v>
      </c>
      <c r="E33" s="152" t="e">
        <f>'[1]РВ Баумана'!C33+#REF!+'[1]РВ Березовая Пойма'!C33+#REF!+'[1]РВ Новикова-Прибоя'!C33+#REF!</f>
        <v>#REF!</v>
      </c>
      <c r="F33" s="152" t="e">
        <f>'[1]РВ Баумана'!D33+#REF!+'[1]РВ Березовая Пойма'!D33+#REF!+'[1]РВ Новикова-Прибоя'!D33+#REF!</f>
        <v>#REF!</v>
      </c>
      <c r="G33" s="152" t="e">
        <f t="shared" si="1"/>
        <v>#REF!</v>
      </c>
      <c r="H33" s="140" t="e">
        <f t="shared" si="2"/>
        <v>#REF!</v>
      </c>
      <c r="I33" s="140" t="e">
        <f t="shared" si="2"/>
        <v>#REF!</v>
      </c>
      <c r="J33" s="140" t="e">
        <f t="shared" si="3"/>
        <v>#REF!</v>
      </c>
      <c r="K33" s="140" t="e">
        <f t="shared" si="4"/>
        <v>#REF!</v>
      </c>
      <c r="L33" s="140" t="e">
        <f t="shared" si="5"/>
        <v>#REF!</v>
      </c>
      <c r="M33" s="47" t="str">
        <f>IF(OR(WEEKDAY(A33)=1,WEEKDAY(A33)=7,NOT(ISERROR(MATCH(A33,[1]Праздники!A:A,0)))),"Выходной","Рабочий")</f>
        <v>Рабочий</v>
      </c>
    </row>
    <row r="34" spans="1:14">
      <c r="A34" s="146">
        <v>45806</v>
      </c>
      <c r="B34" s="147"/>
      <c r="C34" s="151" t="e">
        <f>'[1]РВ Баумана'!G34+#REF!+'[1]РВ Березовая Пойма'!G34+#REF!+'[1]РВ Новикова-Прибоя'!G34+#REF!</f>
        <v>#REF!</v>
      </c>
      <c r="D34" s="152" t="e">
        <f t="shared" si="0"/>
        <v>#REF!</v>
      </c>
      <c r="E34" s="152" t="e">
        <f>'[1]РВ Баумана'!C34+#REF!+'[1]РВ Березовая Пойма'!C34+#REF!+'[1]РВ Новикова-Прибоя'!C34+#REF!</f>
        <v>#REF!</v>
      </c>
      <c r="F34" s="152" t="e">
        <f>'[1]РВ Баумана'!D34+#REF!+'[1]РВ Березовая Пойма'!D34+#REF!+'[1]РВ Новикова-Прибоя'!D34+#REF!</f>
        <v>#REF!</v>
      </c>
      <c r="G34" s="152" t="e">
        <f t="shared" si="1"/>
        <v>#REF!</v>
      </c>
      <c r="H34" s="140" t="e">
        <f t="shared" si="2"/>
        <v>#REF!</v>
      </c>
      <c r="I34" s="140" t="e">
        <f t="shared" si="2"/>
        <v>#REF!</v>
      </c>
      <c r="J34" s="140" t="e">
        <f t="shared" si="3"/>
        <v>#REF!</v>
      </c>
      <c r="K34" s="140" t="e">
        <f t="shared" si="4"/>
        <v>#REF!</v>
      </c>
      <c r="L34" s="140" t="e">
        <f t="shared" si="5"/>
        <v>#REF!</v>
      </c>
      <c r="M34" s="47" t="str">
        <f>IF(OR(WEEKDAY(A34)=1,WEEKDAY(A34)=7,NOT(ISERROR(MATCH(A34,[1]Праздники!A:A,0)))),"Выходной","Рабочий")</f>
        <v>Рабочий</v>
      </c>
    </row>
    <row r="35" spans="1:14">
      <c r="A35" s="146">
        <v>45807</v>
      </c>
      <c r="B35" s="147"/>
      <c r="C35" s="151" t="e">
        <f>'[1]РВ Баумана'!G35+#REF!+'[1]РВ Березовая Пойма'!G35+#REF!+'[1]РВ Новикова-Прибоя'!G35+#REF!</f>
        <v>#REF!</v>
      </c>
      <c r="D35" s="152" t="e">
        <f t="shared" si="0"/>
        <v>#REF!</v>
      </c>
      <c r="E35" s="152" t="e">
        <f>'[1]РВ Баумана'!C35+#REF!+'[1]РВ Березовая Пойма'!C35+#REF!+'[1]РВ Новикова-Прибоя'!C35+#REF!</f>
        <v>#REF!</v>
      </c>
      <c r="F35" s="152" t="e">
        <f>'[1]РВ Баумана'!D35+#REF!+'[1]РВ Березовая Пойма'!D35+#REF!+'[1]РВ Новикова-Прибоя'!D35+#REF!</f>
        <v>#REF!</v>
      </c>
      <c r="G35" s="152" t="e">
        <f t="shared" si="1"/>
        <v>#REF!</v>
      </c>
      <c r="H35" s="140" t="e">
        <f t="shared" si="2"/>
        <v>#REF!</v>
      </c>
      <c r="I35" s="140" t="e">
        <f t="shared" si="2"/>
        <v>#REF!</v>
      </c>
      <c r="J35" s="140" t="e">
        <f t="shared" si="3"/>
        <v>#REF!</v>
      </c>
      <c r="K35" s="140" t="e">
        <f t="shared" si="4"/>
        <v>#REF!</v>
      </c>
      <c r="L35" s="140" t="e">
        <f t="shared" si="5"/>
        <v>#REF!</v>
      </c>
      <c r="M35" s="47" t="str">
        <f>IF(OR(WEEKDAY(A35)=1,WEEKDAY(A35)=7,NOT(ISERROR(MATCH(A35,[1]Праздники!A:A,0)))),"Выходной","Рабочий")</f>
        <v>Рабочий</v>
      </c>
    </row>
    <row r="36" spans="1:14" ht="15.75" thickBot="1">
      <c r="A36" s="146">
        <v>45808</v>
      </c>
      <c r="B36" s="147"/>
      <c r="C36" s="151" t="e">
        <f>'[1]РВ Баумана'!G36+#REF!+'[1]РВ Березовая Пойма'!G36+#REF!+'[1]РВ Новикова-Прибоя'!G36+#REF!</f>
        <v>#REF!</v>
      </c>
      <c r="D36" s="152" t="e">
        <f t="shared" si="0"/>
        <v>#REF!</v>
      </c>
      <c r="E36" s="152" t="e">
        <f>'[1]РВ Баумана'!C36+#REF!+'[1]РВ Березовая Пойма'!C36+#REF!+'[1]РВ Новикова-Прибоя'!C36+#REF!</f>
        <v>#REF!</v>
      </c>
      <c r="F36" s="152" t="e">
        <f>'[1]РВ Баумана'!D36+#REF!+'[1]РВ Березовая Пойма'!D36+#REF!+'[1]РВ Новикова-Прибоя'!D36+#REF!</f>
        <v>#REF!</v>
      </c>
      <c r="G36" s="152" t="e">
        <f t="shared" si="1"/>
        <v>#REF!</v>
      </c>
      <c r="H36" s="140" t="e">
        <f t="shared" si="2"/>
        <v>#REF!</v>
      </c>
      <c r="I36" s="140" t="e">
        <f t="shared" si="2"/>
        <v>#REF!</v>
      </c>
      <c r="J36" s="140" t="e">
        <f t="shared" si="3"/>
        <v>#REF!</v>
      </c>
      <c r="K36" s="140" t="e">
        <f t="shared" si="4"/>
        <v>#REF!</v>
      </c>
      <c r="L36" s="140" t="e">
        <f t="shared" si="5"/>
        <v>#REF!</v>
      </c>
      <c r="M36" s="47" t="str">
        <f>IF(OR(WEEKDAY(A36)=1,WEEKDAY(A36)=7,NOT(ISERROR(MATCH(A36,[1]Праздники!A:A,0)))),"Выходной","Рабочий")</f>
        <v>Выходной</v>
      </c>
    </row>
    <row r="37" spans="1:14" ht="15.75" thickBot="1">
      <c r="C37" s="141" t="e">
        <f t="shared" ref="C37:L37" si="6">SUM(C6:C36)</f>
        <v>#REF!</v>
      </c>
      <c r="D37" s="141" t="e">
        <f t="shared" si="6"/>
        <v>#REF!</v>
      </c>
      <c r="E37" s="141" t="e">
        <f t="shared" si="6"/>
        <v>#REF!</v>
      </c>
      <c r="F37" s="141" t="e">
        <f t="shared" si="6"/>
        <v>#REF!</v>
      </c>
      <c r="G37" s="141" t="e">
        <f t="shared" si="6"/>
        <v>#REF!</v>
      </c>
      <c r="H37" s="142" t="e">
        <f t="shared" si="6"/>
        <v>#REF!</v>
      </c>
      <c r="I37" s="142" t="e">
        <f t="shared" si="6"/>
        <v>#REF!</v>
      </c>
      <c r="J37" s="142" t="e">
        <f t="shared" si="6"/>
        <v>#REF!</v>
      </c>
      <c r="K37" s="142" t="e">
        <f t="shared" si="6"/>
        <v>#REF!</v>
      </c>
      <c r="L37" s="143" t="e">
        <f t="shared" si="6"/>
        <v>#REF!</v>
      </c>
    </row>
    <row r="38" spans="1:14" ht="15.75" thickBot="1">
      <c r="C38" s="135"/>
      <c r="H38" s="135"/>
      <c r="I38" s="135"/>
      <c r="J38" s="135"/>
      <c r="K38" s="135"/>
      <c r="L38" s="144" t="e">
        <f>L37*1.2</f>
        <v>#REF!</v>
      </c>
      <c r="N38" s="145"/>
    </row>
    <row r="39" spans="1:14">
      <c r="C39" s="135"/>
      <c r="H39" s="135"/>
      <c r="I39" s="135"/>
      <c r="J39" s="135"/>
      <c r="K39" s="135"/>
    </row>
    <row r="40" spans="1:14">
      <c r="C40" s="135"/>
      <c r="H40" s="135"/>
      <c r="I40" s="135"/>
      <c r="J40" s="135"/>
      <c r="K40" s="135"/>
    </row>
  </sheetData>
  <mergeCells count="42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H4:H5"/>
    <mergeCell ref="I4:I5"/>
    <mergeCell ref="J4:J5"/>
    <mergeCell ref="K4:K5"/>
    <mergeCell ref="L4:L5"/>
    <mergeCell ref="A6:B6"/>
    <mergeCell ref="A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57</vt:i4>
      </vt:variant>
    </vt:vector>
  </HeadingPairs>
  <TitlesOfParts>
    <vt:vector size="57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Сводка</vt:lpstr>
      <vt:lpstr>Резерв</vt:lpstr>
      <vt:lpstr>РВ Баумана</vt:lpstr>
      <vt:lpstr>РВ Березовая Пойма</vt:lpstr>
      <vt:lpstr>РВ Новикова-Прибоя</vt:lpstr>
      <vt:lpstr>Нижнекамск экспорт</vt:lpstr>
      <vt:lpstr>Зеленодольск экспорт</vt:lpstr>
      <vt:lpstr>Литейные решения</vt:lpstr>
      <vt:lpstr>ЛС-Техномет</vt:lpstr>
      <vt:lpstr>Сандекс</vt:lpstr>
      <vt:lpstr>СтройТех</vt:lpstr>
      <vt:lpstr>Ергарда</vt:lpstr>
      <vt:lpstr>Оникс Нижнекамск</vt:lpstr>
      <vt:lpstr>Зеленодольск Доп услуги</vt:lpstr>
      <vt:lpstr>Казань_Приволжская экспорт</vt:lpstr>
      <vt:lpstr>Казань_Автосервисная экспорт</vt:lpstr>
      <vt:lpstr>Казань_Приволжская Доп услуги</vt:lpstr>
      <vt:lpstr>Екатеринбург экспорт</vt:lpstr>
      <vt:lpstr>Баумана KPI</vt:lpstr>
      <vt:lpstr>Баумана Полимеры</vt:lpstr>
      <vt:lpstr>Баумана Полиом</vt:lpstr>
      <vt:lpstr>Лист1 (2)</vt:lpstr>
      <vt:lpstr>Лист1 (3)</vt:lpstr>
      <vt:lpstr>Лист1 (4)</vt:lpstr>
      <vt:lpstr>Лист1 (5)</vt:lpstr>
      <vt:lpstr>Екатеринбург KPI</vt:lpstr>
      <vt:lpstr>Екатеринбург Полимеры</vt:lpstr>
      <vt:lpstr>Екатеринбург Полиом</vt:lpstr>
      <vt:lpstr>Екатеринбург НПЭГ</vt:lpstr>
      <vt:lpstr>Зеленодольск KPI</vt:lpstr>
      <vt:lpstr>Зеленодольск Данафлекс</vt:lpstr>
      <vt:lpstr>Зеленодольск Полимеры</vt:lpstr>
      <vt:lpstr>Казань_Автосервисная Полимеры</vt:lpstr>
      <vt:lpstr>Казань_Автосервисная Полиом</vt:lpstr>
      <vt:lpstr>Казань_Приволжская Полимеры</vt:lpstr>
      <vt:lpstr>Нижнекамск НПЭГ</vt:lpstr>
      <vt:lpstr>Нижнекамск ПСОН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 (2)</vt:lpstr>
      <vt:lpstr>Праздники</vt:lpstr>
      <vt:lpstr>АВР Березовая Пойма</vt:lpstr>
      <vt:lpstr>АВР Новикова</vt:lpstr>
      <vt:lpstr>АВР Баумана</vt:lpstr>
      <vt:lpstr>Окская Мешки</vt:lpstr>
      <vt:lpstr>Общее и резерв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2026-04-07T17:39:10Z</dcterms:created>
  <dcterms:modified xsi:type="dcterms:W3CDTF">2026-04-07T17:39:21Z</dcterms:modified>
</cp:coreProperties>
</file>